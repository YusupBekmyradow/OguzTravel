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-120" yWindow="-120" windowWidth="29040" windowHeight="15840" tabRatio="887" activeTab="6"/>
  </bookViews>
  <sheets>
    <sheet name="DESLAPKY - ПРЕДВАРИТЕЛЬНЫЙ" sheetId="12" r:id="rId1"/>
    <sheet name="GARAŞYLÝAN -ОЖИДАЕМЫЕ" sheetId="14" r:id="rId2"/>
    <sheet name="HAKYKY - ФАКТИЧЕСКИЙ" sheetId="15" r:id="rId3"/>
    <sheet name="GELEN - ПРИЕМ ПОФАМИЛЬНЫЙ" sheetId="3" r:id="rId4"/>
    <sheet name="GIDEN - ОТПРАВКА ПОФАМИЛЬНЫЙ" sheetId="4" r:id="rId5"/>
    <sheet name="IÇERKI - ВНУТРЕННИЙ" sheetId="11" r:id="rId6"/>
    <sheet name="ÇAKYLYKLAR-Migrasiýa" sheetId="5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" i="5" l="1"/>
  <c r="F18" i="5"/>
  <c r="C11" i="5"/>
  <c r="C12" i="5"/>
  <c r="C13" i="5"/>
  <c r="C14" i="5"/>
  <c r="C15" i="5"/>
  <c r="C16" i="5"/>
  <c r="C17" i="5"/>
  <c r="D18" i="5"/>
  <c r="C9" i="5"/>
  <c r="C10" i="5"/>
  <c r="C8" i="5"/>
  <c r="C18" i="5" l="1"/>
  <c r="D32" i="11"/>
  <c r="D28" i="11"/>
  <c r="D24" i="11"/>
  <c r="D20" i="11"/>
  <c r="D16" i="11"/>
  <c r="D12" i="11"/>
  <c r="D8" i="11"/>
  <c r="D36" i="11" l="1"/>
  <c r="G41" i="15"/>
  <c r="G40" i="15"/>
  <c r="G39" i="15"/>
  <c r="G38" i="15"/>
  <c r="G37" i="15"/>
  <c r="G36" i="15"/>
  <c r="G35" i="15"/>
  <c r="F33" i="15"/>
  <c r="E33" i="15"/>
  <c r="D33" i="15"/>
  <c r="G32" i="15"/>
  <c r="G31" i="15"/>
  <c r="G30" i="15"/>
  <c r="G29" i="15"/>
  <c r="G28" i="15"/>
  <c r="G27" i="15"/>
  <c r="G26" i="15"/>
  <c r="G25" i="15"/>
  <c r="G24" i="15"/>
  <c r="G23" i="15"/>
  <c r="F21" i="15"/>
  <c r="E21" i="15"/>
  <c r="D21" i="15"/>
  <c r="G20" i="15"/>
  <c r="G19" i="15"/>
  <c r="G18" i="15"/>
  <c r="G17" i="15"/>
  <c r="G16" i="15"/>
  <c r="G15" i="15"/>
  <c r="G14" i="15"/>
  <c r="G13" i="15"/>
  <c r="G12" i="15"/>
  <c r="G11" i="15"/>
  <c r="F9" i="15"/>
  <c r="E9" i="15"/>
  <c r="D9" i="15"/>
  <c r="G36" i="12"/>
  <c r="G37" i="12"/>
  <c r="G38" i="12"/>
  <c r="G39" i="12"/>
  <c r="G40" i="12"/>
  <c r="G41" i="12"/>
  <c r="G35" i="12"/>
  <c r="G24" i="12"/>
  <c r="G25" i="12"/>
  <c r="G26" i="12"/>
  <c r="G27" i="12"/>
  <c r="G28" i="12"/>
  <c r="G29" i="12"/>
  <c r="G30" i="12"/>
  <c r="G31" i="12"/>
  <c r="G32" i="12"/>
  <c r="G23" i="12"/>
  <c r="F21" i="12"/>
  <c r="E21" i="12"/>
  <c r="D21" i="12"/>
  <c r="G12" i="12"/>
  <c r="G13" i="12"/>
  <c r="G14" i="12"/>
  <c r="G15" i="12"/>
  <c r="G16" i="12"/>
  <c r="G17" i="12"/>
  <c r="G18" i="12"/>
  <c r="G19" i="12"/>
  <c r="G20" i="12"/>
  <c r="G11" i="12"/>
  <c r="E9" i="12"/>
  <c r="F9" i="12"/>
  <c r="D9" i="12"/>
  <c r="G33" i="15" l="1"/>
  <c r="G21" i="15"/>
  <c r="G9" i="15"/>
  <c r="E33" i="12"/>
  <c r="F33" i="12"/>
  <c r="G33" i="12" s="1"/>
  <c r="D33" i="12"/>
  <c r="G9" i="12"/>
  <c r="G21" i="12"/>
</calcChain>
</file>

<file path=xl/comments1.xml><?xml version="1.0" encoding="utf-8"?>
<comments xmlns="http://schemas.openxmlformats.org/spreadsheetml/2006/main">
  <authors>
    <author>Автор</author>
  </authors>
  <commentList>
    <comment ref="D6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fewral 2024 (01.02-25.02) deslapky
mart 2024 (01.03-25.03) deslapky и т.д.</t>
        </r>
      </text>
    </comment>
    <comment ref="E7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ýanwar-fewral 2023 
(HAKYKY)
ýanwar-mart 2023 
(HAKYKY) и т.д.</t>
        </r>
      </text>
    </comment>
    <comment ref="F7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В феврале: 
ýanwar 2024 HAKYKY + fewral 2024 DESLAPKY;
В марте:
ýanwar-fewral 2024 HAKYKY + mart 2024 DESLAPKY
и т.д.
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D6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fewral 2024 (01.02-29.02) HAKYKY
mart 2024 (01.03-31.03) HAKYKY и т.д.</t>
        </r>
      </text>
    </comment>
    <comment ref="E7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ýanwar-fewral 2023 
(HAKYKY)
ýanwar-mart 2023 
(HAKYKY) и т.д.</t>
        </r>
      </text>
    </comment>
    <comment ref="F7" authorId="0" shapeId="0">
      <text>
        <r>
          <rPr>
            <b/>
            <sz val="11"/>
            <color indexed="81"/>
            <rFont val="Tahoma"/>
            <family val="2"/>
            <charset val="204"/>
          </rPr>
          <t>Автор:</t>
        </r>
        <r>
          <rPr>
            <sz val="11"/>
            <color indexed="81"/>
            <rFont val="Tahoma"/>
            <family val="2"/>
            <charset val="204"/>
          </rPr>
          <t xml:space="preserve">
В феврале: 
ýanwar 2024 HAKYKY + fewral 2024 HAKYKY;
В марте:
ýanwar-fewral 2024 HAKYKY + mart 2024 HAKYKY
и т.д.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K7" authorId="0" shapeId="0">
      <text>
        <r>
          <rPr>
            <b/>
            <sz val="10"/>
            <color indexed="81"/>
            <rFont val="Tahoma"/>
            <family val="2"/>
            <charset val="204"/>
          </rPr>
          <t xml:space="preserve">Admin: 
</t>
        </r>
        <r>
          <rPr>
            <sz val="10"/>
            <color indexed="81"/>
            <rFont val="Tahoma"/>
            <family val="2"/>
            <charset val="204"/>
          </rPr>
          <t>GGÝMN</t>
        </r>
      </text>
    </comment>
    <comment ref="L7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>GGÝMN 
Границы заезда и выезда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K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GGÝMN 
Границы заезда и выезда</t>
        </r>
      </text>
    </comment>
    <comment ref="L7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>Туроператоры, обслуживающие своих туристов, указывают название своей компании. В тех случаях, когда турист от турагента, согласно строке сведений о данном туристе указывается название турагента. 
Турагенты в своих отчетах всегда указывают название компании туроператора, в которой был обслужен каждый конкретный турист.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C9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>Название тур.объекта, достопримечательности и т.д. Строки можно добавлять и уменьшать при необходимости</t>
        </r>
      </text>
    </comment>
    <comment ref="C13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-//-//-//-</t>
        </r>
      </text>
    </comment>
    <comment ref="C17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-//-//-//-</t>
        </r>
      </text>
    </comment>
    <comment ref="C21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-//-//-//-</t>
        </r>
      </text>
    </comment>
    <comment ref="C25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-//-//-//-</t>
        </r>
      </text>
    </comment>
    <comment ref="C29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-//-//-//-</t>
        </r>
      </text>
    </comment>
    <comment ref="C33" authorId="0" shapeId="0">
      <text>
        <r>
          <rPr>
            <b/>
            <sz val="10"/>
            <color indexed="81"/>
            <rFont val="Tahoma"/>
            <family val="2"/>
            <charset val="204"/>
          </rPr>
          <t>Автор:</t>
        </r>
        <r>
          <rPr>
            <sz val="10"/>
            <color indexed="81"/>
            <rFont val="Tahoma"/>
            <family val="2"/>
            <charset val="204"/>
          </rPr>
          <t xml:space="preserve">
-//-//-//-</t>
        </r>
      </text>
    </comment>
  </commentList>
</comments>
</file>

<file path=xl/sharedStrings.xml><?xml version="1.0" encoding="utf-8"?>
<sst xmlns="http://schemas.openxmlformats.org/spreadsheetml/2006/main" count="293" uniqueCount="122">
  <si>
    <t>Ýurdy</t>
  </si>
  <si>
    <t>T/b</t>
  </si>
  <si>
    <t>NUSGA</t>
  </si>
  <si>
    <t>Tel.:</t>
  </si>
  <si>
    <t>Syýahatçynyň F.A.A.a.</t>
  </si>
  <si>
    <t>Jynsy</t>
  </si>
  <si>
    <t>Doglan senesi</t>
  </si>
  <si>
    <t>Raýatlygy</t>
  </si>
  <si>
    <t xml:space="preserve">Çakylygyň № </t>
  </si>
  <si>
    <t>Syýahat ýolhatynyň №</t>
  </si>
  <si>
    <t>Giren senesi</t>
  </si>
  <si>
    <t>Gykýan senesi</t>
  </si>
  <si>
    <t>Pasportynyň seriýasy we belgisi</t>
  </si>
  <si>
    <t>Başlyk</t>
  </si>
  <si>
    <t>Jemi ýurtlar boýunça</t>
  </si>
  <si>
    <t>Jemi:</t>
  </si>
  <si>
    <t>Gidýän ýurdy</t>
  </si>
  <si>
    <t>Gidýän wagty</t>
  </si>
  <si>
    <t>Gelýän wagty</t>
  </si>
  <si>
    <t>BGN gidiş</t>
  </si>
  <si>
    <t>BGN geliş</t>
  </si>
  <si>
    <t>BGN giriş</t>
  </si>
  <si>
    <t>BGN çykyş</t>
  </si>
  <si>
    <t>Ýurtlar</t>
  </si>
  <si>
    <t>Çakylyk berilmedikleriň sany</t>
  </si>
  <si>
    <t>M.Ýe.</t>
  </si>
  <si>
    <t>goly</t>
  </si>
  <si>
    <t>JEMI:</t>
  </si>
  <si>
    <t>Adam sany</t>
  </si>
  <si>
    <t>Çakylyk almak üçin berilen arzalaryň sany (adam sany)</t>
  </si>
  <si>
    <t>(F.A.A.a.)</t>
  </si>
  <si>
    <t>_____________________</t>
  </si>
  <si>
    <r>
      <t xml:space="preserve">Ýerine ýetiriji:   </t>
    </r>
    <r>
      <rPr>
        <u/>
        <sz val="12"/>
        <color theme="1"/>
        <rFont val="Times New Roman"/>
        <family val="1"/>
        <charset val="204"/>
      </rPr>
      <t>F.A.A.a.  (goly)</t>
    </r>
  </si>
  <si>
    <t>adam sany</t>
  </si>
  <si>
    <t>Ugry (welaýaty, şäheri)</t>
  </si>
  <si>
    <t>___________</t>
  </si>
  <si>
    <r>
      <t xml:space="preserve">Ýerine ýetiriji:   </t>
    </r>
    <r>
      <rPr>
        <u/>
        <sz val="10"/>
        <color theme="1"/>
        <rFont val="Times New Roman"/>
        <family val="1"/>
        <charset val="204"/>
      </rPr>
      <t>F.A.A.a.  (goly)</t>
    </r>
  </si>
  <si>
    <r>
      <t xml:space="preserve">Başlyk                              </t>
    </r>
    <r>
      <rPr>
        <b/>
        <sz val="10"/>
        <color theme="1"/>
        <rFont val="Times New Roman"/>
        <family val="1"/>
        <charset val="204"/>
      </rPr>
      <t xml:space="preserve"> </t>
    </r>
    <r>
      <rPr>
        <i/>
        <sz val="10"/>
        <color theme="1"/>
        <rFont val="Times New Roman"/>
        <family val="1"/>
        <charset val="204"/>
      </rPr>
      <t>goly</t>
    </r>
  </si>
  <si>
    <t>IÇERKI syýahat</t>
  </si>
  <si>
    <r>
      <t xml:space="preserve">Ýerine ýetiriji: </t>
    </r>
    <r>
      <rPr>
        <sz val="10"/>
        <color theme="1"/>
        <rFont val="Times New Roman"/>
        <family val="1"/>
        <charset val="204"/>
      </rPr>
      <t xml:space="preserve">F.A.A.a.  </t>
    </r>
    <r>
      <rPr>
        <i/>
        <sz val="10"/>
        <color theme="1"/>
        <rFont val="Times New Roman"/>
        <family val="1"/>
        <charset val="204"/>
      </rPr>
      <t>goly</t>
    </r>
  </si>
  <si>
    <r>
      <t xml:space="preserve">Baş buhgalter        </t>
    </r>
    <r>
      <rPr>
        <i/>
        <sz val="10"/>
        <color theme="1"/>
        <rFont val="Times New Roman"/>
        <family val="1"/>
        <charset val="204"/>
      </rPr>
      <t>goly</t>
    </r>
  </si>
  <si>
    <t xml:space="preserve">                                M.Ýe.</t>
  </si>
  <si>
    <r>
      <t xml:space="preserve">Başlyk        </t>
    </r>
    <r>
      <rPr>
        <i/>
        <sz val="10"/>
        <color theme="1"/>
        <rFont val="Times New Roman"/>
        <family val="1"/>
        <charset val="204"/>
      </rPr>
      <t xml:space="preserve">goly </t>
    </r>
    <r>
      <rPr>
        <b/>
        <sz val="11"/>
        <color theme="1"/>
        <rFont val="Times New Roman"/>
        <family val="1"/>
        <charset val="204"/>
      </rPr>
      <t xml:space="preserve">                                   </t>
    </r>
  </si>
  <si>
    <t xml:space="preserve">adam </t>
  </si>
  <si>
    <t>Ösüş derejesi %</t>
  </si>
  <si>
    <t xml:space="preserve">Degişli ýylyň başyndan bäri </t>
  </si>
  <si>
    <t xml:space="preserve">Ölçeg birligi </t>
  </si>
  <si>
    <t xml:space="preserve">Görkezijileriň atlary </t>
  </si>
  <si>
    <t>şol sanda ýurtlar:</t>
  </si>
  <si>
    <t>Aşgabat</t>
  </si>
  <si>
    <t>Ahal welaýaty</t>
  </si>
  <si>
    <t>Balkan welaýaty</t>
  </si>
  <si>
    <t>Daşoguz welaýaty</t>
  </si>
  <si>
    <t>Lebap welaýaty</t>
  </si>
  <si>
    <t>Mary welaýaty</t>
  </si>
  <si>
    <t>"Awaza" MSZ</t>
  </si>
  <si>
    <t>şol sanda:</t>
  </si>
  <si>
    <t>ABŞ</t>
  </si>
  <si>
    <t>-</t>
  </si>
  <si>
    <t>Hyzmat edilen daşary ýurtly syýahatçylaryň jemi sany (GIRIŞ)</t>
  </si>
  <si>
    <t>Türkmenistanyň raýatlaryndan daşary ýurda giden syýahatçylaryň jemi sany (ÇYKYŞ)</t>
  </si>
  <si>
    <t>Ýurduň içinde hyzmat edilen syýahatçylaryň jemi sany (IÇERKI)</t>
  </si>
  <si>
    <t xml:space="preserve">             ÇAKYLYKLAR-Migrasiýa</t>
  </si>
  <si>
    <t>Syýahatçylaryň sany</t>
  </si>
  <si>
    <t>Syýahatyň möhleti</t>
  </si>
  <si>
    <t>Syýahat ugurlary</t>
  </si>
  <si>
    <t>Ulagyň görnüşi</t>
  </si>
  <si>
    <t>1.</t>
  </si>
  <si>
    <t>Italiýa</t>
  </si>
  <si>
    <t>Aşgabat – Daşoguz – Köneurgenç – Aşgabat – Mary - Sarahs</t>
  </si>
  <si>
    <t>Uçar, ulag</t>
  </si>
  <si>
    <t>2.</t>
  </si>
  <si>
    <t>Daşoguz – Aşgabat</t>
  </si>
  <si>
    <t>Hususy motor</t>
  </si>
  <si>
    <t>3.</t>
  </si>
  <si>
    <t>Köneürgenç – Daşoguz – Aşgabat</t>
  </si>
  <si>
    <t>Welosiped, pyýada</t>
  </si>
  <si>
    <t>Syýahat operator/agent</t>
  </si>
  <si>
    <t>2024-nji ýylyň FEWRAL aýy boýunça "________________" hususy kärhanasy/(hojalyk jemgyýeti) tarapyndan ýekeleýin we toparlaýyn garaşylýan daşary ýurt syýahatçylary barada maglumat</t>
  </si>
  <si>
    <t>GARAŞYLÝAN</t>
  </si>
  <si>
    <t>DESLAPKY-Предварительный</t>
  </si>
  <si>
    <t>ПРИМЕЧАНИЕ:</t>
  </si>
  <si>
    <t>ýanwar 2023 
(HAKYKY)</t>
  </si>
  <si>
    <t>ýanwar 2024 
(HAKYKY)</t>
  </si>
  <si>
    <t>ýanwar-fewral 2023 
(HAKYKY)</t>
  </si>
  <si>
    <t>ýanwar-fewral 2024 
(HAKYKY)</t>
  </si>
  <si>
    <t>1. Принцип изменения названий столбцов в отчетах за последующие месяцы</t>
  </si>
  <si>
    <t>2. Данные строк и столбцов, выделенных зеленым цветом меняются автомотически при введении данных по направлениям.</t>
  </si>
  <si>
    <t>AŞGABAT</t>
  </si>
  <si>
    <t>AHAL WELAÝATY</t>
  </si>
  <si>
    <t>BALKAN WELAÝATY</t>
  </si>
  <si>
    <t>DAŞOGUZ WELAÝATY</t>
  </si>
  <si>
    <t>LEBAP WELAÝATY</t>
  </si>
  <si>
    <t>MARY WELAÝATY</t>
  </si>
  <si>
    <t>"AWAZA" MSZ</t>
  </si>
  <si>
    <t>Netijesine garaşylýan arzalaryň sany</t>
  </si>
  <si>
    <t>ýanwar 2024 (01.01-31.01) HAKYKY</t>
  </si>
  <si>
    <t>ýanwar 2024 (01.01-25.01) DESLAPKY</t>
  </si>
  <si>
    <t>fewral 2024 (01.02-25.02) DESLAPKY</t>
  </si>
  <si>
    <t>HAKYKY - фактический</t>
  </si>
  <si>
    <t>ýanwar 2024 
(DESLAPKY)</t>
  </si>
  <si>
    <t>ýanwar-fewral 2024 
(DESLAPKY)</t>
  </si>
  <si>
    <t xml:space="preserve">fewral 2024 (01.02-29.02) HAKYKY </t>
  </si>
  <si>
    <t>1. Данные строк и столбцов, выделенных зеленым цветом меняются автомотически при введении данных по направлениям.</t>
  </si>
  <si>
    <t>GELEN syýahatçylar</t>
  </si>
  <si>
    <t>GIDEN syýahatçylar</t>
  </si>
  <si>
    <t>04.02.2024 – 08.02.2024</t>
  </si>
  <si>
    <t>09.02.2024 – 15.02.2024</t>
  </si>
  <si>
    <t>31.02.2024 – 02.03.2024</t>
  </si>
  <si>
    <t>ПРИМЕЧАНИЕ:
Отчет составляется в конце каждого месяца для последующего месяца. К примеру, в конце января за февраль (при этом все остальные отчеты за январь), в конце февраля за март (при этом все остальные отчеты за февраль) и т.д.</t>
  </si>
  <si>
    <t>"______________" hususy kärhanasynyň (hojalyk jemgyýetiniň)  2024-nji ýylyň ÝANWAR aýynyň 25-i ýagdaýyna DESLAPKY görkezijileri</t>
  </si>
  <si>
    <t>"______________" hususy kärhanasynyň (hojalyk jemgyýetiniň)  2024-nji ýylyň ÝANWAR aýynyň  görkezijileri</t>
  </si>
  <si>
    <t>"________________" hususy kärhanasy/(hojalyk jemgyýeti) tarapyndan 
2024-nji ýylyň ÝANWAR aýynda kabul edilen daşary ýurtly syýahatçylar baradaky hasabat</t>
  </si>
  <si>
    <t>"________________" hususy kärhanasy/(hojalyk jemgyýeti) tarapyndan 
2024-nji ýylyň ÝANWAR aýynda daşary ýurtlara ugradylan syýahatçylar baradaky hasabat</t>
  </si>
  <si>
    <t>"________________" hususy kärhanasy/(hojalyk jemgyýeti) tarapyndan 
2024-nji ýylyň ÝANWAR aýynda içerki syýahatçylyk ugry boýunça ýerine ýetirilen işler baradaky hasabat</t>
  </si>
  <si>
    <t>"_______________"  hususy kärhanasy/(hojalyk jemgyýeti) tarapyndan 
2024-nji ýylyň ÝANWAR aýynda Türkmenistanyň Döwlet migrasiýa gullugyna çakylyk almak üçin tabşyrylan arzalaryň (adam sany boýunça) netijeleri baradaky hasabat</t>
  </si>
  <si>
    <t>Çakylyk berilenleriň sany (ДОБРО)</t>
  </si>
  <si>
    <t>Ozb</t>
  </si>
  <si>
    <t>Hindi</t>
  </si>
  <si>
    <t>RF</t>
  </si>
  <si>
    <t>Özb</t>
  </si>
  <si>
    <t>GadamS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</si>
</sst>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₽&quot;_-;\-* #,##0.00\ &quot;₽&quot;_-;_-* &quot;-&quot;??\ &quot;₽&quot;_-;_-@_-"/>
    <numFmt numFmtId="164" formatCode="_-* #,##0.00&quot;р.&quot;_-;\-* #,##0.00&quot;р.&quot;_-;_-* &quot;-&quot;??&quot;р.&quot;_-;_-@_-"/>
  </numFmts>
  <fonts count="2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u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0"/>
      <color indexed="81"/>
      <name val="Tahoma"/>
      <family val="2"/>
      <charset val="204"/>
    </font>
    <font>
      <b/>
      <sz val="10"/>
      <color indexed="81"/>
      <name val="Tahoma"/>
      <family val="2"/>
      <charset val="204"/>
    </font>
    <font>
      <b/>
      <sz val="11"/>
      <color indexed="81"/>
      <name val="Tahoma"/>
      <family val="2"/>
      <charset val="204"/>
    </font>
    <font>
      <sz val="11"/>
      <color indexed="81"/>
      <name val="Tahoma"/>
      <family val="2"/>
      <charset val="204"/>
    </font>
    <font>
      <sz val="12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Border="1"/>
    <xf numFmtId="14" fontId="1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9" fillId="0" borderId="0" xfId="0" applyFont="1"/>
    <xf numFmtId="0" fontId="7" fillId="0" borderId="0" xfId="0" applyFont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0" xfId="0" applyFont="1"/>
    <xf numFmtId="0" fontId="12" fillId="0" borderId="0" xfId="0" applyFont="1" applyAlignment="1">
      <alignment horizontal="center" vertical="top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top"/>
    </xf>
    <xf numFmtId="0" fontId="7" fillId="0" borderId="5" xfId="0" applyFont="1" applyBorder="1"/>
    <xf numFmtId="0" fontId="7" fillId="0" borderId="7" xfId="0" applyFont="1" applyBorder="1"/>
    <xf numFmtId="0" fontId="7" fillId="0" borderId="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/>
    <xf numFmtId="0" fontId="15" fillId="0" borderId="0" xfId="0" applyFont="1" applyAlignment="1"/>
    <xf numFmtId="0" fontId="5" fillId="0" borderId="0" xfId="0" applyFont="1" applyAlignment="1">
      <alignment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center" vertical="top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7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164" fontId="7" fillId="0" borderId="1" xfId="1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7" fillId="0" borderId="8" xfId="1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164" fontId="7" fillId="0" borderId="7" xfId="1" applyNumberFormat="1" applyFont="1" applyBorder="1" applyAlignment="1">
      <alignment horizontal="center" vertical="top"/>
    </xf>
    <xf numFmtId="164" fontId="7" fillId="0" borderId="6" xfId="1" applyNumberFormat="1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Border="1" applyAlignment="1">
      <alignment horizontal="left" wrapText="1"/>
    </xf>
    <xf numFmtId="0" fontId="2" fillId="2" borderId="9" xfId="0" applyFont="1" applyFill="1" applyBorder="1" applyAlignment="1">
      <alignment horizontal="left" wrapText="1"/>
    </xf>
  </cellXfs>
  <cellStyles count="2">
    <cellStyle name="Денежный 2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9"/>
  <sheetViews>
    <sheetView topLeftCell="A10" zoomScaleNormal="151" workbookViewId="0">
      <selection activeCell="B36" sqref="B36"/>
    </sheetView>
  </sheetViews>
  <sheetFormatPr defaultRowHeight="15" x14ac:dyDescent="0.25"/>
  <cols>
    <col min="1" max="1" width="5.140625" customWidth="1"/>
    <col min="2" max="2" width="37" customWidth="1"/>
    <col min="3" max="3" width="7.28515625" customWidth="1"/>
    <col min="4" max="4" width="10.42578125" customWidth="1"/>
    <col min="5" max="5" width="14" customWidth="1"/>
    <col min="6" max="6" width="16.42578125" customWidth="1"/>
    <col min="9" max="9" width="7.140625" customWidth="1"/>
    <col min="10" max="10" width="20.5703125" customWidth="1"/>
    <col min="11" max="11" width="9" customWidth="1"/>
    <col min="12" max="12" width="14.42578125" customWidth="1"/>
    <col min="13" max="13" width="13.140625" customWidth="1"/>
    <col min="14" max="14" width="14.28515625" customWidth="1"/>
    <col min="15" max="15" width="10.5703125" customWidth="1"/>
  </cols>
  <sheetData>
    <row r="1" spans="1:15" x14ac:dyDescent="0.25">
      <c r="G1" s="2" t="s">
        <v>2</v>
      </c>
    </row>
    <row r="2" spans="1:15" ht="15.75" x14ac:dyDescent="0.25">
      <c r="G2" s="2" t="s">
        <v>80</v>
      </c>
      <c r="I2" s="57" t="s">
        <v>81</v>
      </c>
    </row>
    <row r="4" spans="1:15" ht="15.75" customHeight="1" x14ac:dyDescent="0.25">
      <c r="A4" s="68" t="s">
        <v>110</v>
      </c>
      <c r="B4" s="68"/>
      <c r="C4" s="68"/>
      <c r="D4" s="68"/>
      <c r="E4" s="68"/>
      <c r="F4" s="68"/>
      <c r="G4" s="68"/>
      <c r="I4" s="57" t="s">
        <v>86</v>
      </c>
      <c r="J4" s="57"/>
      <c r="K4" s="57"/>
      <c r="L4" s="57"/>
      <c r="M4" s="57"/>
      <c r="N4" s="57"/>
      <c r="O4" s="57"/>
    </row>
    <row r="5" spans="1:15" ht="22.5" customHeight="1" x14ac:dyDescent="0.25">
      <c r="A5" s="69"/>
      <c r="B5" s="69"/>
      <c r="C5" s="69"/>
      <c r="D5" s="69"/>
      <c r="E5" s="69"/>
      <c r="F5" s="69"/>
      <c r="G5" s="69"/>
    </row>
    <row r="6" spans="1:15" ht="17.25" customHeight="1" x14ac:dyDescent="0.25">
      <c r="A6" s="70" t="s">
        <v>1</v>
      </c>
      <c r="B6" s="73" t="s">
        <v>47</v>
      </c>
      <c r="C6" s="66" t="s">
        <v>46</v>
      </c>
      <c r="D6" s="66" t="s">
        <v>97</v>
      </c>
      <c r="E6" s="71" t="s">
        <v>45</v>
      </c>
      <c r="F6" s="72"/>
      <c r="G6" s="66" t="s">
        <v>44</v>
      </c>
      <c r="I6" s="64" t="s">
        <v>1</v>
      </c>
      <c r="J6" s="64" t="s">
        <v>47</v>
      </c>
      <c r="K6" s="62" t="s">
        <v>46</v>
      </c>
      <c r="L6" s="65" t="s">
        <v>98</v>
      </c>
      <c r="M6" s="62" t="s">
        <v>45</v>
      </c>
      <c r="N6" s="62"/>
      <c r="O6" s="62" t="s">
        <v>44</v>
      </c>
    </row>
    <row r="7" spans="1:15" ht="54.75" customHeight="1" x14ac:dyDescent="0.25">
      <c r="A7" s="70"/>
      <c r="B7" s="74"/>
      <c r="C7" s="67"/>
      <c r="D7" s="67"/>
      <c r="E7" s="40" t="s">
        <v>82</v>
      </c>
      <c r="F7" s="40" t="s">
        <v>100</v>
      </c>
      <c r="G7" s="67"/>
      <c r="I7" s="64"/>
      <c r="J7" s="64"/>
      <c r="K7" s="62"/>
      <c r="L7" s="65"/>
      <c r="M7" s="58" t="s">
        <v>84</v>
      </c>
      <c r="N7" s="58" t="s">
        <v>101</v>
      </c>
      <c r="O7" s="62"/>
    </row>
    <row r="8" spans="1:15" x14ac:dyDescent="0.25">
      <c r="A8" s="39">
        <v>1</v>
      </c>
      <c r="B8" s="39">
        <v>2</v>
      </c>
      <c r="C8" s="39">
        <v>3</v>
      </c>
      <c r="D8" s="39">
        <v>4</v>
      </c>
      <c r="E8" s="39">
        <v>5</v>
      </c>
      <c r="F8" s="39">
        <v>6</v>
      </c>
      <c r="G8" s="39">
        <v>7</v>
      </c>
    </row>
    <row r="9" spans="1:15" ht="25.5" customHeight="1" x14ac:dyDescent="0.25">
      <c r="A9" s="47">
        <v>1</v>
      </c>
      <c r="B9" s="44" t="s">
        <v>59</v>
      </c>
      <c r="C9" s="45" t="s">
        <v>43</v>
      </c>
      <c r="D9" s="46">
        <f>SUM(D11:D20)</f>
        <v>1</v>
      </c>
      <c r="E9" s="46">
        <f t="shared" ref="E9:F9" si="0">SUM(E11:E20)</f>
        <v>3</v>
      </c>
      <c r="F9" s="46">
        <f t="shared" si="0"/>
        <v>4</v>
      </c>
      <c r="G9" s="47">
        <f>SUM(F9/E9*100)</f>
        <v>133.33333333333331</v>
      </c>
      <c r="I9" s="63" t="s">
        <v>87</v>
      </c>
      <c r="J9" s="63"/>
      <c r="K9" s="63"/>
      <c r="L9" s="63"/>
      <c r="M9" s="63"/>
      <c r="N9" s="63"/>
      <c r="O9" s="63"/>
    </row>
    <row r="10" spans="1:15" x14ac:dyDescent="0.25">
      <c r="A10" s="35"/>
      <c r="B10" s="38" t="s">
        <v>48</v>
      </c>
      <c r="C10" s="35" t="s">
        <v>58</v>
      </c>
      <c r="D10" s="35" t="s">
        <v>58</v>
      </c>
      <c r="E10" s="35" t="s">
        <v>58</v>
      </c>
      <c r="F10" s="35" t="s">
        <v>58</v>
      </c>
      <c r="G10" s="35" t="s">
        <v>58</v>
      </c>
      <c r="I10" s="63"/>
      <c r="J10" s="63"/>
      <c r="K10" s="63"/>
      <c r="L10" s="63"/>
      <c r="M10" s="63"/>
      <c r="N10" s="63"/>
      <c r="O10" s="63"/>
    </row>
    <row r="11" spans="1:15" x14ac:dyDescent="0.25">
      <c r="A11" s="35"/>
      <c r="B11" s="38" t="s">
        <v>117</v>
      </c>
      <c r="C11" s="35" t="s">
        <v>43</v>
      </c>
      <c r="D11" s="37">
        <v>1</v>
      </c>
      <c r="E11" s="37">
        <v>2</v>
      </c>
      <c r="F11" s="36">
        <v>1</v>
      </c>
      <c r="G11" s="47">
        <f>SUM(F11/E11*100)</f>
        <v>50</v>
      </c>
    </row>
    <row r="12" spans="1:15" x14ac:dyDescent="0.25">
      <c r="A12" s="35"/>
      <c r="B12" s="38" t="s">
        <v>118</v>
      </c>
      <c r="C12" s="35" t="s">
        <v>43</v>
      </c>
      <c r="D12" s="37"/>
      <c r="E12" s="37">
        <v>1</v>
      </c>
      <c r="F12" s="36">
        <v>3</v>
      </c>
      <c r="G12" s="47">
        <f t="shared" ref="G12:G20" si="1">SUM(F12/E12*100)</f>
        <v>300</v>
      </c>
    </row>
    <row r="13" spans="1:15" x14ac:dyDescent="0.25">
      <c r="A13" s="35"/>
      <c r="B13" s="38"/>
      <c r="C13" s="35" t="s">
        <v>43</v>
      </c>
      <c r="D13" s="37"/>
      <c r="E13" s="37"/>
      <c r="F13" s="36"/>
      <c r="G13" s="47" t="e">
        <f t="shared" si="1"/>
        <v>#DIV/0!</v>
      </c>
    </row>
    <row r="14" spans="1:15" x14ac:dyDescent="0.25">
      <c r="A14" s="35"/>
      <c r="B14" s="38"/>
      <c r="C14" s="35" t="s">
        <v>43</v>
      </c>
      <c r="D14" s="37"/>
      <c r="E14" s="37"/>
      <c r="F14" s="36"/>
      <c r="G14" s="47" t="e">
        <f t="shared" si="1"/>
        <v>#DIV/0!</v>
      </c>
    </row>
    <row r="15" spans="1:15" x14ac:dyDescent="0.25">
      <c r="A15" s="35"/>
      <c r="B15" s="38"/>
      <c r="C15" s="35" t="s">
        <v>43</v>
      </c>
      <c r="D15" s="37"/>
      <c r="E15" s="37"/>
      <c r="F15" s="36"/>
      <c r="G15" s="47" t="e">
        <f t="shared" si="1"/>
        <v>#DIV/0!</v>
      </c>
    </row>
    <row r="16" spans="1:15" x14ac:dyDescent="0.25">
      <c r="A16" s="35"/>
      <c r="B16" s="38"/>
      <c r="C16" s="35" t="s">
        <v>43</v>
      </c>
      <c r="D16" s="37"/>
      <c r="E16" s="37"/>
      <c r="F16" s="36"/>
      <c r="G16" s="47" t="e">
        <f t="shared" si="1"/>
        <v>#DIV/0!</v>
      </c>
    </row>
    <row r="17" spans="1:7" x14ac:dyDescent="0.25">
      <c r="A17" s="35"/>
      <c r="B17" s="38"/>
      <c r="C17" s="35" t="s">
        <v>43</v>
      </c>
      <c r="D17" s="37"/>
      <c r="E17" s="37"/>
      <c r="F17" s="36"/>
      <c r="G17" s="47" t="e">
        <f t="shared" si="1"/>
        <v>#DIV/0!</v>
      </c>
    </row>
    <row r="18" spans="1:7" x14ac:dyDescent="0.25">
      <c r="A18" s="35"/>
      <c r="B18" s="38"/>
      <c r="C18" s="35" t="s">
        <v>43</v>
      </c>
      <c r="D18" s="37"/>
      <c r="E18" s="37"/>
      <c r="F18" s="36"/>
      <c r="G18" s="47" t="e">
        <f t="shared" si="1"/>
        <v>#DIV/0!</v>
      </c>
    </row>
    <row r="19" spans="1:7" x14ac:dyDescent="0.25">
      <c r="A19" s="35"/>
      <c r="B19" s="38"/>
      <c r="C19" s="35" t="s">
        <v>43</v>
      </c>
      <c r="D19" s="37"/>
      <c r="E19" s="37"/>
      <c r="F19" s="36"/>
      <c r="G19" s="47" t="e">
        <f t="shared" si="1"/>
        <v>#DIV/0!</v>
      </c>
    </row>
    <row r="20" spans="1:7" x14ac:dyDescent="0.25">
      <c r="A20" s="35"/>
      <c r="B20" s="38"/>
      <c r="C20" s="35" t="s">
        <v>43</v>
      </c>
      <c r="D20" s="37"/>
      <c r="E20" s="37"/>
      <c r="F20" s="36"/>
      <c r="G20" s="47" t="e">
        <f t="shared" si="1"/>
        <v>#DIV/0!</v>
      </c>
    </row>
    <row r="21" spans="1:7" ht="27" customHeight="1" x14ac:dyDescent="0.25">
      <c r="A21" s="45">
        <v>2</v>
      </c>
      <c r="B21" s="48" t="s">
        <v>60</v>
      </c>
      <c r="C21" s="45" t="s">
        <v>43</v>
      </c>
      <c r="D21" s="46">
        <f>SUM(D23:D32)</f>
        <v>70</v>
      </c>
      <c r="E21" s="46">
        <f t="shared" ref="E21:F21" si="2">SUM(E23:E32)</f>
        <v>0</v>
      </c>
      <c r="F21" s="46">
        <f t="shared" si="2"/>
        <v>240</v>
      </c>
      <c r="G21" s="47" t="e">
        <f>SUM(F21/E21*100)</f>
        <v>#DIV/0!</v>
      </c>
    </row>
    <row r="22" spans="1:7" ht="15" customHeight="1" x14ac:dyDescent="0.25">
      <c r="A22" s="35"/>
      <c r="B22" s="38" t="s">
        <v>48</v>
      </c>
      <c r="C22" s="35" t="s">
        <v>58</v>
      </c>
      <c r="D22" s="35" t="s">
        <v>58</v>
      </c>
      <c r="E22" s="35" t="s">
        <v>58</v>
      </c>
      <c r="F22" s="35" t="s">
        <v>58</v>
      </c>
      <c r="G22" s="35" t="s">
        <v>58</v>
      </c>
    </row>
    <row r="23" spans="1:7" x14ac:dyDescent="0.25">
      <c r="A23" s="35"/>
      <c r="B23" s="38" t="s">
        <v>120</v>
      </c>
      <c r="C23" s="35" t="s">
        <v>43</v>
      </c>
      <c r="D23" s="37">
        <v>20</v>
      </c>
      <c r="E23" s="37"/>
      <c r="F23" s="36">
        <v>70</v>
      </c>
      <c r="G23" s="47" t="e">
        <f>SUM(F23/E23*100)</f>
        <v>#DIV/0!</v>
      </c>
    </row>
    <row r="24" spans="1:7" x14ac:dyDescent="0.25">
      <c r="A24" s="35"/>
      <c r="B24" s="38" t="s">
        <v>119</v>
      </c>
      <c r="C24" s="35" t="s">
        <v>43</v>
      </c>
      <c r="D24" s="37">
        <v>50</v>
      </c>
      <c r="E24" s="37"/>
      <c r="F24" s="36">
        <v>170</v>
      </c>
      <c r="G24" s="47" t="e">
        <f t="shared" ref="G24:G32" si="3">SUM(F24/E24*100)</f>
        <v>#DIV/0!</v>
      </c>
    </row>
    <row r="25" spans="1:7" x14ac:dyDescent="0.25">
      <c r="A25" s="35"/>
      <c r="B25" s="38"/>
      <c r="C25" s="35" t="s">
        <v>43</v>
      </c>
      <c r="D25" s="37"/>
      <c r="E25" s="37"/>
      <c r="F25" s="36"/>
      <c r="G25" s="47" t="e">
        <f t="shared" si="3"/>
        <v>#DIV/0!</v>
      </c>
    </row>
    <row r="26" spans="1:7" x14ac:dyDescent="0.25">
      <c r="A26" s="35"/>
      <c r="B26" s="38"/>
      <c r="C26" s="35" t="s">
        <v>43</v>
      </c>
      <c r="D26" s="37"/>
      <c r="E26" s="37"/>
      <c r="F26" s="36"/>
      <c r="G26" s="47" t="e">
        <f t="shared" si="3"/>
        <v>#DIV/0!</v>
      </c>
    </row>
    <row r="27" spans="1:7" x14ac:dyDescent="0.25">
      <c r="A27" s="35"/>
      <c r="B27" s="38"/>
      <c r="C27" s="35" t="s">
        <v>43</v>
      </c>
      <c r="D27" s="37"/>
      <c r="E27" s="37"/>
      <c r="F27" s="36"/>
      <c r="G27" s="47" t="e">
        <f t="shared" si="3"/>
        <v>#DIV/0!</v>
      </c>
    </row>
    <row r="28" spans="1:7" x14ac:dyDescent="0.25">
      <c r="A28" s="35"/>
      <c r="B28" s="38"/>
      <c r="C28" s="35" t="s">
        <v>43</v>
      </c>
      <c r="D28" s="37"/>
      <c r="E28" s="37"/>
      <c r="F28" s="36"/>
      <c r="G28" s="47" t="e">
        <f t="shared" si="3"/>
        <v>#DIV/0!</v>
      </c>
    </row>
    <row r="29" spans="1:7" x14ac:dyDescent="0.25">
      <c r="A29" s="35"/>
      <c r="B29" s="38"/>
      <c r="C29" s="35" t="s">
        <v>43</v>
      </c>
      <c r="D29" s="37"/>
      <c r="E29" s="37"/>
      <c r="F29" s="36"/>
      <c r="G29" s="47" t="e">
        <f t="shared" si="3"/>
        <v>#DIV/0!</v>
      </c>
    </row>
    <row r="30" spans="1:7" x14ac:dyDescent="0.25">
      <c r="A30" s="35"/>
      <c r="B30" s="38"/>
      <c r="C30" s="35" t="s">
        <v>43</v>
      </c>
      <c r="D30" s="37"/>
      <c r="E30" s="37"/>
      <c r="F30" s="36"/>
      <c r="G30" s="47" t="e">
        <f t="shared" si="3"/>
        <v>#DIV/0!</v>
      </c>
    </row>
    <row r="31" spans="1:7" x14ac:dyDescent="0.25">
      <c r="A31" s="35"/>
      <c r="B31" s="38"/>
      <c r="C31" s="35" t="s">
        <v>43</v>
      </c>
      <c r="D31" s="37"/>
      <c r="E31" s="37"/>
      <c r="F31" s="36"/>
      <c r="G31" s="47" t="e">
        <f t="shared" si="3"/>
        <v>#DIV/0!</v>
      </c>
    </row>
    <row r="32" spans="1:7" x14ac:dyDescent="0.25">
      <c r="A32" s="35"/>
      <c r="B32" s="38"/>
      <c r="C32" s="35" t="s">
        <v>43</v>
      </c>
      <c r="D32" s="37"/>
      <c r="E32" s="37"/>
      <c r="F32" s="36"/>
      <c r="G32" s="47" t="e">
        <f t="shared" si="3"/>
        <v>#DIV/0!</v>
      </c>
    </row>
    <row r="33" spans="1:8" ht="27.75" customHeight="1" x14ac:dyDescent="0.25">
      <c r="A33" s="47">
        <v>3</v>
      </c>
      <c r="B33" s="44" t="s">
        <v>61</v>
      </c>
      <c r="C33" s="45" t="s">
        <v>43</v>
      </c>
      <c r="D33" s="46">
        <f>SUM(D35:D41)</f>
        <v>0</v>
      </c>
      <c r="E33" s="46">
        <f t="shared" ref="E33:F33" si="4">SUM(E35:E41)</f>
        <v>0</v>
      </c>
      <c r="F33" s="46">
        <f t="shared" si="4"/>
        <v>0</v>
      </c>
      <c r="G33" s="47" t="e">
        <f>SUM(F33/E33*100)</f>
        <v>#DIV/0!</v>
      </c>
    </row>
    <row r="34" spans="1:8" ht="15" customHeight="1" x14ac:dyDescent="0.25">
      <c r="A34" s="35"/>
      <c r="B34" s="41" t="s">
        <v>56</v>
      </c>
      <c r="C34" s="35" t="s">
        <v>58</v>
      </c>
      <c r="D34" s="35" t="s">
        <v>58</v>
      </c>
      <c r="E34" s="35" t="s">
        <v>58</v>
      </c>
      <c r="F34" s="35" t="s">
        <v>58</v>
      </c>
      <c r="G34" s="35" t="s">
        <v>58</v>
      </c>
    </row>
    <row r="35" spans="1:8" ht="15" customHeight="1" x14ac:dyDescent="0.25">
      <c r="A35" s="35"/>
      <c r="B35" s="38" t="s">
        <v>49</v>
      </c>
      <c r="C35" s="35" t="s">
        <v>43</v>
      </c>
      <c r="D35" s="37"/>
      <c r="E35" s="37"/>
      <c r="F35" s="36"/>
      <c r="G35" s="47" t="e">
        <f>SUM(F35/E35*100)</f>
        <v>#DIV/0!</v>
      </c>
    </row>
    <row r="36" spans="1:8" ht="15" customHeight="1" x14ac:dyDescent="0.25">
      <c r="A36" s="35"/>
      <c r="B36" s="38" t="s">
        <v>50</v>
      </c>
      <c r="C36" s="35" t="s">
        <v>43</v>
      </c>
      <c r="D36" s="37"/>
      <c r="E36" s="37"/>
      <c r="F36" s="36"/>
      <c r="G36" s="47" t="e">
        <f t="shared" ref="G36:G41" si="5">SUM(F36/E36*100)</f>
        <v>#DIV/0!</v>
      </c>
    </row>
    <row r="37" spans="1:8" ht="15" customHeight="1" x14ac:dyDescent="0.25">
      <c r="A37" s="35"/>
      <c r="B37" s="38" t="s">
        <v>51</v>
      </c>
      <c r="C37" s="35" t="s">
        <v>43</v>
      </c>
      <c r="D37" s="37"/>
      <c r="E37" s="37"/>
      <c r="F37" s="36"/>
      <c r="G37" s="47" t="e">
        <f t="shared" si="5"/>
        <v>#DIV/0!</v>
      </c>
    </row>
    <row r="38" spans="1:8" ht="15" customHeight="1" x14ac:dyDescent="0.25">
      <c r="A38" s="35"/>
      <c r="B38" s="38" t="s">
        <v>52</v>
      </c>
      <c r="C38" s="35" t="s">
        <v>43</v>
      </c>
      <c r="D38" s="37"/>
      <c r="E38" s="37"/>
      <c r="F38" s="36"/>
      <c r="G38" s="47" t="e">
        <f t="shared" si="5"/>
        <v>#DIV/0!</v>
      </c>
    </row>
    <row r="39" spans="1:8" ht="15" customHeight="1" x14ac:dyDescent="0.25">
      <c r="A39" s="32"/>
      <c r="B39" s="38" t="s">
        <v>53</v>
      </c>
      <c r="C39" s="35" t="s">
        <v>43</v>
      </c>
      <c r="D39" s="33"/>
      <c r="E39" s="33"/>
      <c r="F39" s="33"/>
      <c r="G39" s="47" t="e">
        <f t="shared" si="5"/>
        <v>#DIV/0!</v>
      </c>
    </row>
    <row r="40" spans="1:8" ht="15" customHeight="1" x14ac:dyDescent="0.25">
      <c r="A40" s="32"/>
      <c r="B40" s="34" t="s">
        <v>54</v>
      </c>
      <c r="C40" s="35" t="s">
        <v>43</v>
      </c>
      <c r="D40" s="33"/>
      <c r="E40" s="33"/>
      <c r="F40" s="33"/>
      <c r="G40" s="47" t="e">
        <f t="shared" si="5"/>
        <v>#DIV/0!</v>
      </c>
    </row>
    <row r="41" spans="1:8" ht="15" customHeight="1" x14ac:dyDescent="0.25">
      <c r="A41" s="32"/>
      <c r="B41" s="34" t="s">
        <v>55</v>
      </c>
      <c r="C41" s="32" t="s">
        <v>43</v>
      </c>
      <c r="D41" s="33"/>
      <c r="E41" s="33"/>
      <c r="F41" s="33"/>
      <c r="G41" s="47" t="e">
        <f t="shared" si="5"/>
        <v>#DIV/0!</v>
      </c>
    </row>
    <row r="42" spans="1:8" x14ac:dyDescent="0.25">
      <c r="A42" s="30"/>
      <c r="B42" s="30"/>
      <c r="C42" s="1"/>
      <c r="D42" s="1"/>
      <c r="E42" s="1"/>
      <c r="F42" s="1"/>
      <c r="G42" s="1"/>
    </row>
    <row r="43" spans="1:8" ht="18.75" x14ac:dyDescent="0.3">
      <c r="A43" s="30"/>
      <c r="B43" s="31" t="s">
        <v>42</v>
      </c>
      <c r="D43" s="20"/>
      <c r="G43" s="11"/>
      <c r="H43" s="11"/>
    </row>
    <row r="44" spans="1:8" ht="18.75" x14ac:dyDescent="0.3">
      <c r="A44" s="30"/>
      <c r="B44" s="21" t="s">
        <v>41</v>
      </c>
      <c r="D44" s="20"/>
      <c r="G44" s="11"/>
      <c r="H44" s="11"/>
    </row>
    <row r="45" spans="1:8" ht="18.75" x14ac:dyDescent="0.3">
      <c r="A45" s="30"/>
      <c r="B45" s="31"/>
      <c r="D45" s="20"/>
      <c r="G45" s="11"/>
      <c r="H45" s="11"/>
    </row>
    <row r="46" spans="1:8" x14ac:dyDescent="0.25">
      <c r="A46" s="30"/>
      <c r="B46" s="31" t="s">
        <v>40</v>
      </c>
      <c r="F46" s="1"/>
    </row>
    <row r="47" spans="1:8" x14ac:dyDescent="0.25">
      <c r="A47" s="30"/>
      <c r="B47" s="30"/>
      <c r="C47" s="1"/>
      <c r="D47" s="1"/>
      <c r="E47" s="1"/>
      <c r="F47" s="1"/>
      <c r="G47" s="1"/>
    </row>
    <row r="48" spans="1:8" ht="15.75" x14ac:dyDescent="0.25">
      <c r="B48" s="4" t="s">
        <v>39</v>
      </c>
    </row>
    <row r="49" spans="2:2" x14ac:dyDescent="0.25">
      <c r="B49" s="5" t="s">
        <v>3</v>
      </c>
    </row>
  </sheetData>
  <mergeCells count="14">
    <mergeCell ref="G6:G7"/>
    <mergeCell ref="A4:G5"/>
    <mergeCell ref="A6:A7"/>
    <mergeCell ref="D6:D7"/>
    <mergeCell ref="E6:F6"/>
    <mergeCell ref="C6:C7"/>
    <mergeCell ref="B6:B7"/>
    <mergeCell ref="O6:O7"/>
    <mergeCell ref="I9:O10"/>
    <mergeCell ref="I6:I7"/>
    <mergeCell ref="J6:J7"/>
    <mergeCell ref="K6:K7"/>
    <mergeCell ref="L6:L7"/>
    <mergeCell ref="M6:N6"/>
  </mergeCells>
  <pageMargins left="0.11811023622047245" right="0.11811023622047245" top="0.15748031496062992" bottom="0.15748031496062992" header="0.31496062992125984" footer="0.3149606299212598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Normal="100" workbookViewId="0">
      <selection activeCell="E17" sqref="E17"/>
    </sheetView>
  </sheetViews>
  <sheetFormatPr defaultRowHeight="15" x14ac:dyDescent="0.25"/>
  <cols>
    <col min="2" max="2" width="26.140625" customWidth="1"/>
    <col min="3" max="3" width="15.7109375" customWidth="1"/>
    <col min="4" max="4" width="16.28515625" customWidth="1"/>
    <col min="5" max="5" width="40.140625" customWidth="1"/>
    <col min="6" max="6" width="28.42578125" customWidth="1"/>
    <col min="7" max="7" width="6.42578125" customWidth="1"/>
    <col min="8" max="9" width="9.140625" hidden="1" customWidth="1"/>
  </cols>
  <sheetData>
    <row r="1" spans="1:9" x14ac:dyDescent="0.25">
      <c r="F1" s="55" t="s">
        <v>2</v>
      </c>
    </row>
    <row r="2" spans="1:9" x14ac:dyDescent="0.25">
      <c r="F2" s="2" t="s">
        <v>79</v>
      </c>
    </row>
    <row r="3" spans="1:9" x14ac:dyDescent="0.25">
      <c r="F3" s="2"/>
    </row>
    <row r="4" spans="1:9" x14ac:dyDescent="0.25">
      <c r="F4" s="2"/>
    </row>
    <row r="5" spans="1:9" ht="42.75" customHeight="1" x14ac:dyDescent="0.3">
      <c r="A5" s="75" t="s">
        <v>78</v>
      </c>
      <c r="B5" s="75"/>
      <c r="C5" s="75"/>
      <c r="D5" s="75"/>
      <c r="E5" s="75"/>
      <c r="F5" s="75"/>
      <c r="G5" s="43"/>
      <c r="H5" s="43"/>
      <c r="I5" s="43"/>
    </row>
    <row r="7" spans="1:9" ht="15.75" customHeight="1" x14ac:dyDescent="0.25">
      <c r="A7" s="65" t="s">
        <v>1</v>
      </c>
      <c r="B7" s="65" t="s">
        <v>0</v>
      </c>
      <c r="C7" s="65" t="s">
        <v>63</v>
      </c>
      <c r="D7" s="65" t="s">
        <v>64</v>
      </c>
      <c r="E7" s="65" t="s">
        <v>65</v>
      </c>
      <c r="F7" s="65" t="s">
        <v>66</v>
      </c>
    </row>
    <row r="8" spans="1:9" ht="15.75" customHeight="1" x14ac:dyDescent="0.25">
      <c r="A8" s="65"/>
      <c r="B8" s="65"/>
      <c r="C8" s="65"/>
      <c r="D8" s="65"/>
      <c r="E8" s="65"/>
      <c r="F8" s="65"/>
    </row>
    <row r="9" spans="1:9" ht="33.75" customHeight="1" x14ac:dyDescent="0.25">
      <c r="A9" s="29" t="s">
        <v>67</v>
      </c>
      <c r="B9" s="52" t="s">
        <v>68</v>
      </c>
      <c r="C9" s="53">
        <v>3</v>
      </c>
      <c r="D9" s="54" t="s">
        <v>106</v>
      </c>
      <c r="E9" s="53" t="s">
        <v>69</v>
      </c>
      <c r="F9" s="53" t="s">
        <v>70</v>
      </c>
    </row>
    <row r="10" spans="1:9" ht="31.5" x14ac:dyDescent="0.25">
      <c r="A10" s="29" t="s">
        <v>71</v>
      </c>
      <c r="B10" s="52" t="s">
        <v>57</v>
      </c>
      <c r="C10" s="53">
        <v>8</v>
      </c>
      <c r="D10" s="53" t="s">
        <v>107</v>
      </c>
      <c r="E10" s="53" t="s">
        <v>72</v>
      </c>
      <c r="F10" s="53" t="s">
        <v>73</v>
      </c>
    </row>
    <row r="11" spans="1:9" ht="31.5" x14ac:dyDescent="0.25">
      <c r="A11" s="29" t="s">
        <v>74</v>
      </c>
      <c r="B11" s="52" t="s">
        <v>57</v>
      </c>
      <c r="C11" s="53">
        <v>16</v>
      </c>
      <c r="D11" s="53" t="s">
        <v>108</v>
      </c>
      <c r="E11" s="53" t="s">
        <v>75</v>
      </c>
      <c r="F11" s="53" t="s">
        <v>76</v>
      </c>
    </row>
    <row r="14" spans="1:9" ht="15.75" x14ac:dyDescent="0.25">
      <c r="B14" s="4" t="s">
        <v>39</v>
      </c>
      <c r="C14" s="3"/>
    </row>
    <row r="15" spans="1:9" ht="15.75" x14ac:dyDescent="0.25">
      <c r="B15" s="5" t="s">
        <v>3</v>
      </c>
      <c r="C15" s="3"/>
    </row>
    <row r="17" spans="2:4" ht="153.75" customHeight="1" x14ac:dyDescent="0.25">
      <c r="B17" s="75" t="s">
        <v>109</v>
      </c>
      <c r="C17" s="75"/>
      <c r="D17" s="75"/>
    </row>
  </sheetData>
  <mergeCells count="8">
    <mergeCell ref="B17:D17"/>
    <mergeCell ref="A5:F5"/>
    <mergeCell ref="A7:A8"/>
    <mergeCell ref="B7:B8"/>
    <mergeCell ref="C7:C8"/>
    <mergeCell ref="D7:D8"/>
    <mergeCell ref="E7:E8"/>
    <mergeCell ref="F7:F8"/>
  </mergeCells>
  <pageMargins left="0.25" right="0.25" top="0.75" bottom="1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9"/>
  <sheetViews>
    <sheetView zoomScaleNormal="100" workbookViewId="0">
      <selection activeCell="N25" sqref="N25"/>
    </sheetView>
  </sheetViews>
  <sheetFormatPr defaultRowHeight="15" x14ac:dyDescent="0.25"/>
  <cols>
    <col min="1" max="1" width="5.140625" customWidth="1"/>
    <col min="2" max="2" width="37" customWidth="1"/>
    <col min="3" max="3" width="7.28515625" customWidth="1"/>
    <col min="4" max="4" width="9.5703125" customWidth="1"/>
    <col min="5" max="5" width="14" customWidth="1"/>
    <col min="6" max="6" width="16.42578125" customWidth="1"/>
    <col min="9" max="9" width="6.140625" customWidth="1"/>
    <col min="10" max="10" width="16.140625" customWidth="1"/>
    <col min="11" max="11" width="8.7109375" customWidth="1"/>
    <col min="12" max="12" width="13" customWidth="1"/>
    <col min="13" max="13" width="13.140625" customWidth="1"/>
    <col min="14" max="14" width="13.5703125" customWidth="1"/>
  </cols>
  <sheetData>
    <row r="1" spans="1:15" x14ac:dyDescent="0.25">
      <c r="G1" s="2" t="s">
        <v>2</v>
      </c>
    </row>
    <row r="2" spans="1:15" ht="15.75" x14ac:dyDescent="0.25">
      <c r="G2" s="2" t="s">
        <v>99</v>
      </c>
      <c r="I2" s="57" t="s">
        <v>81</v>
      </c>
    </row>
    <row r="4" spans="1:15" ht="15.75" customHeight="1" x14ac:dyDescent="0.25">
      <c r="A4" s="68" t="s">
        <v>111</v>
      </c>
      <c r="B4" s="68"/>
      <c r="C4" s="68"/>
      <c r="D4" s="68"/>
      <c r="E4" s="68"/>
      <c r="F4" s="68"/>
      <c r="G4" s="68"/>
      <c r="I4" s="57" t="s">
        <v>86</v>
      </c>
      <c r="J4" s="57"/>
      <c r="K4" s="57"/>
      <c r="L4" s="57"/>
      <c r="M4" s="57"/>
      <c r="N4" s="57"/>
      <c r="O4" s="57"/>
    </row>
    <row r="5" spans="1:15" ht="22.5" customHeight="1" x14ac:dyDescent="0.25">
      <c r="A5" s="69"/>
      <c r="B5" s="69"/>
      <c r="C5" s="69"/>
      <c r="D5" s="69"/>
      <c r="E5" s="69"/>
      <c r="F5" s="69"/>
      <c r="G5" s="69"/>
    </row>
    <row r="6" spans="1:15" ht="17.25" customHeight="1" x14ac:dyDescent="0.25">
      <c r="A6" s="70" t="s">
        <v>1</v>
      </c>
      <c r="B6" s="73" t="s">
        <v>47</v>
      </c>
      <c r="C6" s="66" t="s">
        <v>46</v>
      </c>
      <c r="D6" s="66" t="s">
        <v>96</v>
      </c>
      <c r="E6" s="71" t="s">
        <v>45</v>
      </c>
      <c r="F6" s="72"/>
      <c r="G6" s="66" t="s">
        <v>44</v>
      </c>
      <c r="I6" s="64" t="s">
        <v>1</v>
      </c>
      <c r="J6" s="64" t="s">
        <v>47</v>
      </c>
      <c r="K6" s="62" t="s">
        <v>46</v>
      </c>
      <c r="L6" s="65" t="s">
        <v>102</v>
      </c>
      <c r="M6" s="62" t="s">
        <v>45</v>
      </c>
      <c r="N6" s="62"/>
      <c r="O6" s="62" t="s">
        <v>44</v>
      </c>
    </row>
    <row r="7" spans="1:15" ht="54.75" customHeight="1" x14ac:dyDescent="0.25">
      <c r="A7" s="70"/>
      <c r="B7" s="74"/>
      <c r="C7" s="67"/>
      <c r="D7" s="67"/>
      <c r="E7" s="40" t="s">
        <v>82</v>
      </c>
      <c r="F7" s="40" t="s">
        <v>83</v>
      </c>
      <c r="G7" s="67"/>
      <c r="I7" s="64"/>
      <c r="J7" s="64"/>
      <c r="K7" s="62"/>
      <c r="L7" s="65"/>
      <c r="M7" s="58" t="s">
        <v>84</v>
      </c>
      <c r="N7" s="58" t="s">
        <v>85</v>
      </c>
      <c r="O7" s="62"/>
    </row>
    <row r="8" spans="1:15" x14ac:dyDescent="0.25">
      <c r="A8" s="39">
        <v>1</v>
      </c>
      <c r="B8" s="39">
        <v>2</v>
      </c>
      <c r="C8" s="39">
        <v>3</v>
      </c>
      <c r="D8" s="39">
        <v>4</v>
      </c>
      <c r="E8" s="39">
        <v>5</v>
      </c>
      <c r="F8" s="39">
        <v>6</v>
      </c>
      <c r="G8" s="39">
        <v>7</v>
      </c>
    </row>
    <row r="9" spans="1:15" ht="25.5" x14ac:dyDescent="0.25">
      <c r="A9" s="47">
        <v>1</v>
      </c>
      <c r="B9" s="44" t="s">
        <v>59</v>
      </c>
      <c r="C9" s="45" t="s">
        <v>43</v>
      </c>
      <c r="D9" s="46">
        <f>SUM(D11:D20)</f>
        <v>0</v>
      </c>
      <c r="E9" s="46">
        <f t="shared" ref="E9:F9" si="0">SUM(E11:E20)</f>
        <v>0</v>
      </c>
      <c r="F9" s="46">
        <f t="shared" si="0"/>
        <v>0</v>
      </c>
      <c r="G9" s="47" t="e">
        <f>SUM(F9/E9*100)</f>
        <v>#DIV/0!</v>
      </c>
      <c r="I9" s="63" t="s">
        <v>87</v>
      </c>
      <c r="J9" s="63"/>
      <c r="K9" s="63"/>
      <c r="L9" s="63"/>
      <c r="M9" s="63"/>
      <c r="N9" s="63"/>
      <c r="O9" s="63"/>
    </row>
    <row r="10" spans="1:15" x14ac:dyDescent="0.25">
      <c r="A10" s="35"/>
      <c r="B10" s="38" t="s">
        <v>48</v>
      </c>
      <c r="C10" s="35" t="s">
        <v>58</v>
      </c>
      <c r="D10" s="35" t="s">
        <v>58</v>
      </c>
      <c r="E10" s="35" t="s">
        <v>58</v>
      </c>
      <c r="F10" s="35" t="s">
        <v>58</v>
      </c>
      <c r="G10" s="35" t="s">
        <v>58</v>
      </c>
      <c r="I10" s="63"/>
      <c r="J10" s="63"/>
      <c r="K10" s="63"/>
      <c r="L10" s="63"/>
      <c r="M10" s="63"/>
      <c r="N10" s="63"/>
      <c r="O10" s="63"/>
    </row>
    <row r="11" spans="1:15" x14ac:dyDescent="0.25">
      <c r="A11" s="35"/>
      <c r="B11" s="38"/>
      <c r="C11" s="35" t="s">
        <v>43</v>
      </c>
      <c r="D11" s="37"/>
      <c r="E11" s="37"/>
      <c r="F11" s="36"/>
      <c r="G11" s="47" t="e">
        <f>SUM(F11/E11*100)</f>
        <v>#DIV/0!</v>
      </c>
    </row>
    <row r="12" spans="1:15" x14ac:dyDescent="0.25">
      <c r="A12" s="35"/>
      <c r="B12" s="38"/>
      <c r="C12" s="35" t="s">
        <v>43</v>
      </c>
      <c r="D12" s="37"/>
      <c r="E12" s="37"/>
      <c r="F12" s="36"/>
      <c r="G12" s="47" t="e">
        <f t="shared" ref="G12:G20" si="1">SUM(F12/E12*100)</f>
        <v>#DIV/0!</v>
      </c>
    </row>
    <row r="13" spans="1:15" x14ac:dyDescent="0.25">
      <c r="A13" s="35"/>
      <c r="B13" s="38"/>
      <c r="C13" s="35" t="s">
        <v>43</v>
      </c>
      <c r="D13" s="37"/>
      <c r="E13" s="37"/>
      <c r="F13" s="36"/>
      <c r="G13" s="47" t="e">
        <f t="shared" si="1"/>
        <v>#DIV/0!</v>
      </c>
    </row>
    <row r="14" spans="1:15" x14ac:dyDescent="0.25">
      <c r="A14" s="35"/>
      <c r="B14" s="38"/>
      <c r="C14" s="35" t="s">
        <v>43</v>
      </c>
      <c r="D14" s="37"/>
      <c r="E14" s="37"/>
      <c r="F14" s="36"/>
      <c r="G14" s="47" t="e">
        <f t="shared" si="1"/>
        <v>#DIV/0!</v>
      </c>
    </row>
    <row r="15" spans="1:15" x14ac:dyDescent="0.25">
      <c r="A15" s="35"/>
      <c r="B15" s="38"/>
      <c r="C15" s="35" t="s">
        <v>43</v>
      </c>
      <c r="D15" s="37"/>
      <c r="E15" s="37"/>
      <c r="F15" s="36"/>
      <c r="G15" s="47" t="e">
        <f t="shared" si="1"/>
        <v>#DIV/0!</v>
      </c>
    </row>
    <row r="16" spans="1:15" x14ac:dyDescent="0.25">
      <c r="A16" s="35"/>
      <c r="B16" s="38"/>
      <c r="C16" s="35" t="s">
        <v>43</v>
      </c>
      <c r="D16" s="37"/>
      <c r="E16" s="37"/>
      <c r="F16" s="36"/>
      <c r="G16" s="47" t="e">
        <f t="shared" si="1"/>
        <v>#DIV/0!</v>
      </c>
    </row>
    <row r="17" spans="1:7" x14ac:dyDescent="0.25">
      <c r="A17" s="35"/>
      <c r="B17" s="38"/>
      <c r="C17" s="35" t="s">
        <v>43</v>
      </c>
      <c r="D17" s="37"/>
      <c r="E17" s="37"/>
      <c r="F17" s="36"/>
      <c r="G17" s="47" t="e">
        <f t="shared" si="1"/>
        <v>#DIV/0!</v>
      </c>
    </row>
    <row r="18" spans="1:7" x14ac:dyDescent="0.25">
      <c r="A18" s="35"/>
      <c r="B18" s="38"/>
      <c r="C18" s="35" t="s">
        <v>43</v>
      </c>
      <c r="D18" s="37"/>
      <c r="E18" s="37"/>
      <c r="F18" s="36"/>
      <c r="G18" s="47" t="e">
        <f t="shared" si="1"/>
        <v>#DIV/0!</v>
      </c>
    </row>
    <row r="19" spans="1:7" x14ac:dyDescent="0.25">
      <c r="A19" s="35"/>
      <c r="B19" s="38"/>
      <c r="C19" s="35" t="s">
        <v>43</v>
      </c>
      <c r="D19" s="37"/>
      <c r="E19" s="37"/>
      <c r="F19" s="36"/>
      <c r="G19" s="47" t="e">
        <f t="shared" si="1"/>
        <v>#DIV/0!</v>
      </c>
    </row>
    <row r="20" spans="1:7" x14ac:dyDescent="0.25">
      <c r="A20" s="35"/>
      <c r="B20" s="38"/>
      <c r="C20" s="35" t="s">
        <v>43</v>
      </c>
      <c r="D20" s="37"/>
      <c r="E20" s="37"/>
      <c r="F20" s="36"/>
      <c r="G20" s="47" t="e">
        <f t="shared" si="1"/>
        <v>#DIV/0!</v>
      </c>
    </row>
    <row r="21" spans="1:7" ht="27" customHeight="1" x14ac:dyDescent="0.25">
      <c r="A21" s="45">
        <v>2</v>
      </c>
      <c r="B21" s="48" t="s">
        <v>60</v>
      </c>
      <c r="C21" s="45" t="s">
        <v>43</v>
      </c>
      <c r="D21" s="46">
        <f>SUM(D23:D32)</f>
        <v>0</v>
      </c>
      <c r="E21" s="46">
        <f t="shared" ref="E21:F21" si="2">SUM(E23:E32)</f>
        <v>0</v>
      </c>
      <c r="F21" s="46">
        <f t="shared" si="2"/>
        <v>0</v>
      </c>
      <c r="G21" s="47" t="e">
        <f>SUM(F21/E21*100)</f>
        <v>#DIV/0!</v>
      </c>
    </row>
    <row r="22" spans="1:7" ht="15" customHeight="1" x14ac:dyDescent="0.25">
      <c r="A22" s="35"/>
      <c r="B22" s="38" t="s">
        <v>48</v>
      </c>
      <c r="C22" s="35" t="s">
        <v>58</v>
      </c>
      <c r="D22" s="35" t="s">
        <v>58</v>
      </c>
      <c r="E22" s="35" t="s">
        <v>58</v>
      </c>
      <c r="F22" s="35" t="s">
        <v>58</v>
      </c>
      <c r="G22" s="35" t="s">
        <v>58</v>
      </c>
    </row>
    <row r="23" spans="1:7" x14ac:dyDescent="0.25">
      <c r="A23" s="35"/>
      <c r="B23" s="38"/>
      <c r="C23" s="35" t="s">
        <v>43</v>
      </c>
      <c r="D23" s="37"/>
      <c r="E23" s="37"/>
      <c r="F23" s="36"/>
      <c r="G23" s="47" t="e">
        <f>SUM(F23/E23*100)</f>
        <v>#DIV/0!</v>
      </c>
    </row>
    <row r="24" spans="1:7" x14ac:dyDescent="0.25">
      <c r="A24" s="35"/>
      <c r="B24" s="38"/>
      <c r="C24" s="35" t="s">
        <v>43</v>
      </c>
      <c r="D24" s="37"/>
      <c r="E24" s="37"/>
      <c r="F24" s="36"/>
      <c r="G24" s="47" t="e">
        <f t="shared" ref="G24:G32" si="3">SUM(F24/E24*100)</f>
        <v>#DIV/0!</v>
      </c>
    </row>
    <row r="25" spans="1:7" x14ac:dyDescent="0.25">
      <c r="A25" s="35"/>
      <c r="B25" s="38"/>
      <c r="C25" s="35" t="s">
        <v>43</v>
      </c>
      <c r="D25" s="37"/>
      <c r="E25" s="37"/>
      <c r="F25" s="36"/>
      <c r="G25" s="47" t="e">
        <f t="shared" si="3"/>
        <v>#DIV/0!</v>
      </c>
    </row>
    <row r="26" spans="1:7" x14ac:dyDescent="0.25">
      <c r="A26" s="35"/>
      <c r="B26" s="38"/>
      <c r="C26" s="35" t="s">
        <v>43</v>
      </c>
      <c r="D26" s="37"/>
      <c r="E26" s="37"/>
      <c r="F26" s="36"/>
      <c r="G26" s="47" t="e">
        <f t="shared" si="3"/>
        <v>#DIV/0!</v>
      </c>
    </row>
    <row r="27" spans="1:7" x14ac:dyDescent="0.25">
      <c r="A27" s="35"/>
      <c r="B27" s="38"/>
      <c r="C27" s="35" t="s">
        <v>43</v>
      </c>
      <c r="D27" s="37"/>
      <c r="E27" s="37"/>
      <c r="F27" s="36"/>
      <c r="G27" s="47" t="e">
        <f t="shared" si="3"/>
        <v>#DIV/0!</v>
      </c>
    </row>
    <row r="28" spans="1:7" x14ac:dyDescent="0.25">
      <c r="A28" s="35"/>
      <c r="B28" s="38"/>
      <c r="C28" s="35" t="s">
        <v>43</v>
      </c>
      <c r="D28" s="37"/>
      <c r="E28" s="37"/>
      <c r="F28" s="36"/>
      <c r="G28" s="47" t="e">
        <f t="shared" si="3"/>
        <v>#DIV/0!</v>
      </c>
    </row>
    <row r="29" spans="1:7" x14ac:dyDescent="0.25">
      <c r="A29" s="35"/>
      <c r="B29" s="38"/>
      <c r="C29" s="35" t="s">
        <v>43</v>
      </c>
      <c r="D29" s="37"/>
      <c r="E29" s="37"/>
      <c r="F29" s="36"/>
      <c r="G29" s="47" t="e">
        <f t="shared" si="3"/>
        <v>#DIV/0!</v>
      </c>
    </row>
    <row r="30" spans="1:7" x14ac:dyDescent="0.25">
      <c r="A30" s="35"/>
      <c r="B30" s="38"/>
      <c r="C30" s="35" t="s">
        <v>43</v>
      </c>
      <c r="D30" s="37"/>
      <c r="E30" s="37"/>
      <c r="F30" s="36"/>
      <c r="G30" s="47" t="e">
        <f t="shared" si="3"/>
        <v>#DIV/0!</v>
      </c>
    </row>
    <row r="31" spans="1:7" x14ac:dyDescent="0.25">
      <c r="A31" s="35"/>
      <c r="B31" s="38"/>
      <c r="C31" s="35" t="s">
        <v>43</v>
      </c>
      <c r="D31" s="37"/>
      <c r="E31" s="37"/>
      <c r="F31" s="36"/>
      <c r="G31" s="47" t="e">
        <f t="shared" si="3"/>
        <v>#DIV/0!</v>
      </c>
    </row>
    <row r="32" spans="1:7" x14ac:dyDescent="0.25">
      <c r="A32" s="35"/>
      <c r="B32" s="38"/>
      <c r="C32" s="35" t="s">
        <v>43</v>
      </c>
      <c r="D32" s="37"/>
      <c r="E32" s="37"/>
      <c r="F32" s="36"/>
      <c r="G32" s="47" t="e">
        <f t="shared" si="3"/>
        <v>#DIV/0!</v>
      </c>
    </row>
    <row r="33" spans="1:8" ht="27.75" customHeight="1" x14ac:dyDescent="0.25">
      <c r="A33" s="47">
        <v>3</v>
      </c>
      <c r="B33" s="44" t="s">
        <v>61</v>
      </c>
      <c r="C33" s="45" t="s">
        <v>43</v>
      </c>
      <c r="D33" s="46">
        <f>SUM(D35:D41)</f>
        <v>0</v>
      </c>
      <c r="E33" s="46">
        <f t="shared" ref="E33:F33" si="4">SUM(E35:E41)</f>
        <v>0</v>
      </c>
      <c r="F33" s="46">
        <f t="shared" si="4"/>
        <v>0</v>
      </c>
      <c r="G33" s="47" t="e">
        <f>SUM(F33/E33*100)</f>
        <v>#DIV/0!</v>
      </c>
    </row>
    <row r="34" spans="1:8" ht="15" customHeight="1" x14ac:dyDescent="0.25">
      <c r="A34" s="35"/>
      <c r="B34" s="41" t="s">
        <v>56</v>
      </c>
      <c r="C34" s="35" t="s">
        <v>58</v>
      </c>
      <c r="D34" s="35" t="s">
        <v>58</v>
      </c>
      <c r="E34" s="35" t="s">
        <v>58</v>
      </c>
      <c r="F34" s="35" t="s">
        <v>58</v>
      </c>
      <c r="G34" s="35" t="s">
        <v>58</v>
      </c>
    </row>
    <row r="35" spans="1:8" ht="15" customHeight="1" x14ac:dyDescent="0.25">
      <c r="A35" s="35"/>
      <c r="B35" s="38" t="s">
        <v>49</v>
      </c>
      <c r="C35" s="35" t="s">
        <v>43</v>
      </c>
      <c r="D35" s="37"/>
      <c r="E35" s="37"/>
      <c r="F35" s="36"/>
      <c r="G35" s="47" t="e">
        <f>SUM(F35/E35*100)</f>
        <v>#DIV/0!</v>
      </c>
    </row>
    <row r="36" spans="1:8" ht="15" customHeight="1" x14ac:dyDescent="0.25">
      <c r="A36" s="35"/>
      <c r="B36" s="38" t="s">
        <v>50</v>
      </c>
      <c r="C36" s="35" t="s">
        <v>43</v>
      </c>
      <c r="D36" s="37"/>
      <c r="E36" s="37"/>
      <c r="F36" s="36"/>
      <c r="G36" s="47" t="e">
        <f t="shared" ref="G36:G41" si="5">SUM(F36/E36*100)</f>
        <v>#DIV/0!</v>
      </c>
    </row>
    <row r="37" spans="1:8" ht="15" customHeight="1" x14ac:dyDescent="0.25">
      <c r="A37" s="35"/>
      <c r="B37" s="38" t="s">
        <v>51</v>
      </c>
      <c r="C37" s="35" t="s">
        <v>43</v>
      </c>
      <c r="D37" s="37"/>
      <c r="E37" s="37"/>
      <c r="F37" s="36"/>
      <c r="G37" s="47" t="e">
        <f t="shared" si="5"/>
        <v>#DIV/0!</v>
      </c>
    </row>
    <row r="38" spans="1:8" ht="15" customHeight="1" x14ac:dyDescent="0.25">
      <c r="A38" s="35"/>
      <c r="B38" s="38" t="s">
        <v>52</v>
      </c>
      <c r="C38" s="35" t="s">
        <v>43</v>
      </c>
      <c r="D38" s="37"/>
      <c r="E38" s="37"/>
      <c r="F38" s="36"/>
      <c r="G38" s="47" t="e">
        <f t="shared" si="5"/>
        <v>#DIV/0!</v>
      </c>
    </row>
    <row r="39" spans="1:8" ht="15" customHeight="1" x14ac:dyDescent="0.25">
      <c r="A39" s="32"/>
      <c r="B39" s="38" t="s">
        <v>53</v>
      </c>
      <c r="C39" s="35" t="s">
        <v>43</v>
      </c>
      <c r="D39" s="33"/>
      <c r="E39" s="33"/>
      <c r="F39" s="33"/>
      <c r="G39" s="47" t="e">
        <f t="shared" si="5"/>
        <v>#DIV/0!</v>
      </c>
    </row>
    <row r="40" spans="1:8" ht="15" customHeight="1" x14ac:dyDescent="0.25">
      <c r="A40" s="32"/>
      <c r="B40" s="34" t="s">
        <v>54</v>
      </c>
      <c r="C40" s="35" t="s">
        <v>43</v>
      </c>
      <c r="D40" s="33"/>
      <c r="E40" s="33"/>
      <c r="F40" s="33"/>
      <c r="G40" s="47" t="e">
        <f t="shared" si="5"/>
        <v>#DIV/0!</v>
      </c>
    </row>
    <row r="41" spans="1:8" ht="15" customHeight="1" x14ac:dyDescent="0.25">
      <c r="A41" s="32"/>
      <c r="B41" s="34" t="s">
        <v>55</v>
      </c>
      <c r="C41" s="32" t="s">
        <v>43</v>
      </c>
      <c r="D41" s="33"/>
      <c r="E41" s="33"/>
      <c r="F41" s="33"/>
      <c r="G41" s="47" t="e">
        <f t="shared" si="5"/>
        <v>#DIV/0!</v>
      </c>
    </row>
    <row r="42" spans="1:8" x14ac:dyDescent="0.25">
      <c r="A42" s="30"/>
      <c r="B42" s="30"/>
      <c r="C42" s="1"/>
      <c r="D42" s="1"/>
      <c r="E42" s="1"/>
      <c r="F42" s="1"/>
      <c r="G42" s="1"/>
    </row>
    <row r="43" spans="1:8" ht="18.75" x14ac:dyDescent="0.3">
      <c r="A43" s="30"/>
      <c r="B43" s="31" t="s">
        <v>42</v>
      </c>
      <c r="D43" s="20"/>
      <c r="G43" s="11"/>
      <c r="H43" s="11"/>
    </row>
    <row r="44" spans="1:8" ht="18.75" x14ac:dyDescent="0.3">
      <c r="A44" s="30"/>
      <c r="B44" s="21" t="s">
        <v>41</v>
      </c>
      <c r="D44" s="20"/>
      <c r="G44" s="11"/>
      <c r="H44" s="11"/>
    </row>
    <row r="45" spans="1:8" ht="18.75" x14ac:dyDescent="0.3">
      <c r="A45" s="30"/>
      <c r="B45" s="31"/>
      <c r="D45" s="20"/>
      <c r="G45" s="11"/>
      <c r="H45" s="11"/>
    </row>
    <row r="46" spans="1:8" x14ac:dyDescent="0.25">
      <c r="A46" s="30"/>
      <c r="B46" s="31" t="s">
        <v>40</v>
      </c>
      <c r="F46" s="1"/>
    </row>
    <row r="47" spans="1:8" x14ac:dyDescent="0.25">
      <c r="A47" s="30"/>
      <c r="B47" s="30"/>
      <c r="C47" s="1"/>
      <c r="D47" s="1"/>
      <c r="E47" s="1"/>
      <c r="F47" s="1"/>
      <c r="G47" s="1"/>
    </row>
    <row r="48" spans="1:8" ht="15.75" x14ac:dyDescent="0.25">
      <c r="B48" s="4" t="s">
        <v>39</v>
      </c>
    </row>
    <row r="49" spans="2:2" x14ac:dyDescent="0.25">
      <c r="B49" s="5" t="s">
        <v>3</v>
      </c>
    </row>
  </sheetData>
  <mergeCells count="14">
    <mergeCell ref="A4:G5"/>
    <mergeCell ref="A6:A7"/>
    <mergeCell ref="B6:B7"/>
    <mergeCell ref="C6:C7"/>
    <mergeCell ref="D6:D7"/>
    <mergeCell ref="E6:F6"/>
    <mergeCell ref="G6:G7"/>
    <mergeCell ref="O6:O7"/>
    <mergeCell ref="I9:O10"/>
    <mergeCell ref="I6:I7"/>
    <mergeCell ref="J6:J7"/>
    <mergeCell ref="K6:K7"/>
    <mergeCell ref="L6:L7"/>
    <mergeCell ref="M6:N6"/>
  </mergeCells>
  <pageMargins left="0.11811023622047245" right="0.11811023622047245" top="0.15748031496062992" bottom="0.15748031496062992" header="0.31496062992125984" footer="0.31496062992125984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7"/>
  <sheetViews>
    <sheetView topLeftCell="A4" zoomScaleNormal="100" workbookViewId="0">
      <selection activeCell="B8" sqref="B8:K12"/>
    </sheetView>
  </sheetViews>
  <sheetFormatPr defaultRowHeight="15" x14ac:dyDescent="0.25"/>
  <cols>
    <col min="1" max="1" width="4.85546875" customWidth="1"/>
    <col min="2" max="2" width="18.28515625" customWidth="1"/>
    <col min="3" max="3" width="6.28515625" customWidth="1"/>
    <col min="5" max="5" width="13.140625" customWidth="1"/>
    <col min="6" max="6" width="10.28515625" customWidth="1"/>
    <col min="7" max="7" width="12.42578125" customWidth="1"/>
    <col min="8" max="8" width="11.85546875" customWidth="1"/>
    <col min="9" max="9" width="9.7109375" customWidth="1"/>
    <col min="11" max="11" width="9.28515625" customWidth="1"/>
    <col min="12" max="12" width="10.140625" customWidth="1"/>
  </cols>
  <sheetData>
    <row r="1" spans="1:12" x14ac:dyDescent="0.25">
      <c r="L1" s="55" t="s">
        <v>2</v>
      </c>
    </row>
    <row r="2" spans="1:12" x14ac:dyDescent="0.25">
      <c r="L2" s="2" t="s">
        <v>104</v>
      </c>
    </row>
    <row r="4" spans="1:12" ht="24.75" customHeight="1" x14ac:dyDescent="0.25">
      <c r="A4" s="75" t="s">
        <v>112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37.5" customHeight="1" x14ac:dyDescent="0.2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7" spans="1:12" ht="42.75" x14ac:dyDescent="0.25">
      <c r="A7" s="6" t="s">
        <v>1</v>
      </c>
      <c r="B7" s="7" t="s">
        <v>4</v>
      </c>
      <c r="C7" s="7" t="s">
        <v>5</v>
      </c>
      <c r="D7" s="7" t="s">
        <v>6</v>
      </c>
      <c r="E7" s="7" t="s">
        <v>12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21</v>
      </c>
      <c r="L7" s="7" t="s">
        <v>22</v>
      </c>
    </row>
    <row r="8" spans="1:12" x14ac:dyDescent="0.25">
      <c r="A8" s="8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8">
        <v>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8">
        <v>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8">
        <v>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8">
        <v>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6"/>
      <c r="B13" s="19" t="s">
        <v>15</v>
      </c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12"/>
      <c r="B15" s="76" t="s">
        <v>14</v>
      </c>
      <c r="C15" s="76"/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30.75" customHeight="1" x14ac:dyDescent="0.25">
      <c r="A16" s="12"/>
      <c r="B16" s="15" t="s">
        <v>0</v>
      </c>
      <c r="C16" s="7" t="s">
        <v>28</v>
      </c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25">
      <c r="A17" s="12"/>
      <c r="B17" s="9"/>
      <c r="C17" s="9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25">
      <c r="A18" s="12"/>
      <c r="B18" s="9"/>
      <c r="C18" s="9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25">
      <c r="A19" s="12"/>
      <c r="B19" s="9"/>
      <c r="C19" s="9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25">
      <c r="A20" s="12"/>
      <c r="B20" s="14" t="s">
        <v>27</v>
      </c>
      <c r="C20" s="9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3" spans="1:12" ht="18.75" x14ac:dyDescent="0.3">
      <c r="B23" s="10" t="s">
        <v>13</v>
      </c>
      <c r="F23" s="20" t="s">
        <v>26</v>
      </c>
      <c r="I23" s="11" t="s">
        <v>31</v>
      </c>
      <c r="J23" s="11"/>
      <c r="K23" s="1"/>
      <c r="L23" s="24"/>
    </row>
    <row r="24" spans="1:12" x14ac:dyDescent="0.25">
      <c r="E24" s="2" t="s">
        <v>25</v>
      </c>
      <c r="H24" s="1"/>
      <c r="J24" s="25" t="s">
        <v>30</v>
      </c>
    </row>
    <row r="25" spans="1:12" x14ac:dyDescent="0.25">
      <c r="E25" s="2"/>
      <c r="H25" s="1"/>
    </row>
    <row r="26" spans="1:12" ht="15.75" x14ac:dyDescent="0.25">
      <c r="B26" s="4" t="s">
        <v>32</v>
      </c>
      <c r="C26" s="3"/>
    </row>
    <row r="27" spans="1:12" ht="15.75" x14ac:dyDescent="0.25">
      <c r="B27" s="5" t="s">
        <v>3</v>
      </c>
      <c r="C27" s="3"/>
    </row>
  </sheetData>
  <mergeCells count="2">
    <mergeCell ref="A4:L5"/>
    <mergeCell ref="B15:C15"/>
  </mergeCells>
  <pageMargins left="0.7" right="0.7" top="0.75" bottom="0.75" header="0.3" footer="0.3"/>
  <pageSetup paperSize="9"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3"/>
  <sheetViews>
    <sheetView zoomScaleNormal="100" workbookViewId="0">
      <selection activeCell="A4" sqref="A4:L5"/>
    </sheetView>
  </sheetViews>
  <sheetFormatPr defaultRowHeight="15" x14ac:dyDescent="0.25"/>
  <cols>
    <col min="1" max="1" width="5.7109375" customWidth="1"/>
    <col min="2" max="2" width="17" customWidth="1"/>
    <col min="4" max="4" width="10" customWidth="1"/>
    <col min="5" max="5" width="13.7109375" customWidth="1"/>
    <col min="6" max="6" width="13" customWidth="1"/>
    <col min="7" max="7" width="13.85546875" customWidth="1"/>
    <col min="8" max="8" width="9" customWidth="1"/>
    <col min="9" max="9" width="8.85546875" customWidth="1"/>
    <col min="10" max="10" width="8.42578125" customWidth="1"/>
    <col min="11" max="11" width="9.85546875" customWidth="1"/>
    <col min="12" max="12" width="23.42578125" customWidth="1"/>
  </cols>
  <sheetData>
    <row r="1" spans="1:12" x14ac:dyDescent="0.25">
      <c r="L1" s="55" t="s">
        <v>2</v>
      </c>
    </row>
    <row r="2" spans="1:12" x14ac:dyDescent="0.25">
      <c r="L2" s="2" t="s">
        <v>105</v>
      </c>
    </row>
    <row r="4" spans="1:12" ht="26.25" customHeight="1" x14ac:dyDescent="0.25">
      <c r="A4" s="75" t="s">
        <v>113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30.75" customHeight="1" x14ac:dyDescent="0.2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7" spans="1:12" ht="42.75" x14ac:dyDescent="0.25">
      <c r="A7" s="6" t="s">
        <v>1</v>
      </c>
      <c r="B7" s="7" t="s">
        <v>4</v>
      </c>
      <c r="C7" s="7" t="s">
        <v>5</v>
      </c>
      <c r="D7" s="7" t="s">
        <v>6</v>
      </c>
      <c r="E7" s="7" t="s">
        <v>12</v>
      </c>
      <c r="F7" s="7" t="s">
        <v>16</v>
      </c>
      <c r="G7" s="7" t="s">
        <v>9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77</v>
      </c>
    </row>
    <row r="8" spans="1:12" ht="15" customHeight="1" x14ac:dyDescent="0.25">
      <c r="A8" s="8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56" t="s">
        <v>121</v>
      </c>
    </row>
    <row r="9" spans="1:12" x14ac:dyDescent="0.25">
      <c r="A9" s="8">
        <v>2</v>
      </c>
      <c r="B9" s="9"/>
      <c r="C9" s="9"/>
      <c r="D9" s="9"/>
      <c r="E9" s="9"/>
      <c r="F9" s="9"/>
      <c r="G9" s="9"/>
      <c r="H9" s="9"/>
      <c r="I9" s="9"/>
      <c r="J9" s="9"/>
      <c r="K9" s="9"/>
      <c r="L9" s="22"/>
    </row>
    <row r="10" spans="1:12" x14ac:dyDescent="0.25">
      <c r="A10" s="8">
        <v>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22"/>
    </row>
    <row r="11" spans="1:12" x14ac:dyDescent="0.25">
      <c r="A11" s="16"/>
      <c r="B11" s="19" t="s">
        <v>15</v>
      </c>
      <c r="C11" s="17"/>
      <c r="D11" s="17"/>
      <c r="E11" s="17"/>
      <c r="F11" s="17"/>
      <c r="G11" s="17"/>
      <c r="H11" s="17"/>
      <c r="I11" s="17"/>
      <c r="J11" s="17"/>
      <c r="K11" s="17"/>
      <c r="L11" s="23"/>
    </row>
    <row r="12" spans="1:12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2" x14ac:dyDescent="0.25">
      <c r="A13" s="12"/>
      <c r="B13" s="76" t="s">
        <v>14</v>
      </c>
      <c r="C13" s="76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30.75" customHeight="1" x14ac:dyDescent="0.25">
      <c r="A14" s="12"/>
      <c r="B14" s="15" t="s">
        <v>0</v>
      </c>
      <c r="C14" s="7" t="s">
        <v>28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12"/>
      <c r="B15" s="9"/>
      <c r="C15" s="9"/>
      <c r="D15" s="13"/>
      <c r="E15" s="13"/>
      <c r="F15" s="13"/>
      <c r="G15" s="13"/>
      <c r="H15" s="13"/>
      <c r="I15" s="13"/>
      <c r="J15" s="13"/>
      <c r="K15" s="13"/>
      <c r="L15" s="13"/>
    </row>
    <row r="16" spans="1:12" x14ac:dyDescent="0.25">
      <c r="A16" s="12"/>
      <c r="B16" s="9"/>
      <c r="C16" s="9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25">
      <c r="A17" s="12"/>
      <c r="B17" s="14" t="s">
        <v>27</v>
      </c>
      <c r="C17" s="9"/>
      <c r="D17" s="13"/>
      <c r="E17" s="13"/>
      <c r="F17" s="13"/>
      <c r="G17" s="13"/>
      <c r="H17" s="13"/>
      <c r="I17" s="13"/>
      <c r="J17" s="13"/>
      <c r="K17" s="13"/>
      <c r="L17" s="13"/>
    </row>
    <row r="19" spans="1:12" ht="18.75" x14ac:dyDescent="0.3">
      <c r="B19" s="10" t="s">
        <v>13</v>
      </c>
      <c r="F19" s="20" t="s">
        <v>26</v>
      </c>
      <c r="I19" s="11" t="s">
        <v>31</v>
      </c>
      <c r="J19" s="11"/>
      <c r="K19" s="1"/>
    </row>
    <row r="20" spans="1:12" x14ac:dyDescent="0.25">
      <c r="E20" s="2" t="s">
        <v>25</v>
      </c>
      <c r="H20" s="1"/>
      <c r="J20" s="25" t="s">
        <v>30</v>
      </c>
    </row>
    <row r="21" spans="1:12" x14ac:dyDescent="0.25">
      <c r="E21" s="2"/>
      <c r="H21" s="1"/>
    </row>
    <row r="22" spans="1:12" ht="15.75" x14ac:dyDescent="0.25">
      <c r="B22" s="4" t="s">
        <v>32</v>
      </c>
      <c r="C22" s="3"/>
    </row>
    <row r="23" spans="1:12" ht="15.75" x14ac:dyDescent="0.25">
      <c r="B23" s="5" t="s">
        <v>3</v>
      </c>
      <c r="C23" s="3"/>
    </row>
  </sheetData>
  <mergeCells count="2">
    <mergeCell ref="B13:C13"/>
    <mergeCell ref="A4:L5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5"/>
  <sheetViews>
    <sheetView zoomScaleNormal="100" workbookViewId="0">
      <selection activeCell="K13" sqref="K13"/>
    </sheetView>
  </sheetViews>
  <sheetFormatPr defaultRowHeight="15" x14ac:dyDescent="0.25"/>
  <cols>
    <col min="1" max="1" width="5.7109375" customWidth="1"/>
    <col min="2" max="2" width="4.85546875" customWidth="1"/>
    <col min="3" max="3" width="55.7109375" customWidth="1"/>
    <col min="4" max="4" width="18.28515625" customWidth="1"/>
    <col min="6" max="6" width="13.140625" customWidth="1"/>
    <col min="7" max="7" width="10.28515625" customWidth="1"/>
    <col min="8" max="8" width="12.42578125" customWidth="1"/>
    <col min="9" max="9" width="11.85546875" customWidth="1"/>
    <col min="10" max="10" width="9.7109375" customWidth="1"/>
    <col min="12" max="12" width="9.28515625" customWidth="1"/>
    <col min="13" max="13" width="10.140625" customWidth="1"/>
    <col min="15" max="15" width="9.140625" customWidth="1"/>
  </cols>
  <sheetData>
    <row r="1" spans="2:13" ht="18.75" x14ac:dyDescent="0.25">
      <c r="D1" s="55" t="s">
        <v>2</v>
      </c>
      <c r="F1" s="57" t="s">
        <v>81</v>
      </c>
      <c r="G1" s="26"/>
      <c r="H1" s="26"/>
      <c r="I1" s="26"/>
    </row>
    <row r="2" spans="2:13" x14ac:dyDescent="0.25">
      <c r="D2" s="2" t="s">
        <v>38</v>
      </c>
    </row>
    <row r="3" spans="2:13" x14ac:dyDescent="0.25">
      <c r="F3" s="78" t="s">
        <v>103</v>
      </c>
      <c r="G3" s="78"/>
      <c r="H3" s="78"/>
      <c r="I3" s="78"/>
      <c r="J3" s="78"/>
      <c r="K3" s="78"/>
      <c r="L3" s="78"/>
    </row>
    <row r="4" spans="2:13" ht="21.75" customHeight="1" x14ac:dyDescent="0.25">
      <c r="B4" s="77" t="s">
        <v>114</v>
      </c>
      <c r="C4" s="77"/>
      <c r="D4" s="77"/>
      <c r="E4" s="26"/>
      <c r="F4" s="78"/>
      <c r="G4" s="78"/>
      <c r="H4" s="78"/>
      <c r="I4" s="78"/>
      <c r="J4" s="78"/>
      <c r="K4" s="78"/>
      <c r="L4" s="78"/>
      <c r="M4" s="26"/>
    </row>
    <row r="5" spans="2:13" ht="30" customHeight="1" x14ac:dyDescent="0.25">
      <c r="B5" s="77"/>
      <c r="C5" s="77"/>
      <c r="D5" s="77"/>
      <c r="E5" s="26"/>
      <c r="F5" s="79"/>
      <c r="G5" s="79"/>
      <c r="H5" s="79"/>
      <c r="I5" s="79"/>
      <c r="J5" s="79"/>
      <c r="K5" s="79"/>
      <c r="L5" s="79"/>
    </row>
    <row r="7" spans="2:13" ht="15.75" customHeight="1" x14ac:dyDescent="0.25">
      <c r="B7" s="6" t="s">
        <v>1</v>
      </c>
      <c r="C7" s="27" t="s">
        <v>34</v>
      </c>
      <c r="D7" s="27" t="s">
        <v>33</v>
      </c>
    </row>
    <row r="8" spans="2:13" ht="15.75" customHeight="1" x14ac:dyDescent="0.25">
      <c r="B8" s="59">
        <v>1</v>
      </c>
      <c r="C8" s="48" t="s">
        <v>88</v>
      </c>
      <c r="D8" s="60">
        <f>SUM(D9:D11)</f>
        <v>0</v>
      </c>
    </row>
    <row r="9" spans="2:13" ht="15.75" x14ac:dyDescent="0.25">
      <c r="B9" s="29"/>
      <c r="C9" s="38"/>
      <c r="D9" s="27"/>
    </row>
    <row r="10" spans="2:13" ht="15.75" x14ac:dyDescent="0.25">
      <c r="B10" s="29"/>
      <c r="C10" s="38"/>
      <c r="D10" s="27"/>
    </row>
    <row r="11" spans="2:13" ht="15.75" x14ac:dyDescent="0.25">
      <c r="B11" s="29"/>
      <c r="C11" s="38"/>
      <c r="D11" s="27"/>
    </row>
    <row r="12" spans="2:13" ht="15.75" x14ac:dyDescent="0.25">
      <c r="B12" s="59">
        <v>2</v>
      </c>
      <c r="C12" s="48" t="s">
        <v>89</v>
      </c>
      <c r="D12" s="60">
        <f>SUM(D13:D15)</f>
        <v>0</v>
      </c>
    </row>
    <row r="13" spans="2:13" ht="15.75" x14ac:dyDescent="0.25">
      <c r="B13" s="29"/>
      <c r="C13" s="38"/>
      <c r="D13" s="27"/>
    </row>
    <row r="14" spans="2:13" ht="15.75" x14ac:dyDescent="0.25">
      <c r="B14" s="29"/>
      <c r="C14" s="38"/>
      <c r="D14" s="27"/>
    </row>
    <row r="15" spans="2:13" ht="15.75" x14ac:dyDescent="0.25">
      <c r="B15" s="29"/>
      <c r="C15" s="38"/>
      <c r="D15" s="27"/>
    </row>
    <row r="16" spans="2:13" ht="15.75" x14ac:dyDescent="0.25">
      <c r="B16" s="59">
        <v>3</v>
      </c>
      <c r="C16" s="48" t="s">
        <v>90</v>
      </c>
      <c r="D16" s="60">
        <f>SUM(D17:D19)</f>
        <v>0</v>
      </c>
    </row>
    <row r="17" spans="2:13" ht="15.75" x14ac:dyDescent="0.25">
      <c r="B17" s="29"/>
      <c r="C17" s="38"/>
      <c r="D17" s="27"/>
      <c r="E17" s="13"/>
      <c r="F17" s="13"/>
      <c r="G17" s="13"/>
      <c r="H17" s="13"/>
      <c r="I17" s="13"/>
      <c r="J17" s="13"/>
      <c r="K17" s="13"/>
      <c r="L17" s="13"/>
      <c r="M17" s="13"/>
    </row>
    <row r="18" spans="2:13" ht="18.75" x14ac:dyDescent="0.3">
      <c r="B18" s="29"/>
      <c r="C18" s="38"/>
      <c r="D18" s="27"/>
      <c r="E18" s="11"/>
      <c r="F18" s="1"/>
      <c r="H18" s="11"/>
      <c r="I18" s="11"/>
      <c r="J18" s="1"/>
      <c r="K18" s="24"/>
    </row>
    <row r="19" spans="2:13" ht="15.75" x14ac:dyDescent="0.25">
      <c r="B19" s="29"/>
      <c r="C19" s="38"/>
      <c r="D19" s="27"/>
      <c r="E19" s="25"/>
      <c r="G19" s="1"/>
      <c r="I19" s="25"/>
    </row>
    <row r="20" spans="2:13" ht="15.75" x14ac:dyDescent="0.25">
      <c r="B20" s="59">
        <v>4</v>
      </c>
      <c r="C20" s="48" t="s">
        <v>91</v>
      </c>
      <c r="D20" s="60">
        <f>SUM(D21:D23)</f>
        <v>0</v>
      </c>
      <c r="F20" s="2"/>
      <c r="I20" s="1"/>
    </row>
    <row r="21" spans="2:13" ht="15.75" x14ac:dyDescent="0.25">
      <c r="B21" s="29"/>
      <c r="C21" s="38"/>
      <c r="D21" s="27"/>
    </row>
    <row r="22" spans="2:13" ht="15.75" x14ac:dyDescent="0.25">
      <c r="B22" s="29"/>
      <c r="C22" s="38"/>
      <c r="D22" s="27"/>
    </row>
    <row r="23" spans="2:13" ht="15.75" x14ac:dyDescent="0.25">
      <c r="B23" s="29"/>
      <c r="C23" s="38"/>
      <c r="D23" s="27"/>
    </row>
    <row r="24" spans="2:13" ht="15.75" x14ac:dyDescent="0.25">
      <c r="B24" s="59">
        <v>5</v>
      </c>
      <c r="C24" s="48" t="s">
        <v>92</v>
      </c>
      <c r="D24" s="60">
        <f>SUM(D25:D27)</f>
        <v>0</v>
      </c>
    </row>
    <row r="25" spans="2:13" ht="15.75" x14ac:dyDescent="0.25">
      <c r="B25" s="29"/>
      <c r="C25" s="38"/>
      <c r="D25" s="27"/>
    </row>
    <row r="26" spans="2:13" ht="15.75" x14ac:dyDescent="0.25">
      <c r="B26" s="29"/>
      <c r="C26" s="38"/>
      <c r="D26" s="27"/>
    </row>
    <row r="27" spans="2:13" ht="15.75" x14ac:dyDescent="0.25">
      <c r="B27" s="29"/>
      <c r="C27" s="38"/>
      <c r="D27" s="27"/>
    </row>
    <row r="28" spans="2:13" ht="15.75" x14ac:dyDescent="0.25">
      <c r="B28" s="59">
        <v>6</v>
      </c>
      <c r="C28" s="48" t="s">
        <v>93</v>
      </c>
      <c r="D28" s="60">
        <f>SUM(D29:D31)</f>
        <v>0</v>
      </c>
    </row>
    <row r="29" spans="2:13" ht="15.75" x14ac:dyDescent="0.25">
      <c r="B29" s="29"/>
      <c r="C29" s="38"/>
      <c r="D29" s="27"/>
    </row>
    <row r="30" spans="2:13" ht="15.75" x14ac:dyDescent="0.25">
      <c r="B30" s="29"/>
      <c r="C30" s="38"/>
      <c r="D30" s="27"/>
    </row>
    <row r="31" spans="2:13" ht="15.75" x14ac:dyDescent="0.25">
      <c r="B31" s="29"/>
      <c r="C31" s="38"/>
      <c r="D31" s="27"/>
    </row>
    <row r="32" spans="2:13" ht="15.75" x14ac:dyDescent="0.25">
      <c r="B32" s="59">
        <v>7</v>
      </c>
      <c r="C32" s="48" t="s">
        <v>94</v>
      </c>
      <c r="D32" s="60">
        <f>SUM(D33:D35)</f>
        <v>0</v>
      </c>
    </row>
    <row r="33" spans="1:8" ht="15.75" x14ac:dyDescent="0.25">
      <c r="B33" s="29"/>
      <c r="C33" s="34"/>
      <c r="D33" s="27"/>
    </row>
    <row r="34" spans="1:8" ht="15.75" x14ac:dyDescent="0.25">
      <c r="B34" s="29"/>
      <c r="C34" s="34"/>
      <c r="D34" s="27"/>
    </row>
    <row r="35" spans="1:8" ht="15.75" x14ac:dyDescent="0.25">
      <c r="B35" s="29"/>
      <c r="C35" s="34"/>
      <c r="D35" s="27"/>
    </row>
    <row r="36" spans="1:8" x14ac:dyDescent="0.25">
      <c r="B36" s="51"/>
      <c r="C36" s="61" t="s">
        <v>27</v>
      </c>
      <c r="D36" s="51">
        <f>SUM(D8+D12+D16+D20+D24+D28+D32)</f>
        <v>0</v>
      </c>
    </row>
    <row r="39" spans="1:8" ht="18.75" x14ac:dyDescent="0.3">
      <c r="A39" s="30"/>
      <c r="B39" s="31" t="s">
        <v>42</v>
      </c>
      <c r="D39" s="20"/>
      <c r="G39" s="11"/>
      <c r="H39" s="11"/>
    </row>
    <row r="40" spans="1:8" ht="18.75" x14ac:dyDescent="0.3">
      <c r="A40" s="30"/>
      <c r="B40" s="21" t="s">
        <v>41</v>
      </c>
      <c r="D40" s="20"/>
      <c r="G40" s="11"/>
      <c r="H40" s="11"/>
    </row>
    <row r="41" spans="1:8" ht="18.75" x14ac:dyDescent="0.3">
      <c r="A41" s="30"/>
      <c r="B41" s="31"/>
      <c r="D41" s="20"/>
      <c r="G41" s="11"/>
      <c r="H41" s="11"/>
    </row>
    <row r="42" spans="1:8" x14ac:dyDescent="0.25">
      <c r="A42" s="30"/>
      <c r="B42" s="31" t="s">
        <v>40</v>
      </c>
      <c r="F42" s="1"/>
    </row>
    <row r="43" spans="1:8" x14ac:dyDescent="0.25">
      <c r="A43" s="30"/>
      <c r="B43" s="30"/>
      <c r="C43" s="1"/>
      <c r="D43" s="1"/>
      <c r="E43" s="1"/>
      <c r="F43" s="1"/>
      <c r="G43" s="1"/>
    </row>
    <row r="44" spans="1:8" ht="15.75" x14ac:dyDescent="0.25">
      <c r="B44" s="4" t="s">
        <v>39</v>
      </c>
    </row>
    <row r="45" spans="1:8" x14ac:dyDescent="0.25">
      <c r="B45" s="5" t="s">
        <v>3</v>
      </c>
    </row>
  </sheetData>
  <mergeCells count="2">
    <mergeCell ref="B4:D5"/>
    <mergeCell ref="F3:L5"/>
  </mergeCells>
  <pageMargins left="0.7" right="0.7" top="0.75" bottom="0.75" header="0.3" footer="0.3"/>
  <pageSetup paperSize="9" orientation="portrait" verticalDpi="18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Normal="100" workbookViewId="0">
      <selection activeCell="B8" sqref="B8"/>
    </sheetView>
  </sheetViews>
  <sheetFormatPr defaultRowHeight="15" x14ac:dyDescent="0.25"/>
  <cols>
    <col min="1" max="1" width="4.7109375" customWidth="1"/>
    <col min="2" max="2" width="21.140625" customWidth="1"/>
    <col min="3" max="3" width="18.140625" customWidth="1"/>
    <col min="4" max="4" width="13" customWidth="1"/>
    <col min="5" max="5" width="15.7109375" customWidth="1"/>
    <col min="6" max="6" width="14.5703125" customWidth="1"/>
    <col min="7" max="7" width="7.140625" customWidth="1"/>
    <col min="8" max="8" width="8.140625" customWidth="1"/>
    <col min="9" max="9" width="19.140625" customWidth="1"/>
    <col min="10" max="10" width="19.7109375" customWidth="1"/>
    <col min="11" max="11" width="15.7109375" customWidth="1"/>
    <col min="12" max="12" width="19.85546875" customWidth="1"/>
  </cols>
  <sheetData>
    <row r="1" spans="1:6" x14ac:dyDescent="0.25">
      <c r="F1" s="55" t="s">
        <v>2</v>
      </c>
    </row>
    <row r="2" spans="1:6" x14ac:dyDescent="0.25">
      <c r="E2" s="42" t="s">
        <v>62</v>
      </c>
    </row>
    <row r="4" spans="1:6" ht="39" customHeight="1" x14ac:dyDescent="0.25">
      <c r="A4" s="77" t="s">
        <v>115</v>
      </c>
      <c r="B4" s="77"/>
      <c r="C4" s="77"/>
      <c r="D4" s="77"/>
      <c r="E4" s="77"/>
      <c r="F4" s="77"/>
    </row>
    <row r="5" spans="1:6" ht="30" customHeight="1" x14ac:dyDescent="0.25">
      <c r="A5" s="77"/>
      <c r="B5" s="77"/>
      <c r="C5" s="77"/>
      <c r="D5" s="77"/>
      <c r="E5" s="77"/>
      <c r="F5" s="77"/>
    </row>
    <row r="7" spans="1:6" ht="45.75" customHeight="1" x14ac:dyDescent="0.25">
      <c r="A7" s="6" t="s">
        <v>1</v>
      </c>
      <c r="B7" s="7" t="s">
        <v>23</v>
      </c>
      <c r="C7" s="49" t="s">
        <v>29</v>
      </c>
      <c r="D7" s="7" t="s">
        <v>116</v>
      </c>
      <c r="E7" s="7" t="s">
        <v>24</v>
      </c>
      <c r="F7" s="7" t="s">
        <v>95</v>
      </c>
    </row>
    <row r="8" spans="1:6" x14ac:dyDescent="0.25">
      <c r="A8" s="8">
        <v>1</v>
      </c>
      <c r="B8" s="9"/>
      <c r="C8" s="50">
        <f>D8+E8+F8</f>
        <v>0</v>
      </c>
      <c r="D8" s="29"/>
      <c r="E8" s="29"/>
      <c r="F8" s="22"/>
    </row>
    <row r="9" spans="1:6" x14ac:dyDescent="0.25">
      <c r="A9" s="8">
        <v>2</v>
      </c>
      <c r="B9" s="9"/>
      <c r="C9" s="50">
        <f t="shared" ref="C9:C18" si="0">D9+E9+F9</f>
        <v>0</v>
      </c>
      <c r="D9" s="29"/>
      <c r="E9" s="29"/>
      <c r="F9" s="22"/>
    </row>
    <row r="10" spans="1:6" x14ac:dyDescent="0.25">
      <c r="A10" s="8">
        <v>3</v>
      </c>
      <c r="B10" s="9"/>
      <c r="C10" s="50">
        <f t="shared" si="0"/>
        <v>0</v>
      </c>
      <c r="D10" s="29"/>
      <c r="E10" s="29"/>
      <c r="F10" s="22"/>
    </row>
    <row r="11" spans="1:6" x14ac:dyDescent="0.25">
      <c r="A11" s="8">
        <v>4</v>
      </c>
      <c r="B11" s="9"/>
      <c r="C11" s="50">
        <f t="shared" si="0"/>
        <v>0</v>
      </c>
      <c r="D11" s="29"/>
      <c r="E11" s="29"/>
      <c r="F11" s="22"/>
    </row>
    <row r="12" spans="1:6" x14ac:dyDescent="0.25">
      <c r="A12" s="8">
        <v>5</v>
      </c>
      <c r="B12" s="9"/>
      <c r="C12" s="50">
        <f t="shared" si="0"/>
        <v>0</v>
      </c>
      <c r="D12" s="29"/>
      <c r="E12" s="29"/>
      <c r="F12" s="22"/>
    </row>
    <row r="13" spans="1:6" x14ac:dyDescent="0.25">
      <c r="A13" s="8">
        <v>6</v>
      </c>
      <c r="B13" s="9"/>
      <c r="C13" s="50">
        <f t="shared" si="0"/>
        <v>0</v>
      </c>
      <c r="D13" s="29"/>
      <c r="E13" s="29"/>
      <c r="F13" s="22"/>
    </row>
    <row r="14" spans="1:6" x14ac:dyDescent="0.25">
      <c r="A14" s="8">
        <v>7</v>
      </c>
      <c r="B14" s="9"/>
      <c r="C14" s="50">
        <f t="shared" si="0"/>
        <v>0</v>
      </c>
      <c r="D14" s="29"/>
      <c r="E14" s="29"/>
      <c r="F14" s="22"/>
    </row>
    <row r="15" spans="1:6" x14ac:dyDescent="0.25">
      <c r="A15" s="8">
        <v>8</v>
      </c>
      <c r="B15" s="9"/>
      <c r="C15" s="50">
        <f t="shared" si="0"/>
        <v>0</v>
      </c>
      <c r="D15" s="29"/>
      <c r="E15" s="29"/>
      <c r="F15" s="22"/>
    </row>
    <row r="16" spans="1:6" x14ac:dyDescent="0.25">
      <c r="A16" s="8">
        <v>9</v>
      </c>
      <c r="B16" s="9"/>
      <c r="C16" s="50">
        <f t="shared" si="0"/>
        <v>0</v>
      </c>
      <c r="D16" s="29"/>
      <c r="E16" s="29"/>
      <c r="F16" s="22"/>
    </row>
    <row r="17" spans="1:10" x14ac:dyDescent="0.25">
      <c r="A17" s="8">
        <v>10</v>
      </c>
      <c r="B17" s="9"/>
      <c r="C17" s="50">
        <f t="shared" si="0"/>
        <v>0</v>
      </c>
      <c r="D17" s="29"/>
      <c r="E17" s="29"/>
      <c r="F17" s="22"/>
    </row>
    <row r="18" spans="1:10" x14ac:dyDescent="0.25">
      <c r="A18" s="8"/>
      <c r="B18" s="14" t="s">
        <v>15</v>
      </c>
      <c r="C18" s="50">
        <f t="shared" si="0"/>
        <v>0</v>
      </c>
      <c r="D18" s="51">
        <f>SUM(D8:D17)</f>
        <v>0</v>
      </c>
      <c r="E18" s="51">
        <f t="shared" ref="E18:F18" si="1">SUM(E8:E17)</f>
        <v>0</v>
      </c>
      <c r="F18" s="51">
        <f t="shared" si="1"/>
        <v>0</v>
      </c>
    </row>
    <row r="19" spans="1:10" x14ac:dyDescent="0.25">
      <c r="A19" s="12"/>
      <c r="B19" s="13"/>
      <c r="C19" s="13"/>
      <c r="D19" s="13"/>
      <c r="E19" s="13"/>
      <c r="F19" s="13"/>
    </row>
    <row r="22" spans="1:10" ht="18.75" x14ac:dyDescent="0.3">
      <c r="B22" s="10" t="s">
        <v>37</v>
      </c>
      <c r="D22" s="11" t="s">
        <v>35</v>
      </c>
      <c r="E22" s="1"/>
      <c r="G22" s="11"/>
      <c r="H22" s="11"/>
      <c r="I22" s="1"/>
      <c r="J22" s="24"/>
    </row>
    <row r="23" spans="1:10" x14ac:dyDescent="0.25">
      <c r="B23" s="25" t="s">
        <v>25</v>
      </c>
      <c r="D23" s="25" t="s">
        <v>30</v>
      </c>
      <c r="F23" s="1"/>
      <c r="H23" s="25"/>
    </row>
    <row r="24" spans="1:10" x14ac:dyDescent="0.25">
      <c r="E24" s="2"/>
      <c r="H24" s="1"/>
    </row>
    <row r="25" spans="1:10" ht="15.75" x14ac:dyDescent="0.25">
      <c r="B25" s="28" t="s">
        <v>36</v>
      </c>
      <c r="C25" s="3"/>
    </row>
    <row r="26" spans="1:10" ht="15.75" x14ac:dyDescent="0.25">
      <c r="B26" s="21" t="s">
        <v>3</v>
      </c>
      <c r="C26" s="3"/>
    </row>
    <row r="30" spans="1:10" ht="18.75" x14ac:dyDescent="0.3">
      <c r="B30" s="10"/>
    </row>
  </sheetData>
  <mergeCells count="1">
    <mergeCell ref="A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DESLAPKY - ПРЕДВАРИТЕЛЬНЫЙ</vt:lpstr>
      <vt:lpstr>GARAŞYLÝAN -ОЖИДАЕМЫЕ</vt:lpstr>
      <vt:lpstr>HAKYKY - ФАКТИЧЕСКИЙ</vt:lpstr>
      <vt:lpstr>GELEN - ПРИЕМ ПОФАМИЛЬНЫЙ</vt:lpstr>
      <vt:lpstr>GIDEN - ОТПРАВКА ПОФАМИЛЬНЫЙ</vt:lpstr>
      <vt:lpstr>IÇERKI - ВНУТРЕННИЙ</vt:lpstr>
      <vt:lpstr>ÇAKYLYKLAR-Migrasiýa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2026-03-26T12:55:07Z</dcterms:modified>
</cp:coreProperties>
</file>