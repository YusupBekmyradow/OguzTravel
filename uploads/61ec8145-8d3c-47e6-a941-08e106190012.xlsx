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49FE42A0-50C8-4534-AFFA-246BD1DAFC60}" xr6:coauthVersionLast="47" xr6:coauthVersionMax="47" xr10:uidLastSave="{00000000-0000-0000-0000-000000000000}"/>
  <bookViews>
    <workbookView xWindow="-108" yWindow="-108" windowWidth="23256" windowHeight="13176" tabRatio="776" firstSheet="1" activeTab="7" xr2:uid="{00000000-000D-0000-FFFF-FFFF00000000}"/>
  </bookViews>
  <sheets>
    <sheet name="Gollanma" sheetId="1" r:id="rId1"/>
    <sheet name="Gündelik Hasabat" sheetId="2" r:id="rId2"/>
    <sheet name="Aýlyk Jemleme" sheetId="3" r:id="rId3"/>
    <sheet name="Satuw" sheetId="4" r:id="rId4"/>
    <sheet name="Çykdajylar" sheetId="5" r:id="rId5"/>
    <sheet name="Haryt Gelişi" sheetId="6" r:id="rId6"/>
    <sheet name="Ammar Ýagdaýy" sheetId="7" r:id="rId7"/>
    <sheet name="Harytlar" sheetId="8" r:id="rId8"/>
  </sheets>
  <definedNames>
    <definedName name="_xlnm._FilterDatabase" localSheetId="4" hidden="1">Çykdajylar!$A$5:$D$1005</definedName>
    <definedName name="_xlnm._FilterDatabase" localSheetId="3" hidden="1">Satuw!$A$5:$G$5005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4" i="8" l="1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E9" i="8"/>
  <c r="F9" i="8" s="1"/>
  <c r="F8" i="8"/>
  <c r="E8" i="8"/>
  <c r="F7" i="8"/>
  <c r="E7" i="8"/>
  <c r="F6" i="8"/>
  <c r="E6" i="8"/>
  <c r="F5" i="8"/>
  <c r="E5" i="8"/>
  <c r="A44" i="7"/>
  <c r="G43" i="7"/>
  <c r="F43" i="7"/>
  <c r="E43" i="7"/>
  <c r="D43" i="7"/>
  <c r="C43" i="7"/>
  <c r="B43" i="7"/>
  <c r="A43" i="7"/>
  <c r="E42" i="7"/>
  <c r="D42" i="7"/>
  <c r="C42" i="7"/>
  <c r="A42" i="7"/>
  <c r="B42" i="7" s="1"/>
  <c r="G41" i="7"/>
  <c r="F41" i="7"/>
  <c r="D41" i="7"/>
  <c r="A41" i="7"/>
  <c r="E41" i="7" s="1"/>
  <c r="G40" i="7"/>
  <c r="F40" i="7"/>
  <c r="E40" i="7"/>
  <c r="D40" i="7"/>
  <c r="C40" i="7"/>
  <c r="B40" i="7"/>
  <c r="A40" i="7"/>
  <c r="A39" i="7"/>
  <c r="G38" i="7"/>
  <c r="F38" i="7"/>
  <c r="E38" i="7"/>
  <c r="D38" i="7"/>
  <c r="C38" i="7"/>
  <c r="A38" i="7"/>
  <c r="B38" i="7" s="1"/>
  <c r="D37" i="7"/>
  <c r="C37" i="7"/>
  <c r="B37" i="7"/>
  <c r="A37" i="7"/>
  <c r="G37" i="7" s="1"/>
  <c r="G36" i="7"/>
  <c r="F36" i="7"/>
  <c r="E36" i="7"/>
  <c r="D36" i="7"/>
  <c r="C36" i="7"/>
  <c r="B36" i="7"/>
  <c r="A36" i="7"/>
  <c r="F35" i="7"/>
  <c r="E35" i="7"/>
  <c r="D35" i="7"/>
  <c r="C35" i="7"/>
  <c r="B35" i="7"/>
  <c r="A35" i="7"/>
  <c r="G35" i="7" s="1"/>
  <c r="A34" i="7"/>
  <c r="G33" i="7"/>
  <c r="F33" i="7"/>
  <c r="E33" i="7"/>
  <c r="D33" i="7"/>
  <c r="C33" i="7"/>
  <c r="B33" i="7"/>
  <c r="A33" i="7"/>
  <c r="A32" i="7"/>
  <c r="G31" i="7"/>
  <c r="F31" i="7"/>
  <c r="E31" i="7"/>
  <c r="D31" i="7"/>
  <c r="C31" i="7"/>
  <c r="B31" i="7"/>
  <c r="A31" i="7"/>
  <c r="E30" i="7"/>
  <c r="D30" i="7"/>
  <c r="C30" i="7"/>
  <c r="B30" i="7"/>
  <c r="A30" i="7"/>
  <c r="G30" i="7" s="1"/>
  <c r="G29" i="7"/>
  <c r="F29" i="7"/>
  <c r="E29" i="7"/>
  <c r="D29" i="7"/>
  <c r="A29" i="7"/>
  <c r="C29" i="7" s="1"/>
  <c r="G28" i="7"/>
  <c r="F28" i="7"/>
  <c r="E28" i="7"/>
  <c r="D28" i="7"/>
  <c r="C28" i="7"/>
  <c r="B28" i="7"/>
  <c r="A28" i="7"/>
  <c r="A27" i="7"/>
  <c r="G26" i="7"/>
  <c r="F26" i="7"/>
  <c r="E26" i="7"/>
  <c r="D26" i="7"/>
  <c r="C26" i="7"/>
  <c r="A26" i="7"/>
  <c r="B26" i="7" s="1"/>
  <c r="D25" i="7"/>
  <c r="C25" i="7"/>
  <c r="B25" i="7"/>
  <c r="A25" i="7"/>
  <c r="G25" i="7" s="1"/>
  <c r="G24" i="7"/>
  <c r="F24" i="7"/>
  <c r="E24" i="7"/>
  <c r="D24" i="7"/>
  <c r="C24" i="7"/>
  <c r="B24" i="7"/>
  <c r="A24" i="7"/>
  <c r="F23" i="7"/>
  <c r="E23" i="7"/>
  <c r="D23" i="7"/>
  <c r="C23" i="7"/>
  <c r="B23" i="7"/>
  <c r="A23" i="7"/>
  <c r="G23" i="7" s="1"/>
  <c r="A22" i="7"/>
  <c r="G21" i="7"/>
  <c r="F21" i="7"/>
  <c r="E21" i="7"/>
  <c r="D21" i="7"/>
  <c r="C21" i="7"/>
  <c r="B21" i="7"/>
  <c r="A21" i="7"/>
  <c r="A20" i="7"/>
  <c r="G19" i="7"/>
  <c r="F19" i="7"/>
  <c r="E19" i="7"/>
  <c r="D19" i="7"/>
  <c r="C19" i="7"/>
  <c r="B19" i="7"/>
  <c r="A19" i="7"/>
  <c r="E18" i="7"/>
  <c r="D18" i="7"/>
  <c r="C18" i="7"/>
  <c r="B18" i="7"/>
  <c r="A18" i="7"/>
  <c r="G18" i="7" s="1"/>
  <c r="G17" i="7"/>
  <c r="F17" i="7"/>
  <c r="E17" i="7"/>
  <c r="D17" i="7"/>
  <c r="A17" i="7"/>
  <c r="C17" i="7" s="1"/>
  <c r="G16" i="7"/>
  <c r="F16" i="7"/>
  <c r="E16" i="7"/>
  <c r="D16" i="7"/>
  <c r="C16" i="7"/>
  <c r="B16" i="7"/>
  <c r="A16" i="7"/>
  <c r="A15" i="7"/>
  <c r="G14" i="7"/>
  <c r="F14" i="7"/>
  <c r="E14" i="7"/>
  <c r="D14" i="7"/>
  <c r="C14" i="7"/>
  <c r="A14" i="7"/>
  <c r="B14" i="7" s="1"/>
  <c r="D13" i="7"/>
  <c r="C13" i="7"/>
  <c r="B13" i="7"/>
  <c r="A13" i="7"/>
  <c r="F12" i="7"/>
  <c r="D12" i="7"/>
  <c r="C12" i="7"/>
  <c r="B12" i="7"/>
  <c r="A12" i="7"/>
  <c r="F11" i="7"/>
  <c r="D11" i="7"/>
  <c r="E11" i="7" s="1"/>
  <c r="C11" i="7"/>
  <c r="B11" i="7"/>
  <c r="A11" i="7"/>
  <c r="A10" i="7"/>
  <c r="F9" i="7"/>
  <c r="A9" i="7"/>
  <c r="B8" i="7"/>
  <c r="A8" i="7"/>
  <c r="F7" i="7"/>
  <c r="D7" i="7"/>
  <c r="C7" i="7"/>
  <c r="B7" i="7"/>
  <c r="A7" i="7"/>
  <c r="D6" i="7"/>
  <c r="C6" i="7"/>
  <c r="B6" i="7"/>
  <c r="E6" i="7" s="1"/>
  <c r="A6" i="7"/>
  <c r="F5" i="7"/>
  <c r="D5" i="7"/>
  <c r="C5" i="7"/>
  <c r="A5" i="7"/>
  <c r="B5" i="7" s="1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G5005" i="4"/>
  <c r="E5005" i="4"/>
  <c r="F5005" i="4" s="1"/>
  <c r="G5004" i="4"/>
  <c r="E5004" i="4"/>
  <c r="F5004" i="4" s="1"/>
  <c r="G5003" i="4"/>
  <c r="E5003" i="4"/>
  <c r="F5003" i="4" s="1"/>
  <c r="G5002" i="4"/>
  <c r="F5002" i="4"/>
  <c r="E5002" i="4"/>
  <c r="G5001" i="4"/>
  <c r="E5001" i="4"/>
  <c r="F5001" i="4" s="1"/>
  <c r="G5000" i="4"/>
  <c r="F5000" i="4"/>
  <c r="E5000" i="4"/>
  <c r="G4999" i="4"/>
  <c r="E4999" i="4"/>
  <c r="F4999" i="4" s="1"/>
  <c r="G4998" i="4"/>
  <c r="E4998" i="4"/>
  <c r="F4998" i="4" s="1"/>
  <c r="G4997" i="4"/>
  <c r="E4997" i="4"/>
  <c r="F4997" i="4" s="1"/>
  <c r="G4996" i="4"/>
  <c r="E4996" i="4"/>
  <c r="F4996" i="4" s="1"/>
  <c r="G4995" i="4"/>
  <c r="E4995" i="4"/>
  <c r="F4995" i="4" s="1"/>
  <c r="G4994" i="4"/>
  <c r="E4994" i="4"/>
  <c r="F4994" i="4" s="1"/>
  <c r="G4993" i="4"/>
  <c r="F4993" i="4"/>
  <c r="E4993" i="4"/>
  <c r="G4992" i="4"/>
  <c r="E4992" i="4"/>
  <c r="F4992" i="4" s="1"/>
  <c r="G4991" i="4"/>
  <c r="E4991" i="4"/>
  <c r="F4991" i="4" s="1"/>
  <c r="G4990" i="4"/>
  <c r="E4990" i="4"/>
  <c r="F4990" i="4" s="1"/>
  <c r="G4989" i="4"/>
  <c r="E4989" i="4"/>
  <c r="F4989" i="4" s="1"/>
  <c r="G4988" i="4"/>
  <c r="F4988" i="4"/>
  <c r="E4988" i="4"/>
  <c r="G4987" i="4"/>
  <c r="E4987" i="4"/>
  <c r="F4987" i="4" s="1"/>
  <c r="G4986" i="4"/>
  <c r="E4986" i="4"/>
  <c r="F4986" i="4" s="1"/>
  <c r="G4985" i="4"/>
  <c r="E4985" i="4"/>
  <c r="F4985" i="4" s="1"/>
  <c r="G4984" i="4"/>
  <c r="E4984" i="4"/>
  <c r="F4984" i="4" s="1"/>
  <c r="G4983" i="4"/>
  <c r="E4983" i="4"/>
  <c r="F4983" i="4" s="1"/>
  <c r="G4982" i="4"/>
  <c r="E4982" i="4"/>
  <c r="F4982" i="4" s="1"/>
  <c r="G4981" i="4"/>
  <c r="E4981" i="4"/>
  <c r="F4981" i="4" s="1"/>
  <c r="G4980" i="4"/>
  <c r="E4980" i="4"/>
  <c r="F4980" i="4" s="1"/>
  <c r="G4979" i="4"/>
  <c r="E4979" i="4"/>
  <c r="F4979" i="4" s="1"/>
  <c r="G4978" i="4"/>
  <c r="F4978" i="4"/>
  <c r="E4978" i="4"/>
  <c r="G4977" i="4"/>
  <c r="E4977" i="4"/>
  <c r="F4977" i="4" s="1"/>
  <c r="G4976" i="4"/>
  <c r="E4976" i="4"/>
  <c r="F4976" i="4" s="1"/>
  <c r="G4975" i="4"/>
  <c r="E4975" i="4"/>
  <c r="F4975" i="4" s="1"/>
  <c r="G4974" i="4"/>
  <c r="F4974" i="4"/>
  <c r="E4974" i="4"/>
  <c r="G4973" i="4"/>
  <c r="E4973" i="4"/>
  <c r="F4973" i="4" s="1"/>
  <c r="G4972" i="4"/>
  <c r="E4972" i="4"/>
  <c r="F4972" i="4" s="1"/>
  <c r="G4971" i="4"/>
  <c r="E4971" i="4"/>
  <c r="F4971" i="4" s="1"/>
  <c r="G4970" i="4"/>
  <c r="E4970" i="4"/>
  <c r="F4970" i="4" s="1"/>
  <c r="G4969" i="4"/>
  <c r="E4969" i="4"/>
  <c r="F4969" i="4" s="1"/>
  <c r="G4968" i="4"/>
  <c r="E4968" i="4"/>
  <c r="F4968" i="4" s="1"/>
  <c r="G4967" i="4"/>
  <c r="E4967" i="4"/>
  <c r="F4967" i="4" s="1"/>
  <c r="G4966" i="4"/>
  <c r="E4966" i="4"/>
  <c r="F4966" i="4" s="1"/>
  <c r="G4965" i="4"/>
  <c r="F4965" i="4"/>
  <c r="E4965" i="4"/>
  <c r="G4964" i="4"/>
  <c r="E4964" i="4"/>
  <c r="F4964" i="4" s="1"/>
  <c r="G4963" i="4"/>
  <c r="E4963" i="4"/>
  <c r="F4963" i="4" s="1"/>
  <c r="G4962" i="4"/>
  <c r="E4962" i="4"/>
  <c r="F4962" i="4" s="1"/>
  <c r="G4961" i="4"/>
  <c r="E4961" i="4"/>
  <c r="F4961" i="4" s="1"/>
  <c r="G4960" i="4"/>
  <c r="E4960" i="4"/>
  <c r="F4960" i="4" s="1"/>
  <c r="G4959" i="4"/>
  <c r="E4959" i="4"/>
  <c r="F4959" i="4" s="1"/>
  <c r="G4958" i="4"/>
  <c r="F4958" i="4"/>
  <c r="E4958" i="4"/>
  <c r="G4957" i="4"/>
  <c r="E4957" i="4"/>
  <c r="F4957" i="4" s="1"/>
  <c r="G4956" i="4"/>
  <c r="E4956" i="4"/>
  <c r="F4956" i="4" s="1"/>
  <c r="G4955" i="4"/>
  <c r="E4955" i="4"/>
  <c r="F4955" i="4" s="1"/>
  <c r="G4954" i="4"/>
  <c r="E4954" i="4"/>
  <c r="F4954" i="4" s="1"/>
  <c r="G4953" i="4"/>
  <c r="F4953" i="4"/>
  <c r="E4953" i="4"/>
  <c r="G4952" i="4"/>
  <c r="E4952" i="4"/>
  <c r="F4952" i="4" s="1"/>
  <c r="G4951" i="4"/>
  <c r="E4951" i="4"/>
  <c r="F4951" i="4" s="1"/>
  <c r="G4950" i="4"/>
  <c r="F4950" i="4"/>
  <c r="E4950" i="4"/>
  <c r="G4949" i="4"/>
  <c r="E4949" i="4"/>
  <c r="F4949" i="4" s="1"/>
  <c r="G4948" i="4"/>
  <c r="F4948" i="4"/>
  <c r="E4948" i="4"/>
  <c r="G4947" i="4"/>
  <c r="E4947" i="4"/>
  <c r="F4947" i="4" s="1"/>
  <c r="G4946" i="4"/>
  <c r="E4946" i="4"/>
  <c r="F4946" i="4" s="1"/>
  <c r="G4945" i="4"/>
  <c r="F4945" i="4"/>
  <c r="E4945" i="4"/>
  <c r="G4944" i="4"/>
  <c r="E4944" i="4"/>
  <c r="F4944" i="4" s="1"/>
  <c r="G4943" i="4"/>
  <c r="E4943" i="4"/>
  <c r="F4943" i="4" s="1"/>
  <c r="G4942" i="4"/>
  <c r="E4942" i="4"/>
  <c r="F4942" i="4" s="1"/>
  <c r="G4941" i="4"/>
  <c r="E4941" i="4"/>
  <c r="F4941" i="4" s="1"/>
  <c r="G4940" i="4"/>
  <c r="F4940" i="4"/>
  <c r="E4940" i="4"/>
  <c r="G4939" i="4"/>
  <c r="E4939" i="4"/>
  <c r="F4939" i="4" s="1"/>
  <c r="G4938" i="4"/>
  <c r="E4938" i="4"/>
  <c r="F4938" i="4" s="1"/>
  <c r="G4937" i="4"/>
  <c r="E4937" i="4"/>
  <c r="F4937" i="4" s="1"/>
  <c r="G4936" i="4"/>
  <c r="E4936" i="4"/>
  <c r="F4936" i="4" s="1"/>
  <c r="G4935" i="4"/>
  <c r="E4935" i="4"/>
  <c r="F4935" i="4" s="1"/>
  <c r="G4934" i="4"/>
  <c r="E4934" i="4"/>
  <c r="F4934" i="4" s="1"/>
  <c r="G4933" i="4"/>
  <c r="E4933" i="4"/>
  <c r="F4933" i="4" s="1"/>
  <c r="G4932" i="4"/>
  <c r="E4932" i="4"/>
  <c r="F4932" i="4" s="1"/>
  <c r="G4931" i="4"/>
  <c r="E4931" i="4"/>
  <c r="F4931" i="4" s="1"/>
  <c r="G4930" i="4"/>
  <c r="E4930" i="4"/>
  <c r="F4930" i="4" s="1"/>
  <c r="G4929" i="4"/>
  <c r="E4929" i="4"/>
  <c r="F4929" i="4" s="1"/>
  <c r="G4928" i="4"/>
  <c r="E4928" i="4"/>
  <c r="F4928" i="4" s="1"/>
  <c r="G4927" i="4"/>
  <c r="E4927" i="4"/>
  <c r="F4927" i="4" s="1"/>
  <c r="G4926" i="4"/>
  <c r="E4926" i="4"/>
  <c r="F4926" i="4" s="1"/>
  <c r="G4925" i="4"/>
  <c r="E4925" i="4"/>
  <c r="F4925" i="4" s="1"/>
  <c r="G4924" i="4"/>
  <c r="F4924" i="4"/>
  <c r="E4924" i="4"/>
  <c r="G4923" i="4"/>
  <c r="E4923" i="4"/>
  <c r="F4923" i="4" s="1"/>
  <c r="G4922" i="4"/>
  <c r="E4922" i="4"/>
  <c r="F4922" i="4" s="1"/>
  <c r="G4921" i="4"/>
  <c r="E4921" i="4"/>
  <c r="F4921" i="4" s="1"/>
  <c r="G4920" i="4"/>
  <c r="E4920" i="4"/>
  <c r="F4920" i="4" s="1"/>
  <c r="G4919" i="4"/>
  <c r="E4919" i="4"/>
  <c r="F4919" i="4" s="1"/>
  <c r="G4918" i="4"/>
  <c r="E4918" i="4"/>
  <c r="F4918" i="4" s="1"/>
  <c r="G4917" i="4"/>
  <c r="E4917" i="4"/>
  <c r="F4917" i="4" s="1"/>
  <c r="G4916" i="4"/>
  <c r="E4916" i="4"/>
  <c r="F4916" i="4" s="1"/>
  <c r="G4915" i="4"/>
  <c r="E4915" i="4"/>
  <c r="F4915" i="4" s="1"/>
  <c r="G4914" i="4"/>
  <c r="E4914" i="4"/>
  <c r="F4914" i="4" s="1"/>
  <c r="G4913" i="4"/>
  <c r="E4913" i="4"/>
  <c r="F4913" i="4" s="1"/>
  <c r="G4912" i="4"/>
  <c r="E4912" i="4"/>
  <c r="F4912" i="4" s="1"/>
  <c r="G4911" i="4"/>
  <c r="E4911" i="4"/>
  <c r="F4911" i="4" s="1"/>
  <c r="G4910" i="4"/>
  <c r="F4910" i="4"/>
  <c r="E4910" i="4"/>
  <c r="G4909" i="4"/>
  <c r="E4909" i="4"/>
  <c r="F4909" i="4" s="1"/>
  <c r="G4908" i="4"/>
  <c r="E4908" i="4"/>
  <c r="F4908" i="4" s="1"/>
  <c r="G4907" i="4"/>
  <c r="E4907" i="4"/>
  <c r="F4907" i="4" s="1"/>
  <c r="G4906" i="4"/>
  <c r="E4906" i="4"/>
  <c r="F4906" i="4" s="1"/>
  <c r="G4905" i="4"/>
  <c r="E4905" i="4"/>
  <c r="F4905" i="4" s="1"/>
  <c r="G4904" i="4"/>
  <c r="F4904" i="4"/>
  <c r="E4904" i="4"/>
  <c r="G4903" i="4"/>
  <c r="E4903" i="4"/>
  <c r="F4903" i="4" s="1"/>
  <c r="G4902" i="4"/>
  <c r="E4902" i="4"/>
  <c r="F4902" i="4" s="1"/>
  <c r="G4901" i="4"/>
  <c r="E4901" i="4"/>
  <c r="F4901" i="4" s="1"/>
  <c r="G4900" i="4"/>
  <c r="E4900" i="4"/>
  <c r="F4900" i="4" s="1"/>
  <c r="G4899" i="4"/>
  <c r="E4899" i="4"/>
  <c r="F4899" i="4" s="1"/>
  <c r="G4898" i="4"/>
  <c r="E4898" i="4"/>
  <c r="F4898" i="4" s="1"/>
  <c r="G4897" i="4"/>
  <c r="E4897" i="4"/>
  <c r="F4897" i="4" s="1"/>
  <c r="G4896" i="4"/>
  <c r="E4896" i="4"/>
  <c r="F4896" i="4" s="1"/>
  <c r="G4895" i="4"/>
  <c r="E4895" i="4"/>
  <c r="F4895" i="4" s="1"/>
  <c r="G4894" i="4"/>
  <c r="F4894" i="4"/>
  <c r="E4894" i="4"/>
  <c r="G4893" i="4"/>
  <c r="F4893" i="4"/>
  <c r="E4893" i="4"/>
  <c r="G4892" i="4"/>
  <c r="E4892" i="4"/>
  <c r="F4892" i="4" s="1"/>
  <c r="G4891" i="4"/>
  <c r="E4891" i="4"/>
  <c r="F4891" i="4" s="1"/>
  <c r="G4890" i="4"/>
  <c r="E4890" i="4"/>
  <c r="F4890" i="4" s="1"/>
  <c r="G4889" i="4"/>
  <c r="E4889" i="4"/>
  <c r="F4889" i="4" s="1"/>
  <c r="G4888" i="4"/>
  <c r="E4888" i="4"/>
  <c r="F4888" i="4" s="1"/>
  <c r="G4887" i="4"/>
  <c r="E4887" i="4"/>
  <c r="F4887" i="4" s="1"/>
  <c r="G4886" i="4"/>
  <c r="E4886" i="4"/>
  <c r="F4886" i="4" s="1"/>
  <c r="G4885" i="4"/>
  <c r="E4885" i="4"/>
  <c r="F4885" i="4" s="1"/>
  <c r="G4884" i="4"/>
  <c r="F4884" i="4"/>
  <c r="E4884" i="4"/>
  <c r="G4883" i="4"/>
  <c r="E4883" i="4"/>
  <c r="F4883" i="4" s="1"/>
  <c r="G4882" i="4"/>
  <c r="E4882" i="4"/>
  <c r="F4882" i="4" s="1"/>
  <c r="G4881" i="4"/>
  <c r="E4881" i="4"/>
  <c r="F4881" i="4" s="1"/>
  <c r="G4880" i="4"/>
  <c r="F4880" i="4"/>
  <c r="E4880" i="4"/>
  <c r="G4879" i="4"/>
  <c r="E4879" i="4"/>
  <c r="F4879" i="4" s="1"/>
  <c r="G4878" i="4"/>
  <c r="F4878" i="4"/>
  <c r="E4878" i="4"/>
  <c r="G4877" i="4"/>
  <c r="E4877" i="4"/>
  <c r="F4877" i="4" s="1"/>
  <c r="G4876" i="4"/>
  <c r="E4876" i="4"/>
  <c r="F4876" i="4" s="1"/>
  <c r="G4875" i="4"/>
  <c r="E4875" i="4"/>
  <c r="F4875" i="4" s="1"/>
  <c r="G4874" i="4"/>
  <c r="E4874" i="4"/>
  <c r="F4874" i="4" s="1"/>
  <c r="G4873" i="4"/>
  <c r="E4873" i="4"/>
  <c r="F4873" i="4" s="1"/>
  <c r="G4872" i="4"/>
  <c r="E4872" i="4"/>
  <c r="F4872" i="4" s="1"/>
  <c r="G4871" i="4"/>
  <c r="E4871" i="4"/>
  <c r="F4871" i="4" s="1"/>
  <c r="G4870" i="4"/>
  <c r="E4870" i="4"/>
  <c r="F4870" i="4" s="1"/>
  <c r="G4869" i="4"/>
  <c r="E4869" i="4"/>
  <c r="F4869" i="4" s="1"/>
  <c r="G4868" i="4"/>
  <c r="E4868" i="4"/>
  <c r="F4868" i="4" s="1"/>
  <c r="G4867" i="4"/>
  <c r="E4867" i="4"/>
  <c r="F4867" i="4" s="1"/>
  <c r="G4866" i="4"/>
  <c r="E4866" i="4"/>
  <c r="F4866" i="4" s="1"/>
  <c r="G4865" i="4"/>
  <c r="E4865" i="4"/>
  <c r="F4865" i="4" s="1"/>
  <c r="G4864" i="4"/>
  <c r="E4864" i="4"/>
  <c r="F4864" i="4" s="1"/>
  <c r="G4863" i="4"/>
  <c r="E4863" i="4"/>
  <c r="F4863" i="4" s="1"/>
  <c r="G4862" i="4"/>
  <c r="F4862" i="4"/>
  <c r="E4862" i="4"/>
  <c r="G4861" i="4"/>
  <c r="E4861" i="4"/>
  <c r="F4861" i="4" s="1"/>
  <c r="G4860" i="4"/>
  <c r="E4860" i="4"/>
  <c r="F4860" i="4" s="1"/>
  <c r="G4859" i="4"/>
  <c r="E4859" i="4"/>
  <c r="F4859" i="4" s="1"/>
  <c r="G4858" i="4"/>
  <c r="F4858" i="4"/>
  <c r="E4858" i="4"/>
  <c r="G4857" i="4"/>
  <c r="F4857" i="4"/>
  <c r="E4857" i="4"/>
  <c r="G4856" i="4"/>
  <c r="E4856" i="4"/>
  <c r="F4856" i="4" s="1"/>
  <c r="G4855" i="4"/>
  <c r="E4855" i="4"/>
  <c r="F4855" i="4" s="1"/>
  <c r="G4854" i="4"/>
  <c r="E4854" i="4"/>
  <c r="F4854" i="4" s="1"/>
  <c r="G4853" i="4"/>
  <c r="E4853" i="4"/>
  <c r="F4853" i="4" s="1"/>
  <c r="G4852" i="4"/>
  <c r="F4852" i="4"/>
  <c r="E4852" i="4"/>
  <c r="G4851" i="4"/>
  <c r="E4851" i="4"/>
  <c r="F4851" i="4" s="1"/>
  <c r="G4850" i="4"/>
  <c r="E4850" i="4"/>
  <c r="F4850" i="4" s="1"/>
  <c r="G4849" i="4"/>
  <c r="E4849" i="4"/>
  <c r="F4849" i="4" s="1"/>
  <c r="G4848" i="4"/>
  <c r="E4848" i="4"/>
  <c r="F4848" i="4" s="1"/>
  <c r="G4847" i="4"/>
  <c r="E4847" i="4"/>
  <c r="F4847" i="4" s="1"/>
  <c r="G4846" i="4"/>
  <c r="E4846" i="4"/>
  <c r="F4846" i="4" s="1"/>
  <c r="G4845" i="4"/>
  <c r="E4845" i="4"/>
  <c r="F4845" i="4" s="1"/>
  <c r="G4844" i="4"/>
  <c r="E4844" i="4"/>
  <c r="F4844" i="4" s="1"/>
  <c r="G4843" i="4"/>
  <c r="E4843" i="4"/>
  <c r="F4843" i="4" s="1"/>
  <c r="G4842" i="4"/>
  <c r="E4842" i="4"/>
  <c r="F4842" i="4" s="1"/>
  <c r="G4841" i="4"/>
  <c r="F4841" i="4"/>
  <c r="E4841" i="4"/>
  <c r="G4840" i="4"/>
  <c r="E4840" i="4"/>
  <c r="F4840" i="4" s="1"/>
  <c r="G4839" i="4"/>
  <c r="E4839" i="4"/>
  <c r="F4839" i="4" s="1"/>
  <c r="G4838" i="4"/>
  <c r="E4838" i="4"/>
  <c r="F4838" i="4" s="1"/>
  <c r="G4837" i="4"/>
  <c r="E4837" i="4"/>
  <c r="F4837" i="4" s="1"/>
  <c r="G4836" i="4"/>
  <c r="F4836" i="4"/>
  <c r="E4836" i="4"/>
  <c r="G4835" i="4"/>
  <c r="E4835" i="4"/>
  <c r="F4835" i="4" s="1"/>
  <c r="G4834" i="4"/>
  <c r="F4834" i="4"/>
  <c r="E4834" i="4"/>
  <c r="G4833" i="4"/>
  <c r="F4833" i="4"/>
  <c r="E4833" i="4"/>
  <c r="G4832" i="4"/>
  <c r="E4832" i="4"/>
  <c r="F4832" i="4" s="1"/>
  <c r="G4831" i="4"/>
  <c r="E4831" i="4"/>
  <c r="F4831" i="4" s="1"/>
  <c r="G4830" i="4"/>
  <c r="E4830" i="4"/>
  <c r="F4830" i="4" s="1"/>
  <c r="G4829" i="4"/>
  <c r="E4829" i="4"/>
  <c r="F4829" i="4" s="1"/>
  <c r="G4828" i="4"/>
  <c r="E4828" i="4"/>
  <c r="F4828" i="4" s="1"/>
  <c r="G4827" i="4"/>
  <c r="E4827" i="4"/>
  <c r="F4827" i="4" s="1"/>
  <c r="G4826" i="4"/>
  <c r="E4826" i="4"/>
  <c r="F4826" i="4" s="1"/>
  <c r="G4825" i="4"/>
  <c r="E4825" i="4"/>
  <c r="F4825" i="4" s="1"/>
  <c r="G4824" i="4"/>
  <c r="F4824" i="4"/>
  <c r="E4824" i="4"/>
  <c r="G4823" i="4"/>
  <c r="E4823" i="4"/>
  <c r="F4823" i="4" s="1"/>
  <c r="G4822" i="4"/>
  <c r="E4822" i="4"/>
  <c r="F4822" i="4" s="1"/>
  <c r="G4821" i="4"/>
  <c r="F4821" i="4"/>
  <c r="E4821" i="4"/>
  <c r="G4820" i="4"/>
  <c r="E4820" i="4"/>
  <c r="F4820" i="4" s="1"/>
  <c r="G4819" i="4"/>
  <c r="E4819" i="4"/>
  <c r="F4819" i="4" s="1"/>
  <c r="G4818" i="4"/>
  <c r="E4818" i="4"/>
  <c r="F4818" i="4" s="1"/>
  <c r="G4817" i="4"/>
  <c r="E4817" i="4"/>
  <c r="F4817" i="4" s="1"/>
  <c r="G4816" i="4"/>
  <c r="E4816" i="4"/>
  <c r="F4816" i="4" s="1"/>
  <c r="G4815" i="4"/>
  <c r="E4815" i="4"/>
  <c r="F4815" i="4" s="1"/>
  <c r="G4814" i="4"/>
  <c r="F4814" i="4"/>
  <c r="E4814" i="4"/>
  <c r="G4813" i="4"/>
  <c r="E4813" i="4"/>
  <c r="F4813" i="4" s="1"/>
  <c r="G4812" i="4"/>
  <c r="E4812" i="4"/>
  <c r="F4812" i="4" s="1"/>
  <c r="G4811" i="4"/>
  <c r="E4811" i="4"/>
  <c r="F4811" i="4" s="1"/>
  <c r="G4810" i="4"/>
  <c r="E4810" i="4"/>
  <c r="F4810" i="4" s="1"/>
  <c r="G4809" i="4"/>
  <c r="F4809" i="4"/>
  <c r="E4809" i="4"/>
  <c r="G4808" i="4"/>
  <c r="E4808" i="4"/>
  <c r="F4808" i="4" s="1"/>
  <c r="G4807" i="4"/>
  <c r="E4807" i="4"/>
  <c r="F4807" i="4" s="1"/>
  <c r="G4806" i="4"/>
  <c r="E4806" i="4"/>
  <c r="F4806" i="4" s="1"/>
  <c r="G4805" i="4"/>
  <c r="E4805" i="4"/>
  <c r="F4805" i="4" s="1"/>
  <c r="G4804" i="4"/>
  <c r="F4804" i="4"/>
  <c r="E4804" i="4"/>
  <c r="G4803" i="4"/>
  <c r="E4803" i="4"/>
  <c r="F4803" i="4" s="1"/>
  <c r="G4802" i="4"/>
  <c r="E4802" i="4"/>
  <c r="F4802" i="4" s="1"/>
  <c r="G4801" i="4"/>
  <c r="E4801" i="4"/>
  <c r="F4801" i="4" s="1"/>
  <c r="G4800" i="4"/>
  <c r="E4800" i="4"/>
  <c r="F4800" i="4" s="1"/>
  <c r="G4799" i="4"/>
  <c r="E4799" i="4"/>
  <c r="F4799" i="4" s="1"/>
  <c r="G4798" i="4"/>
  <c r="E4798" i="4"/>
  <c r="F4798" i="4" s="1"/>
  <c r="G4797" i="4"/>
  <c r="E4797" i="4"/>
  <c r="F4797" i="4" s="1"/>
  <c r="G4796" i="4"/>
  <c r="E4796" i="4"/>
  <c r="F4796" i="4" s="1"/>
  <c r="G4795" i="4"/>
  <c r="E4795" i="4"/>
  <c r="F4795" i="4" s="1"/>
  <c r="G4794" i="4"/>
  <c r="F4794" i="4"/>
  <c r="E4794" i="4"/>
  <c r="G4793" i="4"/>
  <c r="E4793" i="4"/>
  <c r="F4793" i="4" s="1"/>
  <c r="G4792" i="4"/>
  <c r="E4792" i="4"/>
  <c r="F4792" i="4" s="1"/>
  <c r="G4791" i="4"/>
  <c r="E4791" i="4"/>
  <c r="F4791" i="4" s="1"/>
  <c r="G4790" i="4"/>
  <c r="E4790" i="4"/>
  <c r="F4790" i="4" s="1"/>
  <c r="G4789" i="4"/>
  <c r="E4789" i="4"/>
  <c r="F4789" i="4" s="1"/>
  <c r="G4788" i="4"/>
  <c r="F4788" i="4"/>
  <c r="E4788" i="4"/>
  <c r="G4787" i="4"/>
  <c r="E4787" i="4"/>
  <c r="F4787" i="4" s="1"/>
  <c r="G4786" i="4"/>
  <c r="E4786" i="4"/>
  <c r="F4786" i="4" s="1"/>
  <c r="G4785" i="4"/>
  <c r="E4785" i="4"/>
  <c r="F4785" i="4" s="1"/>
  <c r="G4784" i="4"/>
  <c r="F4784" i="4"/>
  <c r="E4784" i="4"/>
  <c r="G4783" i="4"/>
  <c r="E4783" i="4"/>
  <c r="F4783" i="4" s="1"/>
  <c r="G4782" i="4"/>
  <c r="E4782" i="4"/>
  <c r="F4782" i="4" s="1"/>
  <c r="G4781" i="4"/>
  <c r="E4781" i="4"/>
  <c r="F4781" i="4" s="1"/>
  <c r="G4780" i="4"/>
  <c r="E4780" i="4"/>
  <c r="F4780" i="4" s="1"/>
  <c r="G4779" i="4"/>
  <c r="E4779" i="4"/>
  <c r="F4779" i="4" s="1"/>
  <c r="G4778" i="4"/>
  <c r="E4778" i="4"/>
  <c r="F4778" i="4" s="1"/>
  <c r="G4777" i="4"/>
  <c r="E4777" i="4"/>
  <c r="F4777" i="4" s="1"/>
  <c r="G4776" i="4"/>
  <c r="E4776" i="4"/>
  <c r="F4776" i="4" s="1"/>
  <c r="G4775" i="4"/>
  <c r="E4775" i="4"/>
  <c r="F4775" i="4" s="1"/>
  <c r="G4774" i="4"/>
  <c r="F4774" i="4"/>
  <c r="E4774" i="4"/>
  <c r="G4773" i="4"/>
  <c r="E4773" i="4"/>
  <c r="F4773" i="4" s="1"/>
  <c r="G4772" i="4"/>
  <c r="F4772" i="4"/>
  <c r="E4772" i="4"/>
  <c r="G4771" i="4"/>
  <c r="E4771" i="4"/>
  <c r="F4771" i="4" s="1"/>
  <c r="G4770" i="4"/>
  <c r="E4770" i="4"/>
  <c r="F4770" i="4" s="1"/>
  <c r="G4769" i="4"/>
  <c r="E4769" i="4"/>
  <c r="F4769" i="4" s="1"/>
  <c r="G4768" i="4"/>
  <c r="F4768" i="4"/>
  <c r="E4768" i="4"/>
  <c r="G4767" i="4"/>
  <c r="E4767" i="4"/>
  <c r="F4767" i="4" s="1"/>
  <c r="G4766" i="4"/>
  <c r="E4766" i="4"/>
  <c r="F4766" i="4" s="1"/>
  <c r="G4765" i="4"/>
  <c r="E4765" i="4"/>
  <c r="F4765" i="4" s="1"/>
  <c r="G4764" i="4"/>
  <c r="E4764" i="4"/>
  <c r="F4764" i="4" s="1"/>
  <c r="G4763" i="4"/>
  <c r="E4763" i="4"/>
  <c r="F4763" i="4" s="1"/>
  <c r="G4762" i="4"/>
  <c r="E4762" i="4"/>
  <c r="F4762" i="4" s="1"/>
  <c r="G4761" i="4"/>
  <c r="E4761" i="4"/>
  <c r="F4761" i="4" s="1"/>
  <c r="G4760" i="4"/>
  <c r="F4760" i="4"/>
  <c r="E4760" i="4"/>
  <c r="G4759" i="4"/>
  <c r="E4759" i="4"/>
  <c r="F4759" i="4" s="1"/>
  <c r="G4758" i="4"/>
  <c r="E4758" i="4"/>
  <c r="F4758" i="4" s="1"/>
  <c r="G4757" i="4"/>
  <c r="E4757" i="4"/>
  <c r="F4757" i="4" s="1"/>
  <c r="G4756" i="4"/>
  <c r="F4756" i="4"/>
  <c r="E4756" i="4"/>
  <c r="G4755" i="4"/>
  <c r="E4755" i="4"/>
  <c r="F4755" i="4" s="1"/>
  <c r="G4754" i="4"/>
  <c r="E4754" i="4"/>
  <c r="F4754" i="4" s="1"/>
  <c r="G4753" i="4"/>
  <c r="E4753" i="4"/>
  <c r="F4753" i="4" s="1"/>
  <c r="G4752" i="4"/>
  <c r="E4752" i="4"/>
  <c r="F4752" i="4" s="1"/>
  <c r="G4751" i="4"/>
  <c r="E4751" i="4"/>
  <c r="F4751" i="4" s="1"/>
  <c r="G4750" i="4"/>
  <c r="F4750" i="4"/>
  <c r="E4750" i="4"/>
  <c r="G4749" i="4"/>
  <c r="E4749" i="4"/>
  <c r="F4749" i="4" s="1"/>
  <c r="G4748" i="4"/>
  <c r="E4748" i="4"/>
  <c r="F4748" i="4" s="1"/>
  <c r="G4747" i="4"/>
  <c r="E4747" i="4"/>
  <c r="F4747" i="4" s="1"/>
  <c r="G4746" i="4"/>
  <c r="E4746" i="4"/>
  <c r="F4746" i="4" s="1"/>
  <c r="G4745" i="4"/>
  <c r="E4745" i="4"/>
  <c r="F4745" i="4" s="1"/>
  <c r="G4744" i="4"/>
  <c r="E4744" i="4"/>
  <c r="F4744" i="4" s="1"/>
  <c r="G4743" i="4"/>
  <c r="E4743" i="4"/>
  <c r="F4743" i="4" s="1"/>
  <c r="G4742" i="4"/>
  <c r="E4742" i="4"/>
  <c r="F4742" i="4" s="1"/>
  <c r="G4741" i="4"/>
  <c r="F4741" i="4"/>
  <c r="E4741" i="4"/>
  <c r="G4740" i="4"/>
  <c r="E4740" i="4"/>
  <c r="F4740" i="4" s="1"/>
  <c r="G4739" i="4"/>
  <c r="E4739" i="4"/>
  <c r="F4739" i="4" s="1"/>
  <c r="G4738" i="4"/>
  <c r="E4738" i="4"/>
  <c r="F4738" i="4" s="1"/>
  <c r="G4737" i="4"/>
  <c r="E4737" i="4"/>
  <c r="F4737" i="4" s="1"/>
  <c r="G4736" i="4"/>
  <c r="E4736" i="4"/>
  <c r="F4736" i="4" s="1"/>
  <c r="G4735" i="4"/>
  <c r="E4735" i="4"/>
  <c r="F4735" i="4" s="1"/>
  <c r="G4734" i="4"/>
  <c r="E4734" i="4"/>
  <c r="F4734" i="4" s="1"/>
  <c r="G4733" i="4"/>
  <c r="E4733" i="4"/>
  <c r="F4733" i="4" s="1"/>
  <c r="G4732" i="4"/>
  <c r="E4732" i="4"/>
  <c r="F4732" i="4" s="1"/>
  <c r="G4731" i="4"/>
  <c r="F4731" i="4"/>
  <c r="E4731" i="4"/>
  <c r="G4730" i="4"/>
  <c r="E4730" i="4"/>
  <c r="F4730" i="4" s="1"/>
  <c r="G4729" i="4"/>
  <c r="E4729" i="4"/>
  <c r="F4729" i="4" s="1"/>
  <c r="G4728" i="4"/>
  <c r="E4728" i="4"/>
  <c r="F4728" i="4" s="1"/>
  <c r="G4727" i="4"/>
  <c r="F4727" i="4"/>
  <c r="E4727" i="4"/>
  <c r="G4726" i="4"/>
  <c r="E4726" i="4"/>
  <c r="F4726" i="4" s="1"/>
  <c r="G4725" i="4"/>
  <c r="E4725" i="4"/>
  <c r="F4725" i="4" s="1"/>
  <c r="G4724" i="4"/>
  <c r="E4724" i="4"/>
  <c r="F4724" i="4" s="1"/>
  <c r="G4723" i="4"/>
  <c r="F4723" i="4"/>
  <c r="E4723" i="4"/>
  <c r="G4722" i="4"/>
  <c r="F4722" i="4"/>
  <c r="E4722" i="4"/>
  <c r="G4721" i="4"/>
  <c r="F4721" i="4"/>
  <c r="E4721" i="4"/>
  <c r="G4720" i="4"/>
  <c r="E4720" i="4"/>
  <c r="F4720" i="4" s="1"/>
  <c r="G4719" i="4"/>
  <c r="E4719" i="4"/>
  <c r="F4719" i="4" s="1"/>
  <c r="G4718" i="4"/>
  <c r="F4718" i="4"/>
  <c r="E4718" i="4"/>
  <c r="G4717" i="4"/>
  <c r="E4717" i="4"/>
  <c r="F4717" i="4" s="1"/>
  <c r="G4716" i="4"/>
  <c r="E4716" i="4"/>
  <c r="F4716" i="4" s="1"/>
  <c r="G4715" i="4"/>
  <c r="F4715" i="4"/>
  <c r="E4715" i="4"/>
  <c r="G4714" i="4"/>
  <c r="F4714" i="4"/>
  <c r="E4714" i="4"/>
  <c r="G4713" i="4"/>
  <c r="E4713" i="4"/>
  <c r="F4713" i="4" s="1"/>
  <c r="G4712" i="4"/>
  <c r="E4712" i="4"/>
  <c r="F4712" i="4" s="1"/>
  <c r="G4711" i="4"/>
  <c r="E4711" i="4"/>
  <c r="F4711" i="4" s="1"/>
  <c r="G4710" i="4"/>
  <c r="E4710" i="4"/>
  <c r="F4710" i="4" s="1"/>
  <c r="G4709" i="4"/>
  <c r="F4709" i="4"/>
  <c r="E4709" i="4"/>
  <c r="G4708" i="4"/>
  <c r="E4708" i="4"/>
  <c r="F4708" i="4" s="1"/>
  <c r="G4707" i="4"/>
  <c r="E4707" i="4"/>
  <c r="F4707" i="4" s="1"/>
  <c r="G4706" i="4"/>
  <c r="E4706" i="4"/>
  <c r="F4706" i="4" s="1"/>
  <c r="G4705" i="4"/>
  <c r="E4705" i="4"/>
  <c r="F4705" i="4" s="1"/>
  <c r="G4704" i="4"/>
  <c r="E4704" i="4"/>
  <c r="F4704" i="4" s="1"/>
  <c r="G4703" i="4"/>
  <c r="F4703" i="4"/>
  <c r="E4703" i="4"/>
  <c r="G4702" i="4"/>
  <c r="E4702" i="4"/>
  <c r="F4702" i="4" s="1"/>
  <c r="G4701" i="4"/>
  <c r="F4701" i="4"/>
  <c r="E4701" i="4"/>
  <c r="G4700" i="4"/>
  <c r="E4700" i="4"/>
  <c r="F4700" i="4" s="1"/>
  <c r="G4699" i="4"/>
  <c r="E4699" i="4"/>
  <c r="F4699" i="4" s="1"/>
  <c r="G4698" i="4"/>
  <c r="E4698" i="4"/>
  <c r="F4698" i="4" s="1"/>
  <c r="G4697" i="4"/>
  <c r="E4697" i="4"/>
  <c r="F4697" i="4" s="1"/>
  <c r="G4696" i="4"/>
  <c r="E4696" i="4"/>
  <c r="F4696" i="4" s="1"/>
  <c r="G4695" i="4"/>
  <c r="F4695" i="4"/>
  <c r="E4695" i="4"/>
  <c r="G4694" i="4"/>
  <c r="E4694" i="4"/>
  <c r="F4694" i="4" s="1"/>
  <c r="G4693" i="4"/>
  <c r="E4693" i="4"/>
  <c r="F4693" i="4" s="1"/>
  <c r="G4692" i="4"/>
  <c r="E4692" i="4"/>
  <c r="F4692" i="4" s="1"/>
  <c r="G4691" i="4"/>
  <c r="F4691" i="4"/>
  <c r="E4691" i="4"/>
  <c r="G4690" i="4"/>
  <c r="E4690" i="4"/>
  <c r="F4690" i="4" s="1"/>
  <c r="G4689" i="4"/>
  <c r="E4689" i="4"/>
  <c r="F4689" i="4" s="1"/>
  <c r="G4688" i="4"/>
  <c r="E4688" i="4"/>
  <c r="F4688" i="4" s="1"/>
  <c r="G4687" i="4"/>
  <c r="E4687" i="4"/>
  <c r="F4687" i="4" s="1"/>
  <c r="G4686" i="4"/>
  <c r="F4686" i="4"/>
  <c r="E4686" i="4"/>
  <c r="G4685" i="4"/>
  <c r="E4685" i="4"/>
  <c r="F4685" i="4" s="1"/>
  <c r="G4684" i="4"/>
  <c r="E4684" i="4"/>
  <c r="F4684" i="4" s="1"/>
  <c r="G4683" i="4"/>
  <c r="E4683" i="4"/>
  <c r="F4683" i="4" s="1"/>
  <c r="G4682" i="4"/>
  <c r="E4682" i="4"/>
  <c r="F4682" i="4" s="1"/>
  <c r="G4681" i="4"/>
  <c r="E4681" i="4"/>
  <c r="F4681" i="4" s="1"/>
  <c r="G4680" i="4"/>
  <c r="E4680" i="4"/>
  <c r="F4680" i="4" s="1"/>
  <c r="G4679" i="4"/>
  <c r="E4679" i="4"/>
  <c r="F4679" i="4" s="1"/>
  <c r="G4678" i="4"/>
  <c r="E4678" i="4"/>
  <c r="F4678" i="4" s="1"/>
  <c r="G4677" i="4"/>
  <c r="E4677" i="4"/>
  <c r="F4677" i="4" s="1"/>
  <c r="G4676" i="4"/>
  <c r="E4676" i="4"/>
  <c r="F4676" i="4" s="1"/>
  <c r="G4675" i="4"/>
  <c r="E4675" i="4"/>
  <c r="F4675" i="4" s="1"/>
  <c r="G4674" i="4"/>
  <c r="F4674" i="4"/>
  <c r="E4674" i="4"/>
  <c r="G4673" i="4"/>
  <c r="E4673" i="4"/>
  <c r="F4673" i="4" s="1"/>
  <c r="G4672" i="4"/>
  <c r="E4672" i="4"/>
  <c r="F4672" i="4" s="1"/>
  <c r="G4671" i="4"/>
  <c r="F4671" i="4"/>
  <c r="E4671" i="4"/>
  <c r="G4670" i="4"/>
  <c r="E4670" i="4"/>
  <c r="F4670" i="4" s="1"/>
  <c r="G4669" i="4"/>
  <c r="E4669" i="4"/>
  <c r="F4669" i="4" s="1"/>
  <c r="G4668" i="4"/>
  <c r="E4668" i="4"/>
  <c r="F4668" i="4" s="1"/>
  <c r="G4667" i="4"/>
  <c r="E4667" i="4"/>
  <c r="F4667" i="4" s="1"/>
  <c r="G4666" i="4"/>
  <c r="E4666" i="4"/>
  <c r="F4666" i="4" s="1"/>
  <c r="G4665" i="4"/>
  <c r="E4665" i="4"/>
  <c r="F4665" i="4" s="1"/>
  <c r="G4664" i="4"/>
  <c r="E4664" i="4"/>
  <c r="F4664" i="4" s="1"/>
  <c r="G4663" i="4"/>
  <c r="F4663" i="4"/>
  <c r="E4663" i="4"/>
  <c r="G4662" i="4"/>
  <c r="E4662" i="4"/>
  <c r="F4662" i="4" s="1"/>
  <c r="G4661" i="4"/>
  <c r="E4661" i="4"/>
  <c r="F4661" i="4" s="1"/>
  <c r="G4660" i="4"/>
  <c r="E4660" i="4"/>
  <c r="F4660" i="4" s="1"/>
  <c r="G4659" i="4"/>
  <c r="F4659" i="4"/>
  <c r="E4659" i="4"/>
  <c r="G4658" i="4"/>
  <c r="E4658" i="4"/>
  <c r="F4658" i="4" s="1"/>
  <c r="G4657" i="4"/>
  <c r="F4657" i="4"/>
  <c r="E4657" i="4"/>
  <c r="G4656" i="4"/>
  <c r="E4656" i="4"/>
  <c r="F4656" i="4" s="1"/>
  <c r="G4655" i="4"/>
  <c r="E4655" i="4"/>
  <c r="F4655" i="4" s="1"/>
  <c r="G4654" i="4"/>
  <c r="E4654" i="4"/>
  <c r="F4654" i="4" s="1"/>
  <c r="G4653" i="4"/>
  <c r="E4653" i="4"/>
  <c r="F4653" i="4" s="1"/>
  <c r="G4652" i="4"/>
  <c r="E4652" i="4"/>
  <c r="F4652" i="4" s="1"/>
  <c r="G4651" i="4"/>
  <c r="E4651" i="4"/>
  <c r="F4651" i="4" s="1"/>
  <c r="G4650" i="4"/>
  <c r="E4650" i="4"/>
  <c r="F4650" i="4" s="1"/>
  <c r="G4649" i="4"/>
  <c r="F4649" i="4"/>
  <c r="E4649" i="4"/>
  <c r="G4648" i="4"/>
  <c r="E4648" i="4"/>
  <c r="F4648" i="4" s="1"/>
  <c r="G4647" i="4"/>
  <c r="E4647" i="4"/>
  <c r="F4647" i="4" s="1"/>
  <c r="G4646" i="4"/>
  <c r="E4646" i="4"/>
  <c r="F4646" i="4" s="1"/>
  <c r="G4645" i="4"/>
  <c r="F4645" i="4"/>
  <c r="E4645" i="4"/>
  <c r="G4644" i="4"/>
  <c r="E4644" i="4"/>
  <c r="F4644" i="4" s="1"/>
  <c r="G4643" i="4"/>
  <c r="F4643" i="4"/>
  <c r="E4643" i="4"/>
  <c r="G4642" i="4"/>
  <c r="E4642" i="4"/>
  <c r="F4642" i="4" s="1"/>
  <c r="G4641" i="4"/>
  <c r="E4641" i="4"/>
  <c r="F4641" i="4" s="1"/>
  <c r="G4640" i="4"/>
  <c r="E4640" i="4"/>
  <c r="F4640" i="4" s="1"/>
  <c r="G4639" i="4"/>
  <c r="F4639" i="4"/>
  <c r="E4639" i="4"/>
  <c r="G4638" i="4"/>
  <c r="F4638" i="4"/>
  <c r="E4638" i="4"/>
  <c r="G4637" i="4"/>
  <c r="E4637" i="4"/>
  <c r="F4637" i="4" s="1"/>
  <c r="G4636" i="4"/>
  <c r="E4636" i="4"/>
  <c r="F4636" i="4" s="1"/>
  <c r="G4635" i="4"/>
  <c r="F4635" i="4"/>
  <c r="E4635" i="4"/>
  <c r="G4634" i="4"/>
  <c r="E4634" i="4"/>
  <c r="F4634" i="4" s="1"/>
  <c r="G4633" i="4"/>
  <c r="E4633" i="4"/>
  <c r="F4633" i="4" s="1"/>
  <c r="G4632" i="4"/>
  <c r="E4632" i="4"/>
  <c r="F4632" i="4" s="1"/>
  <c r="G4631" i="4"/>
  <c r="E4631" i="4"/>
  <c r="F4631" i="4" s="1"/>
  <c r="G4630" i="4"/>
  <c r="E4630" i="4"/>
  <c r="F4630" i="4" s="1"/>
  <c r="G4629" i="4"/>
  <c r="E4629" i="4"/>
  <c r="F4629" i="4" s="1"/>
  <c r="G4628" i="4"/>
  <c r="E4628" i="4"/>
  <c r="F4628" i="4" s="1"/>
  <c r="G4627" i="4"/>
  <c r="F4627" i="4"/>
  <c r="E4627" i="4"/>
  <c r="G4626" i="4"/>
  <c r="E4626" i="4"/>
  <c r="F4626" i="4" s="1"/>
  <c r="G4625" i="4"/>
  <c r="F4625" i="4"/>
  <c r="E4625" i="4"/>
  <c r="G4624" i="4"/>
  <c r="E4624" i="4"/>
  <c r="F4624" i="4" s="1"/>
  <c r="G4623" i="4"/>
  <c r="F4623" i="4"/>
  <c r="E4623" i="4"/>
  <c r="G4622" i="4"/>
  <c r="F4622" i="4"/>
  <c r="E4622" i="4"/>
  <c r="G4621" i="4"/>
  <c r="E4621" i="4"/>
  <c r="F4621" i="4" s="1"/>
  <c r="G4620" i="4"/>
  <c r="E4620" i="4"/>
  <c r="F4620" i="4" s="1"/>
  <c r="G4619" i="4"/>
  <c r="E4619" i="4"/>
  <c r="F4619" i="4" s="1"/>
  <c r="G4618" i="4"/>
  <c r="F4618" i="4"/>
  <c r="E4618" i="4"/>
  <c r="G4617" i="4"/>
  <c r="E4617" i="4"/>
  <c r="F4617" i="4" s="1"/>
  <c r="G4616" i="4"/>
  <c r="E4616" i="4"/>
  <c r="F4616" i="4" s="1"/>
  <c r="G4615" i="4"/>
  <c r="E4615" i="4"/>
  <c r="F4615" i="4" s="1"/>
  <c r="G4614" i="4"/>
  <c r="E4614" i="4"/>
  <c r="F4614" i="4" s="1"/>
  <c r="G4613" i="4"/>
  <c r="E4613" i="4"/>
  <c r="F4613" i="4" s="1"/>
  <c r="G4612" i="4"/>
  <c r="E4612" i="4"/>
  <c r="F4612" i="4" s="1"/>
  <c r="G4611" i="4"/>
  <c r="E4611" i="4"/>
  <c r="F4611" i="4" s="1"/>
  <c r="G4610" i="4"/>
  <c r="E4610" i="4"/>
  <c r="F4610" i="4" s="1"/>
  <c r="G4609" i="4"/>
  <c r="F4609" i="4"/>
  <c r="E4609" i="4"/>
  <c r="G4608" i="4"/>
  <c r="E4608" i="4"/>
  <c r="F4608" i="4" s="1"/>
  <c r="G4607" i="4"/>
  <c r="E4607" i="4"/>
  <c r="F4607" i="4" s="1"/>
  <c r="G4606" i="4"/>
  <c r="E4606" i="4"/>
  <c r="F4606" i="4" s="1"/>
  <c r="G4605" i="4"/>
  <c r="F4605" i="4"/>
  <c r="E4605" i="4"/>
  <c r="G4604" i="4"/>
  <c r="E4604" i="4"/>
  <c r="F4604" i="4" s="1"/>
  <c r="G4603" i="4"/>
  <c r="F4603" i="4"/>
  <c r="E4603" i="4"/>
  <c r="G4602" i="4"/>
  <c r="E4602" i="4"/>
  <c r="F4602" i="4" s="1"/>
  <c r="G4601" i="4"/>
  <c r="E4601" i="4"/>
  <c r="F4601" i="4" s="1"/>
  <c r="G4600" i="4"/>
  <c r="E4600" i="4"/>
  <c r="F4600" i="4" s="1"/>
  <c r="G4599" i="4"/>
  <c r="E4599" i="4"/>
  <c r="F4599" i="4" s="1"/>
  <c r="G4598" i="4"/>
  <c r="E4598" i="4"/>
  <c r="F4598" i="4" s="1"/>
  <c r="G4597" i="4"/>
  <c r="E4597" i="4"/>
  <c r="F4597" i="4" s="1"/>
  <c r="G4596" i="4"/>
  <c r="E4596" i="4"/>
  <c r="F4596" i="4" s="1"/>
  <c r="G4595" i="4"/>
  <c r="E4595" i="4"/>
  <c r="F4595" i="4" s="1"/>
  <c r="G4594" i="4"/>
  <c r="E4594" i="4"/>
  <c r="F4594" i="4" s="1"/>
  <c r="G4593" i="4"/>
  <c r="E4593" i="4"/>
  <c r="F4593" i="4" s="1"/>
  <c r="G4592" i="4"/>
  <c r="E4592" i="4"/>
  <c r="F4592" i="4" s="1"/>
  <c r="G4591" i="4"/>
  <c r="F4591" i="4"/>
  <c r="E4591" i="4"/>
  <c r="G4590" i="4"/>
  <c r="E4590" i="4"/>
  <c r="F4590" i="4" s="1"/>
  <c r="G4589" i="4"/>
  <c r="E4589" i="4"/>
  <c r="F4589" i="4" s="1"/>
  <c r="G4588" i="4"/>
  <c r="E4588" i="4"/>
  <c r="F4588" i="4" s="1"/>
  <c r="G4587" i="4"/>
  <c r="E4587" i="4"/>
  <c r="F4587" i="4" s="1"/>
  <c r="G4586" i="4"/>
  <c r="E4586" i="4"/>
  <c r="F4586" i="4" s="1"/>
  <c r="G4585" i="4"/>
  <c r="E4585" i="4"/>
  <c r="F4585" i="4" s="1"/>
  <c r="G4584" i="4"/>
  <c r="E4584" i="4"/>
  <c r="F4584" i="4" s="1"/>
  <c r="G4583" i="4"/>
  <c r="E4583" i="4"/>
  <c r="F4583" i="4" s="1"/>
  <c r="G4582" i="4"/>
  <c r="E4582" i="4"/>
  <c r="F4582" i="4" s="1"/>
  <c r="G4581" i="4"/>
  <c r="E4581" i="4"/>
  <c r="F4581" i="4" s="1"/>
  <c r="G4580" i="4"/>
  <c r="E4580" i="4"/>
  <c r="F4580" i="4" s="1"/>
  <c r="G4579" i="4"/>
  <c r="E4579" i="4"/>
  <c r="F4579" i="4" s="1"/>
  <c r="G4578" i="4"/>
  <c r="F4578" i="4"/>
  <c r="E4578" i="4"/>
  <c r="G4577" i="4"/>
  <c r="E4577" i="4"/>
  <c r="F4577" i="4" s="1"/>
  <c r="G4576" i="4"/>
  <c r="E4576" i="4"/>
  <c r="F4576" i="4" s="1"/>
  <c r="G4575" i="4"/>
  <c r="E4575" i="4"/>
  <c r="F4575" i="4" s="1"/>
  <c r="G4574" i="4"/>
  <c r="E4574" i="4"/>
  <c r="F4574" i="4" s="1"/>
  <c r="G4573" i="4"/>
  <c r="E4573" i="4"/>
  <c r="F4573" i="4" s="1"/>
  <c r="G4572" i="4"/>
  <c r="E4572" i="4"/>
  <c r="F4572" i="4" s="1"/>
  <c r="G4571" i="4"/>
  <c r="E4571" i="4"/>
  <c r="F4571" i="4" s="1"/>
  <c r="G4570" i="4"/>
  <c r="E4570" i="4"/>
  <c r="F4570" i="4" s="1"/>
  <c r="G4569" i="4"/>
  <c r="E4569" i="4"/>
  <c r="F4569" i="4" s="1"/>
  <c r="G4568" i="4"/>
  <c r="E4568" i="4"/>
  <c r="F4568" i="4" s="1"/>
  <c r="G4567" i="4"/>
  <c r="E4567" i="4"/>
  <c r="F4567" i="4" s="1"/>
  <c r="G4566" i="4"/>
  <c r="E4566" i="4"/>
  <c r="F4566" i="4" s="1"/>
  <c r="G4565" i="4"/>
  <c r="F4565" i="4"/>
  <c r="E4565" i="4"/>
  <c r="G4564" i="4"/>
  <c r="E4564" i="4"/>
  <c r="F4564" i="4" s="1"/>
  <c r="G4563" i="4"/>
  <c r="E4563" i="4"/>
  <c r="F4563" i="4" s="1"/>
  <c r="G4562" i="4"/>
  <c r="E4562" i="4"/>
  <c r="F4562" i="4" s="1"/>
  <c r="G4561" i="4"/>
  <c r="E4561" i="4"/>
  <c r="F4561" i="4" s="1"/>
  <c r="G4560" i="4"/>
  <c r="E4560" i="4"/>
  <c r="F4560" i="4" s="1"/>
  <c r="G4559" i="4"/>
  <c r="E4559" i="4"/>
  <c r="F4559" i="4" s="1"/>
  <c r="G4558" i="4"/>
  <c r="E4558" i="4"/>
  <c r="F4558" i="4" s="1"/>
  <c r="G4557" i="4"/>
  <c r="E4557" i="4"/>
  <c r="F4557" i="4" s="1"/>
  <c r="G4556" i="4"/>
  <c r="E4556" i="4"/>
  <c r="F4556" i="4" s="1"/>
  <c r="G4555" i="4"/>
  <c r="F4555" i="4"/>
  <c r="E4555" i="4"/>
  <c r="G4554" i="4"/>
  <c r="E4554" i="4"/>
  <c r="F4554" i="4" s="1"/>
  <c r="G4553" i="4"/>
  <c r="E4553" i="4"/>
  <c r="F4553" i="4" s="1"/>
  <c r="G4552" i="4"/>
  <c r="E4552" i="4"/>
  <c r="F4552" i="4" s="1"/>
  <c r="G4551" i="4"/>
  <c r="E4551" i="4"/>
  <c r="F4551" i="4" s="1"/>
  <c r="G4550" i="4"/>
  <c r="E4550" i="4"/>
  <c r="F4550" i="4" s="1"/>
  <c r="G4549" i="4"/>
  <c r="E4549" i="4"/>
  <c r="F4549" i="4" s="1"/>
  <c r="G4548" i="4"/>
  <c r="E4548" i="4"/>
  <c r="F4548" i="4" s="1"/>
  <c r="G4547" i="4"/>
  <c r="E4547" i="4"/>
  <c r="F4547" i="4" s="1"/>
  <c r="G4546" i="4"/>
  <c r="E4546" i="4"/>
  <c r="F4546" i="4" s="1"/>
  <c r="G4545" i="4"/>
  <c r="E4545" i="4"/>
  <c r="F4545" i="4" s="1"/>
  <c r="G4544" i="4"/>
  <c r="E4544" i="4"/>
  <c r="F4544" i="4" s="1"/>
  <c r="G4543" i="4"/>
  <c r="E4543" i="4"/>
  <c r="F4543" i="4" s="1"/>
  <c r="G4542" i="4"/>
  <c r="E4542" i="4"/>
  <c r="F4542" i="4" s="1"/>
  <c r="G4541" i="4"/>
  <c r="E4541" i="4"/>
  <c r="F4541" i="4" s="1"/>
  <c r="G4540" i="4"/>
  <c r="E4540" i="4"/>
  <c r="F4540" i="4" s="1"/>
  <c r="G4539" i="4"/>
  <c r="F4539" i="4"/>
  <c r="E4539" i="4"/>
  <c r="G4538" i="4"/>
  <c r="E4538" i="4"/>
  <c r="F4538" i="4" s="1"/>
  <c r="G4537" i="4"/>
  <c r="E4537" i="4"/>
  <c r="F4537" i="4" s="1"/>
  <c r="G4536" i="4"/>
  <c r="E4536" i="4"/>
  <c r="F4536" i="4" s="1"/>
  <c r="G4535" i="4"/>
  <c r="F4535" i="4"/>
  <c r="E4535" i="4"/>
  <c r="G4534" i="4"/>
  <c r="E4534" i="4"/>
  <c r="F4534" i="4" s="1"/>
  <c r="G4533" i="4"/>
  <c r="E4533" i="4"/>
  <c r="F4533" i="4" s="1"/>
  <c r="G4532" i="4"/>
  <c r="E4532" i="4"/>
  <c r="F4532" i="4" s="1"/>
  <c r="G4531" i="4"/>
  <c r="E4531" i="4"/>
  <c r="F4531" i="4" s="1"/>
  <c r="G4530" i="4"/>
  <c r="E4530" i="4"/>
  <c r="F4530" i="4" s="1"/>
  <c r="G4529" i="4"/>
  <c r="E4529" i="4"/>
  <c r="F4529" i="4" s="1"/>
  <c r="G4528" i="4"/>
  <c r="E4528" i="4"/>
  <c r="F4528" i="4" s="1"/>
  <c r="G4527" i="4"/>
  <c r="E4527" i="4"/>
  <c r="F4527" i="4" s="1"/>
  <c r="G4526" i="4"/>
  <c r="F4526" i="4"/>
  <c r="E4526" i="4"/>
  <c r="G4525" i="4"/>
  <c r="E4525" i="4"/>
  <c r="F4525" i="4" s="1"/>
  <c r="G4524" i="4"/>
  <c r="E4524" i="4"/>
  <c r="F4524" i="4" s="1"/>
  <c r="G4523" i="4"/>
  <c r="E4523" i="4"/>
  <c r="F4523" i="4" s="1"/>
  <c r="G4522" i="4"/>
  <c r="E4522" i="4"/>
  <c r="F4522" i="4" s="1"/>
  <c r="G4521" i="4"/>
  <c r="E4521" i="4"/>
  <c r="F4521" i="4" s="1"/>
  <c r="G4520" i="4"/>
  <c r="E4520" i="4"/>
  <c r="F4520" i="4" s="1"/>
  <c r="G4519" i="4"/>
  <c r="E4519" i="4"/>
  <c r="F4519" i="4" s="1"/>
  <c r="G4518" i="4"/>
  <c r="E4518" i="4"/>
  <c r="F4518" i="4" s="1"/>
  <c r="G4517" i="4"/>
  <c r="F4517" i="4"/>
  <c r="E4517" i="4"/>
  <c r="G4516" i="4"/>
  <c r="E4516" i="4"/>
  <c r="F4516" i="4" s="1"/>
  <c r="G4515" i="4"/>
  <c r="E4515" i="4"/>
  <c r="F4515" i="4" s="1"/>
  <c r="G4514" i="4"/>
  <c r="E4514" i="4"/>
  <c r="F4514" i="4" s="1"/>
  <c r="G4513" i="4"/>
  <c r="F4513" i="4"/>
  <c r="E4513" i="4"/>
  <c r="G4512" i="4"/>
  <c r="E4512" i="4"/>
  <c r="F4512" i="4" s="1"/>
  <c r="G4511" i="4"/>
  <c r="E4511" i="4"/>
  <c r="F4511" i="4" s="1"/>
  <c r="G4510" i="4"/>
  <c r="E4510" i="4"/>
  <c r="F4510" i="4" s="1"/>
  <c r="G4509" i="4"/>
  <c r="F4509" i="4"/>
  <c r="E4509" i="4"/>
  <c r="G4508" i="4"/>
  <c r="E4508" i="4"/>
  <c r="F4508" i="4" s="1"/>
  <c r="G4507" i="4"/>
  <c r="E4507" i="4"/>
  <c r="F4507" i="4" s="1"/>
  <c r="G4506" i="4"/>
  <c r="E4506" i="4"/>
  <c r="F4506" i="4" s="1"/>
  <c r="G4505" i="4"/>
  <c r="F4505" i="4"/>
  <c r="E4505" i="4"/>
  <c r="G4504" i="4"/>
  <c r="E4504" i="4"/>
  <c r="F4504" i="4" s="1"/>
  <c r="G4503" i="4"/>
  <c r="E4503" i="4"/>
  <c r="F4503" i="4" s="1"/>
  <c r="G4502" i="4"/>
  <c r="E4502" i="4"/>
  <c r="F4502" i="4" s="1"/>
  <c r="G4501" i="4"/>
  <c r="E4501" i="4"/>
  <c r="F4501" i="4" s="1"/>
  <c r="G4500" i="4"/>
  <c r="E4500" i="4"/>
  <c r="F4500" i="4" s="1"/>
  <c r="G4499" i="4"/>
  <c r="E4499" i="4"/>
  <c r="F4499" i="4" s="1"/>
  <c r="G4498" i="4"/>
  <c r="E4498" i="4"/>
  <c r="F4498" i="4" s="1"/>
  <c r="G4497" i="4"/>
  <c r="E4497" i="4"/>
  <c r="F4497" i="4" s="1"/>
  <c r="G4496" i="4"/>
  <c r="E4496" i="4"/>
  <c r="F4496" i="4" s="1"/>
  <c r="G4495" i="4"/>
  <c r="E4495" i="4"/>
  <c r="F4495" i="4" s="1"/>
  <c r="G4494" i="4"/>
  <c r="F4494" i="4"/>
  <c r="E4494" i="4"/>
  <c r="G4493" i="4"/>
  <c r="E4493" i="4"/>
  <c r="F4493" i="4" s="1"/>
  <c r="G4492" i="4"/>
  <c r="E4492" i="4"/>
  <c r="F4492" i="4" s="1"/>
  <c r="G4491" i="4"/>
  <c r="E4491" i="4"/>
  <c r="F4491" i="4" s="1"/>
  <c r="G4490" i="4"/>
  <c r="E4490" i="4"/>
  <c r="F4490" i="4" s="1"/>
  <c r="G4489" i="4"/>
  <c r="E4489" i="4"/>
  <c r="F4489" i="4" s="1"/>
  <c r="G4488" i="4"/>
  <c r="E4488" i="4"/>
  <c r="F4488" i="4" s="1"/>
  <c r="G4487" i="4"/>
  <c r="F4487" i="4"/>
  <c r="E4487" i="4"/>
  <c r="G4486" i="4"/>
  <c r="E4486" i="4"/>
  <c r="F4486" i="4" s="1"/>
  <c r="G4485" i="4"/>
  <c r="E4485" i="4"/>
  <c r="F4485" i="4" s="1"/>
  <c r="G4484" i="4"/>
  <c r="E4484" i="4"/>
  <c r="F4484" i="4" s="1"/>
  <c r="G4483" i="4"/>
  <c r="E4483" i="4"/>
  <c r="F4483" i="4" s="1"/>
  <c r="G4482" i="4"/>
  <c r="F4482" i="4"/>
  <c r="E4482" i="4"/>
  <c r="G4481" i="4"/>
  <c r="F4481" i="4"/>
  <c r="E4481" i="4"/>
  <c r="G4480" i="4"/>
  <c r="E4480" i="4"/>
  <c r="F4480" i="4" s="1"/>
  <c r="G4479" i="4"/>
  <c r="E4479" i="4"/>
  <c r="F4479" i="4" s="1"/>
  <c r="G4478" i="4"/>
  <c r="F4478" i="4"/>
  <c r="E4478" i="4"/>
  <c r="G4477" i="4"/>
  <c r="E4477" i="4"/>
  <c r="F4477" i="4" s="1"/>
  <c r="G4476" i="4"/>
  <c r="E4476" i="4"/>
  <c r="F4476" i="4" s="1"/>
  <c r="G4475" i="4"/>
  <c r="E4475" i="4"/>
  <c r="F4475" i="4" s="1"/>
  <c r="G4474" i="4"/>
  <c r="E4474" i="4"/>
  <c r="F4474" i="4" s="1"/>
  <c r="G4473" i="4"/>
  <c r="E4473" i="4"/>
  <c r="F4473" i="4" s="1"/>
  <c r="G4472" i="4"/>
  <c r="E4472" i="4"/>
  <c r="F4472" i="4" s="1"/>
  <c r="G4471" i="4"/>
  <c r="E4471" i="4"/>
  <c r="F4471" i="4" s="1"/>
  <c r="G4470" i="4"/>
  <c r="E4470" i="4"/>
  <c r="F4470" i="4" s="1"/>
  <c r="G4469" i="4"/>
  <c r="F4469" i="4"/>
  <c r="E4469" i="4"/>
  <c r="G4468" i="4"/>
  <c r="E4468" i="4"/>
  <c r="F4468" i="4" s="1"/>
  <c r="G4467" i="4"/>
  <c r="E4467" i="4"/>
  <c r="F4467" i="4" s="1"/>
  <c r="G4466" i="4"/>
  <c r="E4466" i="4"/>
  <c r="F4466" i="4" s="1"/>
  <c r="G4465" i="4"/>
  <c r="E4465" i="4"/>
  <c r="F4465" i="4" s="1"/>
  <c r="G4464" i="4"/>
  <c r="E4464" i="4"/>
  <c r="F4464" i="4" s="1"/>
  <c r="G4463" i="4"/>
  <c r="E4463" i="4"/>
  <c r="F4463" i="4" s="1"/>
  <c r="G4462" i="4"/>
  <c r="E4462" i="4"/>
  <c r="F4462" i="4" s="1"/>
  <c r="G4461" i="4"/>
  <c r="F4461" i="4"/>
  <c r="E4461" i="4"/>
  <c r="G4460" i="4"/>
  <c r="E4460" i="4"/>
  <c r="F4460" i="4" s="1"/>
  <c r="G4459" i="4"/>
  <c r="E4459" i="4"/>
  <c r="F4459" i="4" s="1"/>
  <c r="G4458" i="4"/>
  <c r="E4458" i="4"/>
  <c r="F4458" i="4" s="1"/>
  <c r="G4457" i="4"/>
  <c r="F4457" i="4"/>
  <c r="E4457" i="4"/>
  <c r="G4456" i="4"/>
  <c r="E4456" i="4"/>
  <c r="F4456" i="4" s="1"/>
  <c r="G4455" i="4"/>
  <c r="E4455" i="4"/>
  <c r="F4455" i="4" s="1"/>
  <c r="G4454" i="4"/>
  <c r="E4454" i="4"/>
  <c r="F4454" i="4" s="1"/>
  <c r="G4453" i="4"/>
  <c r="F4453" i="4"/>
  <c r="E4453" i="4"/>
  <c r="G4452" i="4"/>
  <c r="E4452" i="4"/>
  <c r="F4452" i="4" s="1"/>
  <c r="G4451" i="4"/>
  <c r="E4451" i="4"/>
  <c r="F4451" i="4" s="1"/>
  <c r="G4450" i="4"/>
  <c r="F4450" i="4"/>
  <c r="E4450" i="4"/>
  <c r="G4449" i="4"/>
  <c r="E4449" i="4"/>
  <c r="F4449" i="4" s="1"/>
  <c r="G4448" i="4"/>
  <c r="F4448" i="4"/>
  <c r="E4448" i="4"/>
  <c r="G4447" i="4"/>
  <c r="E4447" i="4"/>
  <c r="F4447" i="4" s="1"/>
  <c r="G4446" i="4"/>
  <c r="E4446" i="4"/>
  <c r="F4446" i="4" s="1"/>
  <c r="G4445" i="4"/>
  <c r="E4445" i="4"/>
  <c r="F4445" i="4" s="1"/>
  <c r="G4444" i="4"/>
  <c r="F4444" i="4"/>
  <c r="E4444" i="4"/>
  <c r="G4443" i="4"/>
  <c r="E4443" i="4"/>
  <c r="F4443" i="4" s="1"/>
  <c r="G4442" i="4"/>
  <c r="E4442" i="4"/>
  <c r="F4442" i="4" s="1"/>
  <c r="G4441" i="4"/>
  <c r="F4441" i="4"/>
  <c r="E4441" i="4"/>
  <c r="G4440" i="4"/>
  <c r="E4440" i="4"/>
  <c r="F4440" i="4" s="1"/>
  <c r="G4439" i="4"/>
  <c r="E4439" i="4"/>
  <c r="F4439" i="4" s="1"/>
  <c r="G4438" i="4"/>
  <c r="E4438" i="4"/>
  <c r="F4438" i="4" s="1"/>
  <c r="G4437" i="4"/>
  <c r="E4437" i="4"/>
  <c r="F4437" i="4" s="1"/>
  <c r="G4436" i="4"/>
  <c r="E4436" i="4"/>
  <c r="F4436" i="4" s="1"/>
  <c r="G4435" i="4"/>
  <c r="E4435" i="4"/>
  <c r="F4435" i="4" s="1"/>
  <c r="G4434" i="4"/>
  <c r="E4434" i="4"/>
  <c r="F4434" i="4" s="1"/>
  <c r="G4433" i="4"/>
  <c r="F4433" i="4"/>
  <c r="E4433" i="4"/>
  <c r="G4432" i="4"/>
  <c r="E4432" i="4"/>
  <c r="F4432" i="4" s="1"/>
  <c r="G4431" i="4"/>
  <c r="E4431" i="4"/>
  <c r="F4431" i="4" s="1"/>
  <c r="G4430" i="4"/>
  <c r="F4430" i="4"/>
  <c r="E4430" i="4"/>
  <c r="G4429" i="4"/>
  <c r="E4429" i="4"/>
  <c r="F4429" i="4" s="1"/>
  <c r="G4428" i="4"/>
  <c r="F4428" i="4"/>
  <c r="E4428" i="4"/>
  <c r="G4427" i="4"/>
  <c r="E4427" i="4"/>
  <c r="F4427" i="4" s="1"/>
  <c r="G4426" i="4"/>
  <c r="E4426" i="4"/>
  <c r="F4426" i="4" s="1"/>
  <c r="G4425" i="4"/>
  <c r="F4425" i="4"/>
  <c r="E4425" i="4"/>
  <c r="G4424" i="4"/>
  <c r="E4424" i="4"/>
  <c r="F4424" i="4" s="1"/>
  <c r="G4423" i="4"/>
  <c r="E4423" i="4"/>
  <c r="F4423" i="4" s="1"/>
  <c r="G4422" i="4"/>
  <c r="E4422" i="4"/>
  <c r="F4422" i="4" s="1"/>
  <c r="G4421" i="4"/>
  <c r="F4421" i="4"/>
  <c r="E4421" i="4"/>
  <c r="G4420" i="4"/>
  <c r="E4420" i="4"/>
  <c r="F4420" i="4" s="1"/>
  <c r="G4419" i="4"/>
  <c r="E4419" i="4"/>
  <c r="F4419" i="4" s="1"/>
  <c r="G4418" i="4"/>
  <c r="E4418" i="4"/>
  <c r="F4418" i="4" s="1"/>
  <c r="G4417" i="4"/>
  <c r="F4417" i="4"/>
  <c r="E4417" i="4"/>
  <c r="G4416" i="4"/>
  <c r="F4416" i="4"/>
  <c r="E4416" i="4"/>
  <c r="G4415" i="4"/>
  <c r="E4415" i="4"/>
  <c r="F4415" i="4" s="1"/>
  <c r="G4414" i="4"/>
  <c r="E4414" i="4"/>
  <c r="F4414" i="4" s="1"/>
  <c r="G4413" i="4"/>
  <c r="F4413" i="4"/>
  <c r="E4413" i="4"/>
  <c r="G4412" i="4"/>
  <c r="E4412" i="4"/>
  <c r="F4412" i="4" s="1"/>
  <c r="G4411" i="4"/>
  <c r="E4411" i="4"/>
  <c r="F4411" i="4" s="1"/>
  <c r="G4410" i="4"/>
  <c r="E4410" i="4"/>
  <c r="F4410" i="4" s="1"/>
  <c r="G4409" i="4"/>
  <c r="F4409" i="4"/>
  <c r="E4409" i="4"/>
  <c r="G4408" i="4"/>
  <c r="E4408" i="4"/>
  <c r="F4408" i="4" s="1"/>
  <c r="G4407" i="4"/>
  <c r="E4407" i="4"/>
  <c r="F4407" i="4" s="1"/>
  <c r="G4406" i="4"/>
  <c r="E4406" i="4"/>
  <c r="F4406" i="4" s="1"/>
  <c r="G4405" i="4"/>
  <c r="F4405" i="4"/>
  <c r="E4405" i="4"/>
  <c r="G4404" i="4"/>
  <c r="F4404" i="4"/>
  <c r="E4404" i="4"/>
  <c r="G4403" i="4"/>
  <c r="E4403" i="4"/>
  <c r="F4403" i="4" s="1"/>
  <c r="G4402" i="4"/>
  <c r="F4402" i="4"/>
  <c r="E4402" i="4"/>
  <c r="G4401" i="4"/>
  <c r="E4401" i="4"/>
  <c r="F4401" i="4" s="1"/>
  <c r="G4400" i="4"/>
  <c r="E4400" i="4"/>
  <c r="F4400" i="4" s="1"/>
  <c r="G4399" i="4"/>
  <c r="E4399" i="4"/>
  <c r="F4399" i="4" s="1"/>
  <c r="G4398" i="4"/>
  <c r="E4398" i="4"/>
  <c r="F4398" i="4" s="1"/>
  <c r="G4397" i="4"/>
  <c r="F4397" i="4"/>
  <c r="E4397" i="4"/>
  <c r="G4396" i="4"/>
  <c r="F4396" i="4"/>
  <c r="E4396" i="4"/>
  <c r="G4395" i="4"/>
  <c r="E4395" i="4"/>
  <c r="F4395" i="4" s="1"/>
  <c r="G4394" i="4"/>
  <c r="E4394" i="4"/>
  <c r="F4394" i="4" s="1"/>
  <c r="G4393" i="4"/>
  <c r="F4393" i="4"/>
  <c r="E4393" i="4"/>
  <c r="G4392" i="4"/>
  <c r="E4392" i="4"/>
  <c r="F4392" i="4" s="1"/>
  <c r="G4391" i="4"/>
  <c r="E4391" i="4"/>
  <c r="F4391" i="4" s="1"/>
  <c r="G4390" i="4"/>
  <c r="E4390" i="4"/>
  <c r="F4390" i="4" s="1"/>
  <c r="G4389" i="4"/>
  <c r="F4389" i="4"/>
  <c r="E4389" i="4"/>
  <c r="G4388" i="4"/>
  <c r="F4388" i="4"/>
  <c r="E4388" i="4"/>
  <c r="G4387" i="4"/>
  <c r="E4387" i="4"/>
  <c r="F4387" i="4" s="1"/>
  <c r="G4386" i="4"/>
  <c r="E4386" i="4"/>
  <c r="F4386" i="4" s="1"/>
  <c r="G4385" i="4"/>
  <c r="F4385" i="4"/>
  <c r="E4385" i="4"/>
  <c r="G4384" i="4"/>
  <c r="E4384" i="4"/>
  <c r="F4384" i="4" s="1"/>
  <c r="G4383" i="4"/>
  <c r="E4383" i="4"/>
  <c r="F4383" i="4" s="1"/>
  <c r="G4382" i="4"/>
  <c r="F4382" i="4"/>
  <c r="E4382" i="4"/>
  <c r="G4381" i="4"/>
  <c r="E4381" i="4"/>
  <c r="F4381" i="4" s="1"/>
  <c r="G4380" i="4"/>
  <c r="F4380" i="4"/>
  <c r="E4380" i="4"/>
  <c r="G4379" i="4"/>
  <c r="E4379" i="4"/>
  <c r="F4379" i="4" s="1"/>
  <c r="G4378" i="4"/>
  <c r="E4378" i="4"/>
  <c r="F4378" i="4" s="1"/>
  <c r="G4377" i="4"/>
  <c r="E4377" i="4"/>
  <c r="F4377" i="4" s="1"/>
  <c r="G4376" i="4"/>
  <c r="E4376" i="4"/>
  <c r="F4376" i="4" s="1"/>
  <c r="G4375" i="4"/>
  <c r="E4375" i="4"/>
  <c r="F4375" i="4" s="1"/>
  <c r="G4374" i="4"/>
  <c r="F4374" i="4"/>
  <c r="E4374" i="4"/>
  <c r="G4373" i="4"/>
  <c r="E4373" i="4"/>
  <c r="F4373" i="4" s="1"/>
  <c r="G4372" i="4"/>
  <c r="F4372" i="4"/>
  <c r="E4372" i="4"/>
  <c r="G4371" i="4"/>
  <c r="E4371" i="4"/>
  <c r="F4371" i="4" s="1"/>
  <c r="G4370" i="4"/>
  <c r="E4370" i="4"/>
  <c r="F4370" i="4" s="1"/>
  <c r="G4369" i="4"/>
  <c r="E4369" i="4"/>
  <c r="F4369" i="4" s="1"/>
  <c r="G4368" i="4"/>
  <c r="E4368" i="4"/>
  <c r="F4368" i="4" s="1"/>
  <c r="G4367" i="4"/>
  <c r="E4367" i="4"/>
  <c r="F4367" i="4" s="1"/>
  <c r="G4366" i="4"/>
  <c r="E4366" i="4"/>
  <c r="F4366" i="4" s="1"/>
  <c r="G4365" i="4"/>
  <c r="F4365" i="4"/>
  <c r="E4365" i="4"/>
  <c r="G4364" i="4"/>
  <c r="F4364" i="4"/>
  <c r="E4364" i="4"/>
  <c r="G4363" i="4"/>
  <c r="E4363" i="4"/>
  <c r="F4363" i="4" s="1"/>
  <c r="G4362" i="4"/>
  <c r="E4362" i="4"/>
  <c r="F4362" i="4" s="1"/>
  <c r="G4361" i="4"/>
  <c r="E4361" i="4"/>
  <c r="F4361" i="4" s="1"/>
  <c r="G4360" i="4"/>
  <c r="F4360" i="4"/>
  <c r="E4360" i="4"/>
  <c r="G4359" i="4"/>
  <c r="E4359" i="4"/>
  <c r="F4359" i="4" s="1"/>
  <c r="G4358" i="4"/>
  <c r="E4358" i="4"/>
  <c r="F4358" i="4" s="1"/>
  <c r="G4357" i="4"/>
  <c r="E4357" i="4"/>
  <c r="F4357" i="4" s="1"/>
  <c r="G4356" i="4"/>
  <c r="F4356" i="4"/>
  <c r="E4356" i="4"/>
  <c r="G4355" i="4"/>
  <c r="E4355" i="4"/>
  <c r="F4355" i="4" s="1"/>
  <c r="G4354" i="4"/>
  <c r="E4354" i="4"/>
  <c r="F4354" i="4" s="1"/>
  <c r="G4353" i="4"/>
  <c r="F4353" i="4"/>
  <c r="E4353" i="4"/>
  <c r="G4352" i="4"/>
  <c r="E4352" i="4"/>
  <c r="F4352" i="4" s="1"/>
  <c r="G4351" i="4"/>
  <c r="E4351" i="4"/>
  <c r="F4351" i="4" s="1"/>
  <c r="G4350" i="4"/>
  <c r="E4350" i="4"/>
  <c r="F4350" i="4" s="1"/>
  <c r="G4349" i="4"/>
  <c r="E4349" i="4"/>
  <c r="F4349" i="4" s="1"/>
  <c r="G4348" i="4"/>
  <c r="E4348" i="4"/>
  <c r="F4348" i="4" s="1"/>
  <c r="G4347" i="4"/>
  <c r="E4347" i="4"/>
  <c r="F4347" i="4" s="1"/>
  <c r="G4346" i="4"/>
  <c r="F4346" i="4"/>
  <c r="E4346" i="4"/>
  <c r="G4345" i="4"/>
  <c r="E4345" i="4"/>
  <c r="F4345" i="4" s="1"/>
  <c r="G4344" i="4"/>
  <c r="F4344" i="4"/>
  <c r="E4344" i="4"/>
  <c r="G4343" i="4"/>
  <c r="E4343" i="4"/>
  <c r="F4343" i="4" s="1"/>
  <c r="G4342" i="4"/>
  <c r="E4342" i="4"/>
  <c r="F4342" i="4" s="1"/>
  <c r="G4341" i="4"/>
  <c r="E4341" i="4"/>
  <c r="F4341" i="4" s="1"/>
  <c r="G4340" i="4"/>
  <c r="E4340" i="4"/>
  <c r="F4340" i="4" s="1"/>
  <c r="G4339" i="4"/>
  <c r="E4339" i="4"/>
  <c r="F4339" i="4" s="1"/>
  <c r="G4338" i="4"/>
  <c r="E4338" i="4"/>
  <c r="F4338" i="4" s="1"/>
  <c r="G4337" i="4"/>
  <c r="F4337" i="4"/>
  <c r="E4337" i="4"/>
  <c r="G4336" i="4"/>
  <c r="F4336" i="4"/>
  <c r="E4336" i="4"/>
  <c r="G4335" i="4"/>
  <c r="E4335" i="4"/>
  <c r="F4335" i="4" s="1"/>
  <c r="G4334" i="4"/>
  <c r="E4334" i="4"/>
  <c r="F4334" i="4" s="1"/>
  <c r="G4333" i="4"/>
  <c r="F4333" i="4"/>
  <c r="E4333" i="4"/>
  <c r="G4332" i="4"/>
  <c r="E4332" i="4"/>
  <c r="F4332" i="4" s="1"/>
  <c r="G4331" i="4"/>
  <c r="E4331" i="4"/>
  <c r="F4331" i="4" s="1"/>
  <c r="G4330" i="4"/>
  <c r="F4330" i="4"/>
  <c r="E4330" i="4"/>
  <c r="G4329" i="4"/>
  <c r="E4329" i="4"/>
  <c r="F4329" i="4" s="1"/>
  <c r="G4328" i="4"/>
  <c r="F4328" i="4"/>
  <c r="E4328" i="4"/>
  <c r="G4327" i="4"/>
  <c r="E4327" i="4"/>
  <c r="F4327" i="4" s="1"/>
  <c r="G4326" i="4"/>
  <c r="E4326" i="4"/>
  <c r="F4326" i="4" s="1"/>
  <c r="G4325" i="4"/>
  <c r="F4325" i="4"/>
  <c r="E4325" i="4"/>
  <c r="G4324" i="4"/>
  <c r="F4324" i="4"/>
  <c r="E4324" i="4"/>
  <c r="G4323" i="4"/>
  <c r="E4323" i="4"/>
  <c r="F4323" i="4" s="1"/>
  <c r="G4322" i="4"/>
  <c r="E4322" i="4"/>
  <c r="F4322" i="4" s="1"/>
  <c r="G4321" i="4"/>
  <c r="F4321" i="4"/>
  <c r="E4321" i="4"/>
  <c r="G4320" i="4"/>
  <c r="E4320" i="4"/>
  <c r="F4320" i="4" s="1"/>
  <c r="G4319" i="4"/>
  <c r="E4319" i="4"/>
  <c r="F4319" i="4" s="1"/>
  <c r="G4318" i="4"/>
  <c r="F4318" i="4"/>
  <c r="E4318" i="4"/>
  <c r="G4317" i="4"/>
  <c r="F4317" i="4"/>
  <c r="E4317" i="4"/>
  <c r="G4316" i="4"/>
  <c r="F4316" i="4"/>
  <c r="E4316" i="4"/>
  <c r="G4315" i="4"/>
  <c r="E4315" i="4"/>
  <c r="F4315" i="4" s="1"/>
  <c r="G4314" i="4"/>
  <c r="E4314" i="4"/>
  <c r="F4314" i="4" s="1"/>
  <c r="G4313" i="4"/>
  <c r="E4313" i="4"/>
  <c r="F4313" i="4" s="1"/>
  <c r="G4312" i="4"/>
  <c r="F4312" i="4"/>
  <c r="E4312" i="4"/>
  <c r="G4311" i="4"/>
  <c r="E4311" i="4"/>
  <c r="F4311" i="4" s="1"/>
  <c r="G4310" i="4"/>
  <c r="E4310" i="4"/>
  <c r="F4310" i="4" s="1"/>
  <c r="G4309" i="4"/>
  <c r="E4309" i="4"/>
  <c r="F4309" i="4" s="1"/>
  <c r="G4308" i="4"/>
  <c r="E4308" i="4"/>
  <c r="F4308" i="4" s="1"/>
  <c r="G4307" i="4"/>
  <c r="E4307" i="4"/>
  <c r="F4307" i="4" s="1"/>
  <c r="G4306" i="4"/>
  <c r="E4306" i="4"/>
  <c r="F4306" i="4" s="1"/>
  <c r="G4305" i="4"/>
  <c r="F4305" i="4"/>
  <c r="E4305" i="4"/>
  <c r="G4304" i="4"/>
  <c r="E4304" i="4"/>
  <c r="F4304" i="4" s="1"/>
  <c r="G4303" i="4"/>
  <c r="E4303" i="4"/>
  <c r="F4303" i="4" s="1"/>
  <c r="G4302" i="4"/>
  <c r="E4302" i="4"/>
  <c r="F4302" i="4" s="1"/>
  <c r="G4301" i="4"/>
  <c r="F4301" i="4"/>
  <c r="E4301" i="4"/>
  <c r="G4300" i="4"/>
  <c r="E4300" i="4"/>
  <c r="F4300" i="4" s="1"/>
  <c r="G4299" i="4"/>
  <c r="E4299" i="4"/>
  <c r="F4299" i="4" s="1"/>
  <c r="G4298" i="4"/>
  <c r="F4298" i="4"/>
  <c r="E4298" i="4"/>
  <c r="G4297" i="4"/>
  <c r="E4297" i="4"/>
  <c r="F4297" i="4" s="1"/>
  <c r="G4296" i="4"/>
  <c r="F4296" i="4"/>
  <c r="E4296" i="4"/>
  <c r="G4295" i="4"/>
  <c r="E4295" i="4"/>
  <c r="F4295" i="4" s="1"/>
  <c r="G4294" i="4"/>
  <c r="E4294" i="4"/>
  <c r="F4294" i="4" s="1"/>
  <c r="G4293" i="4"/>
  <c r="E4293" i="4"/>
  <c r="F4293" i="4" s="1"/>
  <c r="G4292" i="4"/>
  <c r="E4292" i="4"/>
  <c r="F4292" i="4" s="1"/>
  <c r="G4291" i="4"/>
  <c r="E4291" i="4"/>
  <c r="F4291" i="4" s="1"/>
  <c r="G4290" i="4"/>
  <c r="E4290" i="4"/>
  <c r="F4290" i="4" s="1"/>
  <c r="G4289" i="4"/>
  <c r="F4289" i="4"/>
  <c r="E4289" i="4"/>
  <c r="G4288" i="4"/>
  <c r="F4288" i="4"/>
  <c r="E4288" i="4"/>
  <c r="G4287" i="4"/>
  <c r="E4287" i="4"/>
  <c r="F4287" i="4" s="1"/>
  <c r="G4286" i="4"/>
  <c r="E4286" i="4"/>
  <c r="F4286" i="4" s="1"/>
  <c r="G4285" i="4"/>
  <c r="F4285" i="4"/>
  <c r="E4285" i="4"/>
  <c r="G4284" i="4"/>
  <c r="E4284" i="4"/>
  <c r="F4284" i="4" s="1"/>
  <c r="G4283" i="4"/>
  <c r="E4283" i="4"/>
  <c r="F4283" i="4" s="1"/>
  <c r="G4282" i="4"/>
  <c r="F4282" i="4"/>
  <c r="E4282" i="4"/>
  <c r="G4281" i="4"/>
  <c r="E4281" i="4"/>
  <c r="F4281" i="4" s="1"/>
  <c r="G4280" i="4"/>
  <c r="F4280" i="4"/>
  <c r="E4280" i="4"/>
  <c r="G4279" i="4"/>
  <c r="E4279" i="4"/>
  <c r="F4279" i="4" s="1"/>
  <c r="G4278" i="4"/>
  <c r="E4278" i="4"/>
  <c r="F4278" i="4" s="1"/>
  <c r="G4277" i="4"/>
  <c r="E4277" i="4"/>
  <c r="F4277" i="4" s="1"/>
  <c r="G4276" i="4"/>
  <c r="F4276" i="4"/>
  <c r="E4276" i="4"/>
  <c r="G4275" i="4"/>
  <c r="E4275" i="4"/>
  <c r="F4275" i="4" s="1"/>
  <c r="G4274" i="4"/>
  <c r="E4274" i="4"/>
  <c r="F4274" i="4" s="1"/>
  <c r="G4273" i="4"/>
  <c r="F4273" i="4"/>
  <c r="E4273" i="4"/>
  <c r="G4272" i="4"/>
  <c r="E4272" i="4"/>
  <c r="F4272" i="4" s="1"/>
  <c r="G4271" i="4"/>
  <c r="E4271" i="4"/>
  <c r="F4271" i="4" s="1"/>
  <c r="G4270" i="4"/>
  <c r="F4270" i="4"/>
  <c r="E4270" i="4"/>
  <c r="G4269" i="4"/>
  <c r="F4269" i="4"/>
  <c r="E4269" i="4"/>
  <c r="G4268" i="4"/>
  <c r="F4268" i="4"/>
  <c r="E4268" i="4"/>
  <c r="G4267" i="4"/>
  <c r="E4267" i="4"/>
  <c r="F4267" i="4" s="1"/>
  <c r="G4266" i="4"/>
  <c r="E4266" i="4"/>
  <c r="F4266" i="4" s="1"/>
  <c r="G4265" i="4"/>
  <c r="E4265" i="4"/>
  <c r="F4265" i="4" s="1"/>
  <c r="G4264" i="4"/>
  <c r="F4264" i="4"/>
  <c r="E4264" i="4"/>
  <c r="G4263" i="4"/>
  <c r="E4263" i="4"/>
  <c r="F4263" i="4" s="1"/>
  <c r="G4262" i="4"/>
  <c r="E4262" i="4"/>
  <c r="F4262" i="4" s="1"/>
  <c r="G4261" i="4"/>
  <c r="E4261" i="4"/>
  <c r="F4261" i="4" s="1"/>
  <c r="G4260" i="4"/>
  <c r="E4260" i="4"/>
  <c r="F4260" i="4" s="1"/>
  <c r="G4259" i="4"/>
  <c r="E4259" i="4"/>
  <c r="F4259" i="4" s="1"/>
  <c r="G4258" i="4"/>
  <c r="E4258" i="4"/>
  <c r="F4258" i="4" s="1"/>
  <c r="G4257" i="4"/>
  <c r="F4257" i="4"/>
  <c r="E4257" i="4"/>
  <c r="G4256" i="4"/>
  <c r="E4256" i="4"/>
  <c r="F4256" i="4" s="1"/>
  <c r="G4255" i="4"/>
  <c r="E4255" i="4"/>
  <c r="F4255" i="4" s="1"/>
  <c r="G4254" i="4"/>
  <c r="E4254" i="4"/>
  <c r="F4254" i="4" s="1"/>
  <c r="G4253" i="4"/>
  <c r="F4253" i="4"/>
  <c r="E4253" i="4"/>
  <c r="G4252" i="4"/>
  <c r="E4252" i="4"/>
  <c r="F4252" i="4" s="1"/>
  <c r="G4251" i="4"/>
  <c r="E4251" i="4"/>
  <c r="F4251" i="4" s="1"/>
  <c r="G4250" i="4"/>
  <c r="F4250" i="4"/>
  <c r="E4250" i="4"/>
  <c r="G4249" i="4"/>
  <c r="E4249" i="4"/>
  <c r="F4249" i="4" s="1"/>
  <c r="G4248" i="4"/>
  <c r="F4248" i="4"/>
  <c r="E4248" i="4"/>
  <c r="G4247" i="4"/>
  <c r="E4247" i="4"/>
  <c r="F4247" i="4" s="1"/>
  <c r="G4246" i="4"/>
  <c r="E4246" i="4"/>
  <c r="F4246" i="4" s="1"/>
  <c r="G4245" i="4"/>
  <c r="E4245" i="4"/>
  <c r="F4245" i="4" s="1"/>
  <c r="G4244" i="4"/>
  <c r="E4244" i="4"/>
  <c r="F4244" i="4" s="1"/>
  <c r="G4243" i="4"/>
  <c r="E4243" i="4"/>
  <c r="F4243" i="4" s="1"/>
  <c r="G4242" i="4"/>
  <c r="E4242" i="4"/>
  <c r="F4242" i="4" s="1"/>
  <c r="G4241" i="4"/>
  <c r="F4241" i="4"/>
  <c r="E4241" i="4"/>
  <c r="G4240" i="4"/>
  <c r="F4240" i="4"/>
  <c r="E4240" i="4"/>
  <c r="G4239" i="4"/>
  <c r="E4239" i="4"/>
  <c r="F4239" i="4" s="1"/>
  <c r="G4238" i="4"/>
  <c r="E4238" i="4"/>
  <c r="F4238" i="4" s="1"/>
  <c r="G4237" i="4"/>
  <c r="E4237" i="4"/>
  <c r="F4237" i="4" s="1"/>
  <c r="G4236" i="4"/>
  <c r="E4236" i="4"/>
  <c r="F4236" i="4" s="1"/>
  <c r="G4235" i="4"/>
  <c r="E4235" i="4"/>
  <c r="F4235" i="4" s="1"/>
  <c r="G4234" i="4"/>
  <c r="F4234" i="4"/>
  <c r="E4234" i="4"/>
  <c r="G4233" i="4"/>
  <c r="E4233" i="4"/>
  <c r="F4233" i="4" s="1"/>
  <c r="G4232" i="4"/>
  <c r="F4232" i="4"/>
  <c r="E4232" i="4"/>
  <c r="G4231" i="4"/>
  <c r="E4231" i="4"/>
  <c r="F4231" i="4" s="1"/>
  <c r="G4230" i="4"/>
  <c r="E4230" i="4"/>
  <c r="F4230" i="4" s="1"/>
  <c r="G4229" i="4"/>
  <c r="F4229" i="4"/>
  <c r="E4229" i="4"/>
  <c r="G4228" i="4"/>
  <c r="F4228" i="4"/>
  <c r="E4228" i="4"/>
  <c r="G4227" i="4"/>
  <c r="E4227" i="4"/>
  <c r="F4227" i="4" s="1"/>
  <c r="G4226" i="4"/>
  <c r="E4226" i="4"/>
  <c r="F4226" i="4" s="1"/>
  <c r="G4225" i="4"/>
  <c r="F4225" i="4"/>
  <c r="E4225" i="4"/>
  <c r="G4224" i="4"/>
  <c r="E4224" i="4"/>
  <c r="F4224" i="4" s="1"/>
  <c r="G4223" i="4"/>
  <c r="E4223" i="4"/>
  <c r="F4223" i="4" s="1"/>
  <c r="G4222" i="4"/>
  <c r="F4222" i="4"/>
  <c r="E4222" i="4"/>
  <c r="G4221" i="4"/>
  <c r="E4221" i="4"/>
  <c r="F4221" i="4" s="1"/>
  <c r="G4220" i="4"/>
  <c r="F4220" i="4"/>
  <c r="E4220" i="4"/>
  <c r="G4219" i="4"/>
  <c r="E4219" i="4"/>
  <c r="F4219" i="4" s="1"/>
  <c r="G4218" i="4"/>
  <c r="E4218" i="4"/>
  <c r="F4218" i="4" s="1"/>
  <c r="G4217" i="4"/>
  <c r="E4217" i="4"/>
  <c r="F4217" i="4" s="1"/>
  <c r="G4216" i="4"/>
  <c r="F4216" i="4"/>
  <c r="E4216" i="4"/>
  <c r="G4215" i="4"/>
  <c r="E4215" i="4"/>
  <c r="F4215" i="4" s="1"/>
  <c r="G4214" i="4"/>
  <c r="F4214" i="4"/>
  <c r="E4214" i="4"/>
  <c r="G4213" i="4"/>
  <c r="F4213" i="4"/>
  <c r="E4213" i="4"/>
  <c r="G4212" i="4"/>
  <c r="E4212" i="4"/>
  <c r="F4212" i="4" s="1"/>
  <c r="G4211" i="4"/>
  <c r="E4211" i="4"/>
  <c r="F4211" i="4" s="1"/>
  <c r="G4210" i="4"/>
  <c r="E4210" i="4"/>
  <c r="F4210" i="4" s="1"/>
  <c r="G4209" i="4"/>
  <c r="F4209" i="4"/>
  <c r="E4209" i="4"/>
  <c r="G4208" i="4"/>
  <c r="E4208" i="4"/>
  <c r="F4208" i="4" s="1"/>
  <c r="G4207" i="4"/>
  <c r="E4207" i="4"/>
  <c r="F4207" i="4" s="1"/>
  <c r="G4206" i="4"/>
  <c r="E4206" i="4"/>
  <c r="F4206" i="4" s="1"/>
  <c r="G4205" i="4"/>
  <c r="E4205" i="4"/>
  <c r="F4205" i="4" s="1"/>
  <c r="G4204" i="4"/>
  <c r="E4204" i="4"/>
  <c r="F4204" i="4" s="1"/>
  <c r="G4203" i="4"/>
  <c r="E4203" i="4"/>
  <c r="F4203" i="4" s="1"/>
  <c r="G4202" i="4"/>
  <c r="E4202" i="4"/>
  <c r="F4202" i="4" s="1"/>
  <c r="G4201" i="4"/>
  <c r="F4201" i="4"/>
  <c r="E4201" i="4"/>
  <c r="G4200" i="4"/>
  <c r="F4200" i="4"/>
  <c r="E4200" i="4"/>
  <c r="G4199" i="4"/>
  <c r="E4199" i="4"/>
  <c r="F4199" i="4" s="1"/>
  <c r="G4198" i="4"/>
  <c r="F4198" i="4"/>
  <c r="E4198" i="4"/>
  <c r="G4197" i="4"/>
  <c r="E4197" i="4"/>
  <c r="F4197" i="4" s="1"/>
  <c r="G4196" i="4"/>
  <c r="E4196" i="4"/>
  <c r="F4196" i="4" s="1"/>
  <c r="G4195" i="4"/>
  <c r="E4195" i="4"/>
  <c r="F4195" i="4" s="1"/>
  <c r="G4194" i="4"/>
  <c r="E4194" i="4"/>
  <c r="F4194" i="4" s="1"/>
  <c r="G4193" i="4"/>
  <c r="F4193" i="4"/>
  <c r="E4193" i="4"/>
  <c r="G4192" i="4"/>
  <c r="E4192" i="4"/>
  <c r="F4192" i="4" s="1"/>
  <c r="G4191" i="4"/>
  <c r="E4191" i="4"/>
  <c r="F4191" i="4" s="1"/>
  <c r="G4190" i="4"/>
  <c r="E4190" i="4"/>
  <c r="F4190" i="4" s="1"/>
  <c r="G4189" i="4"/>
  <c r="F4189" i="4"/>
  <c r="E4189" i="4"/>
  <c r="G4188" i="4"/>
  <c r="E4188" i="4"/>
  <c r="F4188" i="4" s="1"/>
  <c r="G4187" i="4"/>
  <c r="E4187" i="4"/>
  <c r="F4187" i="4" s="1"/>
  <c r="G4186" i="4"/>
  <c r="E4186" i="4"/>
  <c r="F4186" i="4" s="1"/>
  <c r="G4185" i="4"/>
  <c r="F4185" i="4"/>
  <c r="E4185" i="4"/>
  <c r="G4184" i="4"/>
  <c r="F4184" i="4"/>
  <c r="E4184" i="4"/>
  <c r="G4183" i="4"/>
  <c r="E4183" i="4"/>
  <c r="F4183" i="4" s="1"/>
  <c r="G4182" i="4"/>
  <c r="E4182" i="4"/>
  <c r="F4182" i="4" s="1"/>
  <c r="G4181" i="4"/>
  <c r="E4181" i="4"/>
  <c r="F4181" i="4" s="1"/>
  <c r="G4180" i="4"/>
  <c r="E4180" i="4"/>
  <c r="F4180" i="4" s="1"/>
  <c r="G4179" i="4"/>
  <c r="E4179" i="4"/>
  <c r="F4179" i="4" s="1"/>
  <c r="G4178" i="4"/>
  <c r="E4178" i="4"/>
  <c r="F4178" i="4" s="1"/>
  <c r="G4177" i="4"/>
  <c r="F4177" i="4"/>
  <c r="E4177" i="4"/>
  <c r="G4176" i="4"/>
  <c r="F4176" i="4"/>
  <c r="E4176" i="4"/>
  <c r="G4175" i="4"/>
  <c r="E4175" i="4"/>
  <c r="F4175" i="4" s="1"/>
  <c r="G4174" i="4"/>
  <c r="E4174" i="4"/>
  <c r="F4174" i="4" s="1"/>
  <c r="G4173" i="4"/>
  <c r="E4173" i="4"/>
  <c r="F4173" i="4" s="1"/>
  <c r="G4172" i="4"/>
  <c r="E4172" i="4"/>
  <c r="F4172" i="4" s="1"/>
  <c r="G4171" i="4"/>
  <c r="E4171" i="4"/>
  <c r="F4171" i="4" s="1"/>
  <c r="G4170" i="4"/>
  <c r="F4170" i="4"/>
  <c r="E4170" i="4"/>
  <c r="G4169" i="4"/>
  <c r="E4169" i="4"/>
  <c r="F4169" i="4" s="1"/>
  <c r="G4168" i="4"/>
  <c r="F4168" i="4"/>
  <c r="E4168" i="4"/>
  <c r="G4167" i="4"/>
  <c r="E4167" i="4"/>
  <c r="F4167" i="4" s="1"/>
  <c r="G4166" i="4"/>
  <c r="E4166" i="4"/>
  <c r="F4166" i="4" s="1"/>
  <c r="G4165" i="4"/>
  <c r="F4165" i="4"/>
  <c r="E4165" i="4"/>
  <c r="G4164" i="4"/>
  <c r="F4164" i="4"/>
  <c r="E4164" i="4"/>
  <c r="G4163" i="4"/>
  <c r="E4163" i="4"/>
  <c r="F4163" i="4" s="1"/>
  <c r="G4162" i="4"/>
  <c r="E4162" i="4"/>
  <c r="F4162" i="4" s="1"/>
  <c r="G4161" i="4"/>
  <c r="F4161" i="4"/>
  <c r="E4161" i="4"/>
  <c r="G4160" i="4"/>
  <c r="E4160" i="4"/>
  <c r="F4160" i="4" s="1"/>
  <c r="G4159" i="4"/>
  <c r="E4159" i="4"/>
  <c r="F4159" i="4" s="1"/>
  <c r="G4158" i="4"/>
  <c r="E4158" i="4"/>
  <c r="F4158" i="4" s="1"/>
  <c r="G4157" i="4"/>
  <c r="F4157" i="4"/>
  <c r="E4157" i="4"/>
  <c r="G4156" i="4"/>
  <c r="E4156" i="4"/>
  <c r="F4156" i="4" s="1"/>
  <c r="G4155" i="4"/>
  <c r="E4155" i="4"/>
  <c r="F4155" i="4" s="1"/>
  <c r="G4154" i="4"/>
  <c r="E4154" i="4"/>
  <c r="F4154" i="4" s="1"/>
  <c r="G4153" i="4"/>
  <c r="F4153" i="4"/>
  <c r="E4153" i="4"/>
  <c r="G4152" i="4"/>
  <c r="F4152" i="4"/>
  <c r="E4152" i="4"/>
  <c r="G4151" i="4"/>
  <c r="E4151" i="4"/>
  <c r="F4151" i="4" s="1"/>
  <c r="G4150" i="4"/>
  <c r="E4150" i="4"/>
  <c r="F4150" i="4" s="1"/>
  <c r="G4149" i="4"/>
  <c r="E4149" i="4"/>
  <c r="F4149" i="4" s="1"/>
  <c r="G4148" i="4"/>
  <c r="E4148" i="4"/>
  <c r="F4148" i="4" s="1"/>
  <c r="G4147" i="4"/>
  <c r="E4147" i="4"/>
  <c r="F4147" i="4" s="1"/>
  <c r="G4146" i="4"/>
  <c r="E4146" i="4"/>
  <c r="F4146" i="4" s="1"/>
  <c r="G4145" i="4"/>
  <c r="F4145" i="4"/>
  <c r="E4145" i="4"/>
  <c r="G4144" i="4"/>
  <c r="E4144" i="4"/>
  <c r="F4144" i="4" s="1"/>
  <c r="G4143" i="4"/>
  <c r="E4143" i="4"/>
  <c r="F4143" i="4" s="1"/>
  <c r="G4142" i="4"/>
  <c r="E4142" i="4"/>
  <c r="F4142" i="4" s="1"/>
  <c r="G4141" i="4"/>
  <c r="E4141" i="4"/>
  <c r="F4141" i="4" s="1"/>
  <c r="G4140" i="4"/>
  <c r="E4140" i="4"/>
  <c r="F4140" i="4" s="1"/>
  <c r="G4139" i="4"/>
  <c r="E4139" i="4"/>
  <c r="F4139" i="4" s="1"/>
  <c r="G4138" i="4"/>
  <c r="E4138" i="4"/>
  <c r="F4138" i="4" s="1"/>
  <c r="G4137" i="4"/>
  <c r="F4137" i="4"/>
  <c r="E4137" i="4"/>
  <c r="G4136" i="4"/>
  <c r="E4136" i="4"/>
  <c r="F4136" i="4" s="1"/>
  <c r="G4135" i="4"/>
  <c r="E4135" i="4"/>
  <c r="F4135" i="4" s="1"/>
  <c r="G4134" i="4"/>
  <c r="E4134" i="4"/>
  <c r="F4134" i="4" s="1"/>
  <c r="G4133" i="4"/>
  <c r="E4133" i="4"/>
  <c r="F4133" i="4" s="1"/>
  <c r="G4132" i="4"/>
  <c r="E4132" i="4"/>
  <c r="F4132" i="4" s="1"/>
  <c r="G4131" i="4"/>
  <c r="E4131" i="4"/>
  <c r="F4131" i="4" s="1"/>
  <c r="G4130" i="4"/>
  <c r="E4130" i="4"/>
  <c r="F4130" i="4" s="1"/>
  <c r="G4129" i="4"/>
  <c r="F4129" i="4"/>
  <c r="E4129" i="4"/>
  <c r="G4128" i="4"/>
  <c r="F4128" i="4"/>
  <c r="E4128" i="4"/>
  <c r="G4127" i="4"/>
  <c r="E4127" i="4"/>
  <c r="F4127" i="4" s="1"/>
  <c r="G4126" i="4"/>
  <c r="E4126" i="4"/>
  <c r="F4126" i="4" s="1"/>
  <c r="G4125" i="4"/>
  <c r="E4125" i="4"/>
  <c r="F4125" i="4" s="1"/>
  <c r="G4124" i="4"/>
  <c r="E4124" i="4"/>
  <c r="F4124" i="4" s="1"/>
  <c r="G4123" i="4"/>
  <c r="E4123" i="4"/>
  <c r="F4123" i="4" s="1"/>
  <c r="G4122" i="4"/>
  <c r="F4122" i="4"/>
  <c r="E4122" i="4"/>
  <c r="G4121" i="4"/>
  <c r="E4121" i="4"/>
  <c r="F4121" i="4" s="1"/>
  <c r="G4120" i="4"/>
  <c r="F4120" i="4"/>
  <c r="E4120" i="4"/>
  <c r="G4119" i="4"/>
  <c r="E4119" i="4"/>
  <c r="F4119" i="4" s="1"/>
  <c r="G4118" i="4"/>
  <c r="E4118" i="4"/>
  <c r="F4118" i="4" s="1"/>
  <c r="G4117" i="4"/>
  <c r="E4117" i="4"/>
  <c r="F4117" i="4" s="1"/>
  <c r="G4116" i="4"/>
  <c r="F4116" i="4"/>
  <c r="E4116" i="4"/>
  <c r="G4115" i="4"/>
  <c r="E4115" i="4"/>
  <c r="F4115" i="4" s="1"/>
  <c r="G4114" i="4"/>
  <c r="E4114" i="4"/>
  <c r="F4114" i="4" s="1"/>
  <c r="G4113" i="4"/>
  <c r="E4113" i="4"/>
  <c r="F4113" i="4" s="1"/>
  <c r="G4112" i="4"/>
  <c r="F4112" i="4"/>
  <c r="E4112" i="4"/>
  <c r="G4111" i="4"/>
  <c r="E4111" i="4"/>
  <c r="F4111" i="4" s="1"/>
  <c r="G4110" i="4"/>
  <c r="E4110" i="4"/>
  <c r="F4110" i="4" s="1"/>
  <c r="G4109" i="4"/>
  <c r="E4109" i="4"/>
  <c r="F4109" i="4" s="1"/>
  <c r="G4108" i="4"/>
  <c r="F4108" i="4"/>
  <c r="E4108" i="4"/>
  <c r="G4107" i="4"/>
  <c r="E4107" i="4"/>
  <c r="F4107" i="4" s="1"/>
  <c r="G4106" i="4"/>
  <c r="E4106" i="4"/>
  <c r="F4106" i="4" s="1"/>
  <c r="G4105" i="4"/>
  <c r="E4105" i="4"/>
  <c r="F4105" i="4" s="1"/>
  <c r="G4104" i="4"/>
  <c r="E4104" i="4"/>
  <c r="F4104" i="4" s="1"/>
  <c r="G4103" i="4"/>
  <c r="E4103" i="4"/>
  <c r="F4103" i="4" s="1"/>
  <c r="G4102" i="4"/>
  <c r="E4102" i="4"/>
  <c r="F4102" i="4" s="1"/>
  <c r="G4101" i="4"/>
  <c r="F4101" i="4"/>
  <c r="E4101" i="4"/>
  <c r="G4100" i="4"/>
  <c r="E4100" i="4"/>
  <c r="F4100" i="4" s="1"/>
  <c r="G4099" i="4"/>
  <c r="E4099" i="4"/>
  <c r="F4099" i="4" s="1"/>
  <c r="G4098" i="4"/>
  <c r="F4098" i="4"/>
  <c r="E4098" i="4"/>
  <c r="G4097" i="4"/>
  <c r="E4097" i="4"/>
  <c r="F4097" i="4" s="1"/>
  <c r="G4096" i="4"/>
  <c r="F4096" i="4"/>
  <c r="E4096" i="4"/>
  <c r="G4095" i="4"/>
  <c r="E4095" i="4"/>
  <c r="F4095" i="4" s="1"/>
  <c r="G4094" i="4"/>
  <c r="E4094" i="4"/>
  <c r="F4094" i="4" s="1"/>
  <c r="G4093" i="4"/>
  <c r="E4093" i="4"/>
  <c r="F4093" i="4" s="1"/>
  <c r="G4092" i="4"/>
  <c r="F4092" i="4"/>
  <c r="E4092" i="4"/>
  <c r="G4091" i="4"/>
  <c r="E4091" i="4"/>
  <c r="F4091" i="4" s="1"/>
  <c r="G4090" i="4"/>
  <c r="E4090" i="4"/>
  <c r="F4090" i="4" s="1"/>
  <c r="G4089" i="4"/>
  <c r="E4089" i="4"/>
  <c r="F4089" i="4" s="1"/>
  <c r="G4088" i="4"/>
  <c r="E4088" i="4"/>
  <c r="F4088" i="4" s="1"/>
  <c r="G4087" i="4"/>
  <c r="E4087" i="4"/>
  <c r="F4087" i="4" s="1"/>
  <c r="G4086" i="4"/>
  <c r="E4086" i="4"/>
  <c r="F4086" i="4" s="1"/>
  <c r="G4085" i="4"/>
  <c r="F4085" i="4"/>
  <c r="E4085" i="4"/>
  <c r="G4084" i="4"/>
  <c r="E4084" i="4"/>
  <c r="F4084" i="4" s="1"/>
  <c r="G4083" i="4"/>
  <c r="E4083" i="4"/>
  <c r="F4083" i="4" s="1"/>
  <c r="G4082" i="4"/>
  <c r="E4082" i="4"/>
  <c r="F4082" i="4" s="1"/>
  <c r="G4081" i="4"/>
  <c r="E4081" i="4"/>
  <c r="F4081" i="4" s="1"/>
  <c r="G4080" i="4"/>
  <c r="E4080" i="4"/>
  <c r="F4080" i="4" s="1"/>
  <c r="G4079" i="4"/>
  <c r="E4079" i="4"/>
  <c r="F4079" i="4" s="1"/>
  <c r="G4078" i="4"/>
  <c r="F4078" i="4"/>
  <c r="E4078" i="4"/>
  <c r="G4077" i="4"/>
  <c r="E4077" i="4"/>
  <c r="F4077" i="4" s="1"/>
  <c r="G4076" i="4"/>
  <c r="F4076" i="4"/>
  <c r="E4076" i="4"/>
  <c r="G4075" i="4"/>
  <c r="E4075" i="4"/>
  <c r="F4075" i="4" s="1"/>
  <c r="G4074" i="4"/>
  <c r="E4074" i="4"/>
  <c r="F4074" i="4" s="1"/>
  <c r="G4073" i="4"/>
  <c r="E4073" i="4"/>
  <c r="F4073" i="4" s="1"/>
  <c r="G4072" i="4"/>
  <c r="E4072" i="4"/>
  <c r="F4072" i="4" s="1"/>
  <c r="G4071" i="4"/>
  <c r="E4071" i="4"/>
  <c r="F4071" i="4" s="1"/>
  <c r="G4070" i="4"/>
  <c r="E4070" i="4"/>
  <c r="F4070" i="4" s="1"/>
  <c r="G4069" i="4"/>
  <c r="F4069" i="4"/>
  <c r="E4069" i="4"/>
  <c r="G4068" i="4"/>
  <c r="F4068" i="4"/>
  <c r="E4068" i="4"/>
  <c r="G4067" i="4"/>
  <c r="E4067" i="4"/>
  <c r="F4067" i="4" s="1"/>
  <c r="G4066" i="4"/>
  <c r="E4066" i="4"/>
  <c r="F4066" i="4" s="1"/>
  <c r="G4065" i="4"/>
  <c r="E4065" i="4"/>
  <c r="F4065" i="4" s="1"/>
  <c r="G4064" i="4"/>
  <c r="E4064" i="4"/>
  <c r="F4064" i="4" s="1"/>
  <c r="G4063" i="4"/>
  <c r="E4063" i="4"/>
  <c r="F4063" i="4" s="1"/>
  <c r="G4062" i="4"/>
  <c r="E4062" i="4"/>
  <c r="F4062" i="4" s="1"/>
  <c r="G4061" i="4"/>
  <c r="F4061" i="4"/>
  <c r="E4061" i="4"/>
  <c r="G4060" i="4"/>
  <c r="E4060" i="4"/>
  <c r="F4060" i="4" s="1"/>
  <c r="G4059" i="4"/>
  <c r="E4059" i="4"/>
  <c r="F4059" i="4" s="1"/>
  <c r="G4058" i="4"/>
  <c r="E4058" i="4"/>
  <c r="F4058" i="4" s="1"/>
  <c r="G4057" i="4"/>
  <c r="F4057" i="4"/>
  <c r="E4057" i="4"/>
  <c r="G4056" i="4"/>
  <c r="E4056" i="4"/>
  <c r="F4056" i="4" s="1"/>
  <c r="G4055" i="4"/>
  <c r="E4055" i="4"/>
  <c r="F4055" i="4" s="1"/>
  <c r="G4054" i="4"/>
  <c r="F4054" i="4"/>
  <c r="E4054" i="4"/>
  <c r="G4053" i="4"/>
  <c r="E4053" i="4"/>
  <c r="F4053" i="4" s="1"/>
  <c r="G4052" i="4"/>
  <c r="F4052" i="4"/>
  <c r="E4052" i="4"/>
  <c r="G4051" i="4"/>
  <c r="E4051" i="4"/>
  <c r="F4051" i="4" s="1"/>
  <c r="G4050" i="4"/>
  <c r="E4050" i="4"/>
  <c r="F4050" i="4" s="1"/>
  <c r="G4049" i="4"/>
  <c r="E4049" i="4"/>
  <c r="F4049" i="4" s="1"/>
  <c r="G4048" i="4"/>
  <c r="E4048" i="4"/>
  <c r="F4048" i="4" s="1"/>
  <c r="G4047" i="4"/>
  <c r="E4047" i="4"/>
  <c r="F4047" i="4" s="1"/>
  <c r="G4046" i="4"/>
  <c r="E4046" i="4"/>
  <c r="F4046" i="4" s="1"/>
  <c r="G4045" i="4"/>
  <c r="F4045" i="4"/>
  <c r="E4045" i="4"/>
  <c r="G4044" i="4"/>
  <c r="E4044" i="4"/>
  <c r="F4044" i="4" s="1"/>
  <c r="G4043" i="4"/>
  <c r="E4043" i="4"/>
  <c r="F4043" i="4" s="1"/>
  <c r="G4042" i="4"/>
  <c r="E4042" i="4"/>
  <c r="F4042" i="4" s="1"/>
  <c r="G4041" i="4"/>
  <c r="F4041" i="4"/>
  <c r="E4041" i="4"/>
  <c r="G4040" i="4"/>
  <c r="E4040" i="4"/>
  <c r="F4040" i="4" s="1"/>
  <c r="G4039" i="4"/>
  <c r="E4039" i="4"/>
  <c r="F4039" i="4" s="1"/>
  <c r="G4038" i="4"/>
  <c r="F4038" i="4"/>
  <c r="E4038" i="4"/>
  <c r="G4037" i="4"/>
  <c r="E4037" i="4"/>
  <c r="F4037" i="4" s="1"/>
  <c r="G4036" i="4"/>
  <c r="F4036" i="4"/>
  <c r="E4036" i="4"/>
  <c r="G4035" i="4"/>
  <c r="E4035" i="4"/>
  <c r="F4035" i="4" s="1"/>
  <c r="G4034" i="4"/>
  <c r="E4034" i="4"/>
  <c r="F4034" i="4" s="1"/>
  <c r="G4033" i="4"/>
  <c r="E4033" i="4"/>
  <c r="F4033" i="4" s="1"/>
  <c r="G4032" i="4"/>
  <c r="F4032" i="4"/>
  <c r="E4032" i="4"/>
  <c r="G4031" i="4"/>
  <c r="E4031" i="4"/>
  <c r="F4031" i="4" s="1"/>
  <c r="G4030" i="4"/>
  <c r="E4030" i="4"/>
  <c r="F4030" i="4" s="1"/>
  <c r="G4029" i="4"/>
  <c r="F4029" i="4"/>
  <c r="E4029" i="4"/>
  <c r="G4028" i="4"/>
  <c r="E4028" i="4"/>
  <c r="F4028" i="4" s="1"/>
  <c r="G4027" i="4"/>
  <c r="E4027" i="4"/>
  <c r="F4027" i="4" s="1"/>
  <c r="G4026" i="4"/>
  <c r="E4026" i="4"/>
  <c r="F4026" i="4" s="1"/>
  <c r="G4025" i="4"/>
  <c r="E4025" i="4"/>
  <c r="F4025" i="4" s="1"/>
  <c r="G4024" i="4"/>
  <c r="F4024" i="4"/>
  <c r="E4024" i="4"/>
  <c r="G4023" i="4"/>
  <c r="E4023" i="4"/>
  <c r="F4023" i="4" s="1"/>
  <c r="G4022" i="4"/>
  <c r="E4022" i="4"/>
  <c r="F4022" i="4" s="1"/>
  <c r="G4021" i="4"/>
  <c r="E4021" i="4"/>
  <c r="F4021" i="4" s="1"/>
  <c r="G4020" i="4"/>
  <c r="F4020" i="4"/>
  <c r="E4020" i="4"/>
  <c r="G4019" i="4"/>
  <c r="E4019" i="4"/>
  <c r="F4019" i="4" s="1"/>
  <c r="G4018" i="4"/>
  <c r="E4018" i="4"/>
  <c r="F4018" i="4" s="1"/>
  <c r="G4017" i="4"/>
  <c r="E4017" i="4"/>
  <c r="F4017" i="4" s="1"/>
  <c r="G4016" i="4"/>
  <c r="E4016" i="4"/>
  <c r="F4016" i="4" s="1"/>
  <c r="G4015" i="4"/>
  <c r="E4015" i="4"/>
  <c r="F4015" i="4" s="1"/>
  <c r="G4014" i="4"/>
  <c r="E4014" i="4"/>
  <c r="F4014" i="4" s="1"/>
  <c r="G4013" i="4"/>
  <c r="F4013" i="4"/>
  <c r="E4013" i="4"/>
  <c r="G4012" i="4"/>
  <c r="E4012" i="4"/>
  <c r="F4012" i="4" s="1"/>
  <c r="G4011" i="4"/>
  <c r="E4011" i="4"/>
  <c r="F4011" i="4" s="1"/>
  <c r="G4010" i="4"/>
  <c r="E4010" i="4"/>
  <c r="F4010" i="4" s="1"/>
  <c r="G4009" i="4"/>
  <c r="F4009" i="4"/>
  <c r="E4009" i="4"/>
  <c r="G4008" i="4"/>
  <c r="E4008" i="4"/>
  <c r="F4008" i="4" s="1"/>
  <c r="G4007" i="4"/>
  <c r="E4007" i="4"/>
  <c r="F4007" i="4" s="1"/>
  <c r="G4006" i="4"/>
  <c r="F4006" i="4"/>
  <c r="E4006" i="4"/>
  <c r="G4005" i="4"/>
  <c r="E4005" i="4"/>
  <c r="F4005" i="4" s="1"/>
  <c r="G4004" i="4"/>
  <c r="F4004" i="4"/>
  <c r="E4004" i="4"/>
  <c r="G4003" i="4"/>
  <c r="E4003" i="4"/>
  <c r="F4003" i="4" s="1"/>
  <c r="G4002" i="4"/>
  <c r="E4002" i="4"/>
  <c r="F4002" i="4" s="1"/>
  <c r="G4001" i="4"/>
  <c r="E4001" i="4"/>
  <c r="F4001" i="4" s="1"/>
  <c r="G4000" i="4"/>
  <c r="E4000" i="4"/>
  <c r="F4000" i="4" s="1"/>
  <c r="G3999" i="4"/>
  <c r="E3999" i="4"/>
  <c r="F3999" i="4" s="1"/>
  <c r="G3998" i="4"/>
  <c r="E3998" i="4"/>
  <c r="F3998" i="4" s="1"/>
  <c r="G3997" i="4"/>
  <c r="F3997" i="4"/>
  <c r="E3997" i="4"/>
  <c r="G3996" i="4"/>
  <c r="E3996" i="4"/>
  <c r="F3996" i="4" s="1"/>
  <c r="G3995" i="4"/>
  <c r="E3995" i="4"/>
  <c r="F3995" i="4" s="1"/>
  <c r="G3994" i="4"/>
  <c r="E3994" i="4"/>
  <c r="F3994" i="4" s="1"/>
  <c r="G3993" i="4"/>
  <c r="F3993" i="4"/>
  <c r="E3993" i="4"/>
  <c r="G3992" i="4"/>
  <c r="E3992" i="4"/>
  <c r="F3992" i="4" s="1"/>
  <c r="G3991" i="4"/>
  <c r="E3991" i="4"/>
  <c r="F3991" i="4" s="1"/>
  <c r="G3990" i="4"/>
  <c r="F3990" i="4"/>
  <c r="E3990" i="4"/>
  <c r="G3989" i="4"/>
  <c r="E3989" i="4"/>
  <c r="F3989" i="4" s="1"/>
  <c r="G3988" i="4"/>
  <c r="F3988" i="4"/>
  <c r="E3988" i="4"/>
  <c r="G3987" i="4"/>
  <c r="E3987" i="4"/>
  <c r="F3987" i="4" s="1"/>
  <c r="G3986" i="4"/>
  <c r="E3986" i="4"/>
  <c r="F3986" i="4" s="1"/>
  <c r="G3985" i="4"/>
  <c r="E3985" i="4"/>
  <c r="F3985" i="4" s="1"/>
  <c r="G3984" i="4"/>
  <c r="F3984" i="4"/>
  <c r="E3984" i="4"/>
  <c r="G3983" i="4"/>
  <c r="E3983" i="4"/>
  <c r="F3983" i="4" s="1"/>
  <c r="G3982" i="4"/>
  <c r="F3982" i="4"/>
  <c r="E3982" i="4"/>
  <c r="G3981" i="4"/>
  <c r="F3981" i="4"/>
  <c r="E3981" i="4"/>
  <c r="G3980" i="4"/>
  <c r="E3980" i="4"/>
  <c r="F3980" i="4" s="1"/>
  <c r="G3979" i="4"/>
  <c r="E3979" i="4"/>
  <c r="F3979" i="4" s="1"/>
  <c r="G3978" i="4"/>
  <c r="F3978" i="4"/>
  <c r="E3978" i="4"/>
  <c r="G3977" i="4"/>
  <c r="E3977" i="4"/>
  <c r="F3977" i="4" s="1"/>
  <c r="G3976" i="4"/>
  <c r="E3976" i="4"/>
  <c r="F3976" i="4" s="1"/>
  <c r="G3975" i="4"/>
  <c r="E3975" i="4"/>
  <c r="F3975" i="4" s="1"/>
  <c r="G3974" i="4"/>
  <c r="E3974" i="4"/>
  <c r="F3974" i="4" s="1"/>
  <c r="G3973" i="4"/>
  <c r="E3973" i="4"/>
  <c r="F3973" i="4" s="1"/>
  <c r="G3972" i="4"/>
  <c r="F3972" i="4"/>
  <c r="E3972" i="4"/>
  <c r="G3971" i="4"/>
  <c r="E3971" i="4"/>
  <c r="F3971" i="4" s="1"/>
  <c r="G3970" i="4"/>
  <c r="E3970" i="4"/>
  <c r="F3970" i="4" s="1"/>
  <c r="G3969" i="4"/>
  <c r="E3969" i="4"/>
  <c r="F3969" i="4" s="1"/>
  <c r="G3968" i="4"/>
  <c r="F3968" i="4"/>
  <c r="E3968" i="4"/>
  <c r="G3967" i="4"/>
  <c r="E3967" i="4"/>
  <c r="F3967" i="4" s="1"/>
  <c r="G3966" i="4"/>
  <c r="E3966" i="4"/>
  <c r="F3966" i="4" s="1"/>
  <c r="G3965" i="4"/>
  <c r="E3965" i="4"/>
  <c r="F3965" i="4" s="1"/>
  <c r="G3964" i="4"/>
  <c r="E3964" i="4"/>
  <c r="F3964" i="4" s="1"/>
  <c r="G3963" i="4"/>
  <c r="E3963" i="4"/>
  <c r="F3963" i="4" s="1"/>
  <c r="G3962" i="4"/>
  <c r="E3962" i="4"/>
  <c r="F3962" i="4" s="1"/>
  <c r="G3961" i="4"/>
  <c r="E3961" i="4"/>
  <c r="F3961" i="4" s="1"/>
  <c r="G3960" i="4"/>
  <c r="F3960" i="4"/>
  <c r="E3960" i="4"/>
  <c r="G3959" i="4"/>
  <c r="E3959" i="4"/>
  <c r="F3959" i="4" s="1"/>
  <c r="G3958" i="4"/>
  <c r="E3958" i="4"/>
  <c r="F3958" i="4" s="1"/>
  <c r="G3957" i="4"/>
  <c r="E3957" i="4"/>
  <c r="F3957" i="4" s="1"/>
  <c r="G3956" i="4"/>
  <c r="E3956" i="4"/>
  <c r="F3956" i="4" s="1"/>
  <c r="G3955" i="4"/>
  <c r="E3955" i="4"/>
  <c r="F3955" i="4" s="1"/>
  <c r="G3954" i="4"/>
  <c r="F3954" i="4"/>
  <c r="E3954" i="4"/>
  <c r="G3953" i="4"/>
  <c r="E3953" i="4"/>
  <c r="F3953" i="4" s="1"/>
  <c r="G3952" i="4"/>
  <c r="F3952" i="4"/>
  <c r="E3952" i="4"/>
  <c r="G3951" i="4"/>
  <c r="E3951" i="4"/>
  <c r="F3951" i="4" s="1"/>
  <c r="G3950" i="4"/>
  <c r="E3950" i="4"/>
  <c r="F3950" i="4" s="1"/>
  <c r="G3949" i="4"/>
  <c r="E3949" i="4"/>
  <c r="F3949" i="4" s="1"/>
  <c r="G3948" i="4"/>
  <c r="E3948" i="4"/>
  <c r="F3948" i="4" s="1"/>
  <c r="G3947" i="4"/>
  <c r="E3947" i="4"/>
  <c r="F3947" i="4" s="1"/>
  <c r="G3946" i="4"/>
  <c r="E3946" i="4"/>
  <c r="F3946" i="4" s="1"/>
  <c r="G3945" i="4"/>
  <c r="F3945" i="4"/>
  <c r="E3945" i="4"/>
  <c r="G3944" i="4"/>
  <c r="F3944" i="4"/>
  <c r="E3944" i="4"/>
  <c r="G3943" i="4"/>
  <c r="E3943" i="4"/>
  <c r="F3943" i="4" s="1"/>
  <c r="G3942" i="4"/>
  <c r="E3942" i="4"/>
  <c r="F3942" i="4" s="1"/>
  <c r="G3941" i="4"/>
  <c r="E3941" i="4"/>
  <c r="F3941" i="4" s="1"/>
  <c r="G3940" i="4"/>
  <c r="E3940" i="4"/>
  <c r="F3940" i="4" s="1"/>
  <c r="G3939" i="4"/>
  <c r="E3939" i="4"/>
  <c r="F3939" i="4" s="1"/>
  <c r="G3938" i="4"/>
  <c r="E3938" i="4"/>
  <c r="F3938" i="4" s="1"/>
  <c r="G3937" i="4"/>
  <c r="F3937" i="4"/>
  <c r="E3937" i="4"/>
  <c r="G3936" i="4"/>
  <c r="E3936" i="4"/>
  <c r="F3936" i="4" s="1"/>
  <c r="G3935" i="4"/>
  <c r="E3935" i="4"/>
  <c r="F3935" i="4" s="1"/>
  <c r="G3934" i="4"/>
  <c r="E3934" i="4"/>
  <c r="F3934" i="4" s="1"/>
  <c r="G3933" i="4"/>
  <c r="E3933" i="4"/>
  <c r="F3933" i="4" s="1"/>
  <c r="G3932" i="4"/>
  <c r="F3932" i="4"/>
  <c r="E3932" i="4"/>
  <c r="G3931" i="4"/>
  <c r="E3931" i="4"/>
  <c r="F3931" i="4" s="1"/>
  <c r="G3930" i="4"/>
  <c r="E3930" i="4"/>
  <c r="F3930" i="4" s="1"/>
  <c r="G3929" i="4"/>
  <c r="F3929" i="4"/>
  <c r="E3929" i="4"/>
  <c r="G3928" i="4"/>
  <c r="E3928" i="4"/>
  <c r="F3928" i="4" s="1"/>
  <c r="G3927" i="4"/>
  <c r="E3927" i="4"/>
  <c r="F3927" i="4" s="1"/>
  <c r="G3926" i="4"/>
  <c r="E3926" i="4"/>
  <c r="F3926" i="4" s="1"/>
  <c r="G3925" i="4"/>
  <c r="E3925" i="4"/>
  <c r="F3925" i="4" s="1"/>
  <c r="G3924" i="4"/>
  <c r="E3924" i="4"/>
  <c r="F3924" i="4" s="1"/>
  <c r="G3923" i="4"/>
  <c r="E3923" i="4"/>
  <c r="F3923" i="4" s="1"/>
  <c r="G3922" i="4"/>
  <c r="F3922" i="4"/>
  <c r="E3922" i="4"/>
  <c r="G3921" i="4"/>
  <c r="E3921" i="4"/>
  <c r="F3921" i="4" s="1"/>
  <c r="G3920" i="4"/>
  <c r="F3920" i="4"/>
  <c r="E3920" i="4"/>
  <c r="G3919" i="4"/>
  <c r="E3919" i="4"/>
  <c r="F3919" i="4" s="1"/>
  <c r="G3918" i="4"/>
  <c r="E3918" i="4"/>
  <c r="F3918" i="4" s="1"/>
  <c r="G3917" i="4"/>
  <c r="E3917" i="4"/>
  <c r="F3917" i="4" s="1"/>
  <c r="G3916" i="4"/>
  <c r="E3916" i="4"/>
  <c r="F3916" i="4" s="1"/>
  <c r="G3915" i="4"/>
  <c r="E3915" i="4"/>
  <c r="F3915" i="4" s="1"/>
  <c r="G3914" i="4"/>
  <c r="E3914" i="4"/>
  <c r="F3914" i="4" s="1"/>
  <c r="G3913" i="4"/>
  <c r="E3913" i="4"/>
  <c r="F3913" i="4" s="1"/>
  <c r="G3912" i="4"/>
  <c r="F3912" i="4"/>
  <c r="E3912" i="4"/>
  <c r="G3911" i="4"/>
  <c r="E3911" i="4"/>
  <c r="F3911" i="4" s="1"/>
  <c r="G3910" i="4"/>
  <c r="E3910" i="4"/>
  <c r="F3910" i="4" s="1"/>
  <c r="G3909" i="4"/>
  <c r="E3909" i="4"/>
  <c r="F3909" i="4" s="1"/>
  <c r="G3908" i="4"/>
  <c r="E3908" i="4"/>
  <c r="F3908" i="4" s="1"/>
  <c r="G3907" i="4"/>
  <c r="E3907" i="4"/>
  <c r="F3907" i="4" s="1"/>
  <c r="G3906" i="4"/>
  <c r="E3906" i="4"/>
  <c r="F3906" i="4" s="1"/>
  <c r="G3905" i="4"/>
  <c r="F3905" i="4"/>
  <c r="E3905" i="4"/>
  <c r="G3904" i="4"/>
  <c r="E3904" i="4"/>
  <c r="F3904" i="4" s="1"/>
  <c r="G3903" i="4"/>
  <c r="E3903" i="4"/>
  <c r="F3903" i="4" s="1"/>
  <c r="G3902" i="4"/>
  <c r="E3902" i="4"/>
  <c r="F3902" i="4" s="1"/>
  <c r="G3901" i="4"/>
  <c r="F3901" i="4"/>
  <c r="E3901" i="4"/>
  <c r="G3900" i="4"/>
  <c r="E3900" i="4"/>
  <c r="F3900" i="4" s="1"/>
  <c r="G3899" i="4"/>
  <c r="E3899" i="4"/>
  <c r="F3899" i="4" s="1"/>
  <c r="G3898" i="4"/>
  <c r="E3898" i="4"/>
  <c r="F3898" i="4" s="1"/>
  <c r="G3897" i="4"/>
  <c r="E3897" i="4"/>
  <c r="F3897" i="4" s="1"/>
  <c r="G3896" i="4"/>
  <c r="E3896" i="4"/>
  <c r="F3896" i="4" s="1"/>
  <c r="G3895" i="4"/>
  <c r="E3895" i="4"/>
  <c r="F3895" i="4" s="1"/>
  <c r="G3894" i="4"/>
  <c r="F3894" i="4"/>
  <c r="E3894" i="4"/>
  <c r="G3893" i="4"/>
  <c r="E3893" i="4"/>
  <c r="F3893" i="4" s="1"/>
  <c r="G3892" i="4"/>
  <c r="F3892" i="4"/>
  <c r="E3892" i="4"/>
  <c r="G3891" i="4"/>
  <c r="E3891" i="4"/>
  <c r="F3891" i="4" s="1"/>
  <c r="G3890" i="4"/>
  <c r="E3890" i="4"/>
  <c r="F3890" i="4" s="1"/>
  <c r="G3889" i="4"/>
  <c r="E3889" i="4"/>
  <c r="F3889" i="4" s="1"/>
  <c r="G3888" i="4"/>
  <c r="E3888" i="4"/>
  <c r="F3888" i="4" s="1"/>
  <c r="G3887" i="4"/>
  <c r="E3887" i="4"/>
  <c r="F3887" i="4" s="1"/>
  <c r="G3886" i="4"/>
  <c r="E3886" i="4"/>
  <c r="F3886" i="4" s="1"/>
  <c r="G3885" i="4"/>
  <c r="F3885" i="4"/>
  <c r="E3885" i="4"/>
  <c r="G3884" i="4"/>
  <c r="E3884" i="4"/>
  <c r="F3884" i="4" s="1"/>
  <c r="G3883" i="4"/>
  <c r="E3883" i="4"/>
  <c r="F3883" i="4" s="1"/>
  <c r="G3882" i="4"/>
  <c r="E3882" i="4"/>
  <c r="F3882" i="4" s="1"/>
  <c r="G3881" i="4"/>
  <c r="F3881" i="4"/>
  <c r="E3881" i="4"/>
  <c r="G3880" i="4"/>
  <c r="E3880" i="4"/>
  <c r="F3880" i="4" s="1"/>
  <c r="G3879" i="4"/>
  <c r="E3879" i="4"/>
  <c r="F3879" i="4" s="1"/>
  <c r="G3878" i="4"/>
  <c r="E3878" i="4"/>
  <c r="F3878" i="4" s="1"/>
  <c r="G3877" i="4"/>
  <c r="F3877" i="4"/>
  <c r="E3877" i="4"/>
  <c r="G3876" i="4"/>
  <c r="F3876" i="4"/>
  <c r="E3876" i="4"/>
  <c r="G3875" i="4"/>
  <c r="E3875" i="4"/>
  <c r="F3875" i="4" s="1"/>
  <c r="G3874" i="4"/>
  <c r="E3874" i="4"/>
  <c r="F3874" i="4" s="1"/>
  <c r="G3873" i="4"/>
  <c r="E3873" i="4"/>
  <c r="F3873" i="4" s="1"/>
  <c r="G3872" i="4"/>
  <c r="E3872" i="4"/>
  <c r="F3872" i="4" s="1"/>
  <c r="G3871" i="4"/>
  <c r="E3871" i="4"/>
  <c r="F3871" i="4" s="1"/>
  <c r="G3870" i="4"/>
  <c r="E3870" i="4"/>
  <c r="F3870" i="4" s="1"/>
  <c r="G3869" i="4"/>
  <c r="E3869" i="4"/>
  <c r="F3869" i="4" s="1"/>
  <c r="G3868" i="4"/>
  <c r="F3868" i="4"/>
  <c r="E3868" i="4"/>
  <c r="G3867" i="4"/>
  <c r="E3867" i="4"/>
  <c r="F3867" i="4" s="1"/>
  <c r="G3866" i="4"/>
  <c r="E3866" i="4"/>
  <c r="F3866" i="4" s="1"/>
  <c r="G3865" i="4"/>
  <c r="E3865" i="4"/>
  <c r="F3865" i="4" s="1"/>
  <c r="G3864" i="4"/>
  <c r="F3864" i="4"/>
  <c r="E3864" i="4"/>
  <c r="G3863" i="4"/>
  <c r="E3863" i="4"/>
  <c r="F3863" i="4" s="1"/>
  <c r="G3862" i="4"/>
  <c r="E3862" i="4"/>
  <c r="F3862" i="4" s="1"/>
  <c r="G3861" i="4"/>
  <c r="F3861" i="4"/>
  <c r="E3861" i="4"/>
  <c r="G3860" i="4"/>
  <c r="E3860" i="4"/>
  <c r="F3860" i="4" s="1"/>
  <c r="G3859" i="4"/>
  <c r="E3859" i="4"/>
  <c r="F3859" i="4" s="1"/>
  <c r="G3858" i="4"/>
  <c r="E3858" i="4"/>
  <c r="F3858" i="4" s="1"/>
  <c r="G3857" i="4"/>
  <c r="F3857" i="4"/>
  <c r="E3857" i="4"/>
  <c r="G3856" i="4"/>
  <c r="E3856" i="4"/>
  <c r="F3856" i="4" s="1"/>
  <c r="G3855" i="4"/>
  <c r="E3855" i="4"/>
  <c r="F3855" i="4" s="1"/>
  <c r="G3854" i="4"/>
  <c r="E3854" i="4"/>
  <c r="F3854" i="4" s="1"/>
  <c r="G3853" i="4"/>
  <c r="F3853" i="4"/>
  <c r="E3853" i="4"/>
  <c r="G3852" i="4"/>
  <c r="E3852" i="4"/>
  <c r="F3852" i="4" s="1"/>
  <c r="G3851" i="4"/>
  <c r="E3851" i="4"/>
  <c r="F3851" i="4" s="1"/>
  <c r="G3850" i="4"/>
  <c r="E3850" i="4"/>
  <c r="F3850" i="4" s="1"/>
  <c r="G3849" i="4"/>
  <c r="F3849" i="4"/>
  <c r="E3849" i="4"/>
  <c r="G3848" i="4"/>
  <c r="F3848" i="4"/>
  <c r="E3848" i="4"/>
  <c r="G3847" i="4"/>
  <c r="E3847" i="4"/>
  <c r="F3847" i="4" s="1"/>
  <c r="G3846" i="4"/>
  <c r="E3846" i="4"/>
  <c r="F3846" i="4" s="1"/>
  <c r="G3845" i="4"/>
  <c r="E3845" i="4"/>
  <c r="F3845" i="4" s="1"/>
  <c r="G3844" i="4"/>
  <c r="F3844" i="4"/>
  <c r="E3844" i="4"/>
  <c r="G3843" i="4"/>
  <c r="E3843" i="4"/>
  <c r="F3843" i="4" s="1"/>
  <c r="G3842" i="4"/>
  <c r="E3842" i="4"/>
  <c r="F3842" i="4" s="1"/>
  <c r="G3841" i="4"/>
  <c r="E3841" i="4"/>
  <c r="F3841" i="4" s="1"/>
  <c r="G3840" i="4"/>
  <c r="F3840" i="4"/>
  <c r="E3840" i="4"/>
  <c r="G3839" i="4"/>
  <c r="E3839" i="4"/>
  <c r="F3839" i="4" s="1"/>
  <c r="G3838" i="4"/>
  <c r="E3838" i="4"/>
  <c r="F3838" i="4" s="1"/>
  <c r="G3837" i="4"/>
  <c r="E3837" i="4"/>
  <c r="F3837" i="4" s="1"/>
  <c r="G3836" i="4"/>
  <c r="E3836" i="4"/>
  <c r="F3836" i="4" s="1"/>
  <c r="G3835" i="4"/>
  <c r="E3835" i="4"/>
  <c r="F3835" i="4" s="1"/>
  <c r="G3834" i="4"/>
  <c r="E3834" i="4"/>
  <c r="F3834" i="4" s="1"/>
  <c r="G3833" i="4"/>
  <c r="F3833" i="4"/>
  <c r="E3833" i="4"/>
  <c r="G3832" i="4"/>
  <c r="E3832" i="4"/>
  <c r="F3832" i="4" s="1"/>
  <c r="G3831" i="4"/>
  <c r="E3831" i="4"/>
  <c r="F3831" i="4" s="1"/>
  <c r="G3830" i="4"/>
  <c r="E3830" i="4"/>
  <c r="F3830" i="4" s="1"/>
  <c r="G3829" i="4"/>
  <c r="E3829" i="4"/>
  <c r="F3829" i="4" s="1"/>
  <c r="G3828" i="4"/>
  <c r="E3828" i="4"/>
  <c r="F3828" i="4" s="1"/>
  <c r="G3827" i="4"/>
  <c r="E3827" i="4"/>
  <c r="F3827" i="4" s="1"/>
  <c r="G3826" i="4"/>
  <c r="E3826" i="4"/>
  <c r="F3826" i="4" s="1"/>
  <c r="G3825" i="4"/>
  <c r="F3825" i="4"/>
  <c r="E3825" i="4"/>
  <c r="G3824" i="4"/>
  <c r="E3824" i="4"/>
  <c r="F3824" i="4" s="1"/>
  <c r="G3823" i="4"/>
  <c r="E3823" i="4"/>
  <c r="F3823" i="4" s="1"/>
  <c r="G3822" i="4"/>
  <c r="E3822" i="4"/>
  <c r="F3822" i="4" s="1"/>
  <c r="G3821" i="4"/>
  <c r="F3821" i="4"/>
  <c r="E3821" i="4"/>
  <c r="G3820" i="4"/>
  <c r="E3820" i="4"/>
  <c r="F3820" i="4" s="1"/>
  <c r="G3819" i="4"/>
  <c r="E3819" i="4"/>
  <c r="F3819" i="4" s="1"/>
  <c r="G3818" i="4"/>
  <c r="E3818" i="4"/>
  <c r="F3818" i="4" s="1"/>
  <c r="G3817" i="4"/>
  <c r="F3817" i="4"/>
  <c r="E3817" i="4"/>
  <c r="G3816" i="4"/>
  <c r="F3816" i="4"/>
  <c r="E3816" i="4"/>
  <c r="G3815" i="4"/>
  <c r="E3815" i="4"/>
  <c r="F3815" i="4" s="1"/>
  <c r="G3814" i="4"/>
  <c r="E3814" i="4"/>
  <c r="F3814" i="4" s="1"/>
  <c r="G3813" i="4"/>
  <c r="E3813" i="4"/>
  <c r="F3813" i="4" s="1"/>
  <c r="G3812" i="4"/>
  <c r="F3812" i="4"/>
  <c r="E3812" i="4"/>
  <c r="G3811" i="4"/>
  <c r="E3811" i="4"/>
  <c r="F3811" i="4" s="1"/>
  <c r="G3810" i="4"/>
  <c r="E3810" i="4"/>
  <c r="F3810" i="4" s="1"/>
  <c r="G3809" i="4"/>
  <c r="F3809" i="4"/>
  <c r="E3809" i="4"/>
  <c r="G3808" i="4"/>
  <c r="E3808" i="4"/>
  <c r="F3808" i="4" s="1"/>
  <c r="G3807" i="4"/>
  <c r="E3807" i="4"/>
  <c r="F3807" i="4" s="1"/>
  <c r="G3806" i="4"/>
  <c r="E3806" i="4"/>
  <c r="F3806" i="4" s="1"/>
  <c r="G3805" i="4"/>
  <c r="E3805" i="4"/>
  <c r="F3805" i="4" s="1"/>
  <c r="G3804" i="4"/>
  <c r="E3804" i="4"/>
  <c r="F3804" i="4" s="1"/>
  <c r="G3803" i="4"/>
  <c r="E3803" i="4"/>
  <c r="F3803" i="4" s="1"/>
  <c r="G3802" i="4"/>
  <c r="E3802" i="4"/>
  <c r="F3802" i="4" s="1"/>
  <c r="G3801" i="4"/>
  <c r="F3801" i="4"/>
  <c r="E3801" i="4"/>
  <c r="G3800" i="4"/>
  <c r="E3800" i="4"/>
  <c r="F3800" i="4" s="1"/>
  <c r="G3799" i="4"/>
  <c r="E3799" i="4"/>
  <c r="F3799" i="4" s="1"/>
  <c r="G3798" i="4"/>
  <c r="E3798" i="4"/>
  <c r="F3798" i="4" s="1"/>
  <c r="G3797" i="4"/>
  <c r="E3797" i="4"/>
  <c r="F3797" i="4" s="1"/>
  <c r="G3796" i="4"/>
  <c r="E3796" i="4"/>
  <c r="F3796" i="4" s="1"/>
  <c r="G3795" i="4"/>
  <c r="E3795" i="4"/>
  <c r="F3795" i="4" s="1"/>
  <c r="G3794" i="4"/>
  <c r="E3794" i="4"/>
  <c r="F3794" i="4" s="1"/>
  <c r="G3793" i="4"/>
  <c r="E3793" i="4"/>
  <c r="F3793" i="4" s="1"/>
  <c r="G3792" i="4"/>
  <c r="F3792" i="4"/>
  <c r="E3792" i="4"/>
  <c r="G3791" i="4"/>
  <c r="E3791" i="4"/>
  <c r="F3791" i="4" s="1"/>
  <c r="G3790" i="4"/>
  <c r="E3790" i="4"/>
  <c r="F3790" i="4" s="1"/>
  <c r="G3789" i="4"/>
  <c r="E3789" i="4"/>
  <c r="F3789" i="4" s="1"/>
  <c r="G3788" i="4"/>
  <c r="E3788" i="4"/>
  <c r="F3788" i="4" s="1"/>
  <c r="G3787" i="4"/>
  <c r="E3787" i="4"/>
  <c r="F3787" i="4" s="1"/>
  <c r="G3786" i="4"/>
  <c r="F3786" i="4"/>
  <c r="E3786" i="4"/>
  <c r="G3785" i="4"/>
  <c r="E3785" i="4"/>
  <c r="F3785" i="4" s="1"/>
  <c r="G3784" i="4"/>
  <c r="F3784" i="4"/>
  <c r="E3784" i="4"/>
  <c r="G3783" i="4"/>
  <c r="E3783" i="4"/>
  <c r="F3783" i="4" s="1"/>
  <c r="G3782" i="4"/>
  <c r="E3782" i="4"/>
  <c r="F3782" i="4" s="1"/>
  <c r="G3781" i="4"/>
  <c r="F3781" i="4"/>
  <c r="E3781" i="4"/>
  <c r="G3780" i="4"/>
  <c r="E3780" i="4"/>
  <c r="F3780" i="4" s="1"/>
  <c r="G3779" i="4"/>
  <c r="E3779" i="4"/>
  <c r="F3779" i="4" s="1"/>
  <c r="G3778" i="4"/>
  <c r="E3778" i="4"/>
  <c r="F3778" i="4" s="1"/>
  <c r="G3777" i="4"/>
  <c r="F3777" i="4"/>
  <c r="E3777" i="4"/>
  <c r="G3776" i="4"/>
  <c r="E3776" i="4"/>
  <c r="F3776" i="4" s="1"/>
  <c r="G3775" i="4"/>
  <c r="E3775" i="4"/>
  <c r="F3775" i="4" s="1"/>
  <c r="G3774" i="4"/>
  <c r="F3774" i="4"/>
  <c r="E3774" i="4"/>
  <c r="G3773" i="4"/>
  <c r="E3773" i="4"/>
  <c r="F3773" i="4" s="1"/>
  <c r="G3772" i="4"/>
  <c r="F3772" i="4"/>
  <c r="E3772" i="4"/>
  <c r="G3771" i="4"/>
  <c r="E3771" i="4"/>
  <c r="F3771" i="4" s="1"/>
  <c r="G3770" i="4"/>
  <c r="E3770" i="4"/>
  <c r="F3770" i="4" s="1"/>
  <c r="G3769" i="4"/>
  <c r="E3769" i="4"/>
  <c r="F3769" i="4" s="1"/>
  <c r="G3768" i="4"/>
  <c r="F3768" i="4"/>
  <c r="E3768" i="4"/>
  <c r="G3767" i="4"/>
  <c r="E3767" i="4"/>
  <c r="F3767" i="4" s="1"/>
  <c r="G3766" i="4"/>
  <c r="E3766" i="4"/>
  <c r="F3766" i="4" s="1"/>
  <c r="G3765" i="4"/>
  <c r="E3765" i="4"/>
  <c r="F3765" i="4" s="1"/>
  <c r="G3764" i="4"/>
  <c r="E3764" i="4"/>
  <c r="F3764" i="4" s="1"/>
  <c r="G3763" i="4"/>
  <c r="E3763" i="4"/>
  <c r="F3763" i="4" s="1"/>
  <c r="G3762" i="4"/>
  <c r="E3762" i="4"/>
  <c r="F3762" i="4" s="1"/>
  <c r="G3761" i="4"/>
  <c r="E3761" i="4"/>
  <c r="F3761" i="4" s="1"/>
  <c r="G3760" i="4"/>
  <c r="F3760" i="4"/>
  <c r="E3760" i="4"/>
  <c r="G3759" i="4"/>
  <c r="E3759" i="4"/>
  <c r="F3759" i="4" s="1"/>
  <c r="G3758" i="4"/>
  <c r="E3758" i="4"/>
  <c r="F3758" i="4" s="1"/>
  <c r="G3757" i="4"/>
  <c r="E3757" i="4"/>
  <c r="F3757" i="4" s="1"/>
  <c r="G3756" i="4"/>
  <c r="F3756" i="4"/>
  <c r="E3756" i="4"/>
  <c r="G3755" i="4"/>
  <c r="E3755" i="4"/>
  <c r="F3755" i="4" s="1"/>
  <c r="G3754" i="4"/>
  <c r="E3754" i="4"/>
  <c r="F3754" i="4" s="1"/>
  <c r="G3753" i="4"/>
  <c r="E3753" i="4"/>
  <c r="F3753" i="4" s="1"/>
  <c r="G3752" i="4"/>
  <c r="E3752" i="4"/>
  <c r="F3752" i="4" s="1"/>
  <c r="G3751" i="4"/>
  <c r="E3751" i="4"/>
  <c r="F3751" i="4" s="1"/>
  <c r="G3750" i="4"/>
  <c r="E3750" i="4"/>
  <c r="F3750" i="4" s="1"/>
  <c r="G3749" i="4"/>
  <c r="F3749" i="4"/>
  <c r="E3749" i="4"/>
  <c r="G3748" i="4"/>
  <c r="E3748" i="4"/>
  <c r="F3748" i="4" s="1"/>
  <c r="G3747" i="4"/>
  <c r="E3747" i="4"/>
  <c r="F3747" i="4" s="1"/>
  <c r="G3746" i="4"/>
  <c r="E3746" i="4"/>
  <c r="F3746" i="4" s="1"/>
  <c r="G3745" i="4"/>
  <c r="E3745" i="4"/>
  <c r="F3745" i="4" s="1"/>
  <c r="G3744" i="4"/>
  <c r="E3744" i="4"/>
  <c r="F3744" i="4" s="1"/>
  <c r="G3743" i="4"/>
  <c r="E3743" i="4"/>
  <c r="F3743" i="4" s="1"/>
  <c r="G3742" i="4"/>
  <c r="F3742" i="4"/>
  <c r="E3742" i="4"/>
  <c r="G3741" i="4"/>
  <c r="E3741" i="4"/>
  <c r="F3741" i="4" s="1"/>
  <c r="G3740" i="4"/>
  <c r="F3740" i="4"/>
  <c r="E3740" i="4"/>
  <c r="G3739" i="4"/>
  <c r="E3739" i="4"/>
  <c r="F3739" i="4" s="1"/>
  <c r="G3738" i="4"/>
  <c r="E3738" i="4"/>
  <c r="F3738" i="4" s="1"/>
  <c r="G3737" i="4"/>
  <c r="E3737" i="4"/>
  <c r="F3737" i="4" s="1"/>
  <c r="G3736" i="4"/>
  <c r="E3736" i="4"/>
  <c r="F3736" i="4" s="1"/>
  <c r="G3735" i="4"/>
  <c r="E3735" i="4"/>
  <c r="F3735" i="4" s="1"/>
  <c r="G3734" i="4"/>
  <c r="E3734" i="4"/>
  <c r="F3734" i="4" s="1"/>
  <c r="G3733" i="4"/>
  <c r="F3733" i="4"/>
  <c r="E3733" i="4"/>
  <c r="G3732" i="4"/>
  <c r="E3732" i="4"/>
  <c r="F3732" i="4" s="1"/>
  <c r="G3731" i="4"/>
  <c r="E3731" i="4"/>
  <c r="F3731" i="4" s="1"/>
  <c r="G3730" i="4"/>
  <c r="E3730" i="4"/>
  <c r="F3730" i="4" s="1"/>
  <c r="G3729" i="4"/>
  <c r="E3729" i="4"/>
  <c r="F3729" i="4" s="1"/>
  <c r="G3728" i="4"/>
  <c r="E3728" i="4"/>
  <c r="F3728" i="4" s="1"/>
  <c r="G3727" i="4"/>
  <c r="E3727" i="4"/>
  <c r="F3727" i="4" s="1"/>
  <c r="G3726" i="4"/>
  <c r="E3726" i="4"/>
  <c r="F3726" i="4" s="1"/>
  <c r="G3725" i="4"/>
  <c r="F3725" i="4"/>
  <c r="E3725" i="4"/>
  <c r="G3724" i="4"/>
  <c r="E3724" i="4"/>
  <c r="F3724" i="4" s="1"/>
  <c r="G3723" i="4"/>
  <c r="E3723" i="4"/>
  <c r="F3723" i="4" s="1"/>
  <c r="G3722" i="4"/>
  <c r="E3722" i="4"/>
  <c r="F3722" i="4" s="1"/>
  <c r="G3721" i="4"/>
  <c r="F3721" i="4"/>
  <c r="E3721" i="4"/>
  <c r="G3720" i="4"/>
  <c r="E3720" i="4"/>
  <c r="F3720" i="4" s="1"/>
  <c r="G3719" i="4"/>
  <c r="E3719" i="4"/>
  <c r="F3719" i="4" s="1"/>
  <c r="G3718" i="4"/>
  <c r="F3718" i="4"/>
  <c r="E3718" i="4"/>
  <c r="G3717" i="4"/>
  <c r="E3717" i="4"/>
  <c r="F3717" i="4" s="1"/>
  <c r="G3716" i="4"/>
  <c r="F3716" i="4"/>
  <c r="E3716" i="4"/>
  <c r="G3715" i="4"/>
  <c r="E3715" i="4"/>
  <c r="F3715" i="4" s="1"/>
  <c r="G3714" i="4"/>
  <c r="E3714" i="4"/>
  <c r="F3714" i="4" s="1"/>
  <c r="G3713" i="4"/>
  <c r="E3713" i="4"/>
  <c r="F3713" i="4" s="1"/>
  <c r="G3712" i="4"/>
  <c r="E3712" i="4"/>
  <c r="F3712" i="4" s="1"/>
  <c r="G3711" i="4"/>
  <c r="E3711" i="4"/>
  <c r="F3711" i="4" s="1"/>
  <c r="G3710" i="4"/>
  <c r="E3710" i="4"/>
  <c r="F3710" i="4" s="1"/>
  <c r="G3709" i="4"/>
  <c r="F3709" i="4"/>
  <c r="E3709" i="4"/>
  <c r="G3708" i="4"/>
  <c r="E3708" i="4"/>
  <c r="F3708" i="4" s="1"/>
  <c r="G3707" i="4"/>
  <c r="E3707" i="4"/>
  <c r="F3707" i="4" s="1"/>
  <c r="G3706" i="4"/>
  <c r="E3706" i="4"/>
  <c r="F3706" i="4" s="1"/>
  <c r="G3705" i="4"/>
  <c r="F3705" i="4"/>
  <c r="E3705" i="4"/>
  <c r="G3704" i="4"/>
  <c r="E3704" i="4"/>
  <c r="F3704" i="4" s="1"/>
  <c r="G3703" i="4"/>
  <c r="E3703" i="4"/>
  <c r="F3703" i="4" s="1"/>
  <c r="G3702" i="4"/>
  <c r="F3702" i="4"/>
  <c r="E3702" i="4"/>
  <c r="G3701" i="4"/>
  <c r="E3701" i="4"/>
  <c r="F3701" i="4" s="1"/>
  <c r="G3700" i="4"/>
  <c r="F3700" i="4"/>
  <c r="E3700" i="4"/>
  <c r="G3699" i="4"/>
  <c r="E3699" i="4"/>
  <c r="F3699" i="4" s="1"/>
  <c r="G3698" i="4"/>
  <c r="E3698" i="4"/>
  <c r="F3698" i="4" s="1"/>
  <c r="G3697" i="4"/>
  <c r="E3697" i="4"/>
  <c r="F3697" i="4" s="1"/>
  <c r="G3696" i="4"/>
  <c r="F3696" i="4"/>
  <c r="E3696" i="4"/>
  <c r="G3695" i="4"/>
  <c r="E3695" i="4"/>
  <c r="F3695" i="4" s="1"/>
  <c r="G3694" i="4"/>
  <c r="E3694" i="4"/>
  <c r="F3694" i="4" s="1"/>
  <c r="G3693" i="4"/>
  <c r="F3693" i="4"/>
  <c r="E3693" i="4"/>
  <c r="G3692" i="4"/>
  <c r="F3692" i="4"/>
  <c r="E3692" i="4"/>
  <c r="G3691" i="4"/>
  <c r="E3691" i="4"/>
  <c r="F3691" i="4" s="1"/>
  <c r="G3690" i="4"/>
  <c r="E3690" i="4"/>
  <c r="F3690" i="4" s="1"/>
  <c r="G3689" i="4"/>
  <c r="F3689" i="4"/>
  <c r="E3689" i="4"/>
  <c r="G3688" i="4"/>
  <c r="E3688" i="4"/>
  <c r="F3688" i="4" s="1"/>
  <c r="G3687" i="4"/>
  <c r="E3687" i="4"/>
  <c r="F3687" i="4" s="1"/>
  <c r="G3686" i="4"/>
  <c r="E3686" i="4"/>
  <c r="F3686" i="4" s="1"/>
  <c r="G3685" i="4"/>
  <c r="E3685" i="4"/>
  <c r="F3685" i="4" s="1"/>
  <c r="G3684" i="4"/>
  <c r="E3684" i="4"/>
  <c r="F3684" i="4" s="1"/>
  <c r="G3683" i="4"/>
  <c r="E3683" i="4"/>
  <c r="F3683" i="4" s="1"/>
  <c r="G3682" i="4"/>
  <c r="E3682" i="4"/>
  <c r="F3682" i="4" s="1"/>
  <c r="G3681" i="4"/>
  <c r="F3681" i="4"/>
  <c r="E3681" i="4"/>
  <c r="G3680" i="4"/>
  <c r="E3680" i="4"/>
  <c r="F3680" i="4" s="1"/>
  <c r="G3679" i="4"/>
  <c r="E3679" i="4"/>
  <c r="F3679" i="4" s="1"/>
  <c r="G3678" i="4"/>
  <c r="F3678" i="4"/>
  <c r="E3678" i="4"/>
  <c r="G3677" i="4"/>
  <c r="E3677" i="4"/>
  <c r="F3677" i="4" s="1"/>
  <c r="G3676" i="4"/>
  <c r="E3676" i="4"/>
  <c r="F3676" i="4" s="1"/>
  <c r="G3675" i="4"/>
  <c r="E3675" i="4"/>
  <c r="F3675" i="4" s="1"/>
  <c r="G3674" i="4"/>
  <c r="E3674" i="4"/>
  <c r="F3674" i="4" s="1"/>
  <c r="G3673" i="4"/>
  <c r="F3673" i="4"/>
  <c r="E3673" i="4"/>
  <c r="G3672" i="4"/>
  <c r="E3672" i="4"/>
  <c r="F3672" i="4" s="1"/>
  <c r="G3671" i="4"/>
  <c r="E3671" i="4"/>
  <c r="F3671" i="4" s="1"/>
  <c r="G3670" i="4"/>
  <c r="E3670" i="4"/>
  <c r="F3670" i="4" s="1"/>
  <c r="G3669" i="4"/>
  <c r="F3669" i="4"/>
  <c r="E3669" i="4"/>
  <c r="G3668" i="4"/>
  <c r="E3668" i="4"/>
  <c r="F3668" i="4" s="1"/>
  <c r="G3667" i="4"/>
  <c r="E3667" i="4"/>
  <c r="F3667" i="4" s="1"/>
  <c r="G3666" i="4"/>
  <c r="F3666" i="4"/>
  <c r="E3666" i="4"/>
  <c r="G3665" i="4"/>
  <c r="E3665" i="4"/>
  <c r="F3665" i="4" s="1"/>
  <c r="G3664" i="4"/>
  <c r="F3664" i="4"/>
  <c r="E3664" i="4"/>
  <c r="G3663" i="4"/>
  <c r="E3663" i="4"/>
  <c r="F3663" i="4" s="1"/>
  <c r="G3662" i="4"/>
  <c r="E3662" i="4"/>
  <c r="F3662" i="4" s="1"/>
  <c r="G3661" i="4"/>
  <c r="E3661" i="4"/>
  <c r="F3661" i="4" s="1"/>
  <c r="G3660" i="4"/>
  <c r="F3660" i="4"/>
  <c r="E3660" i="4"/>
  <c r="G3659" i="4"/>
  <c r="E3659" i="4"/>
  <c r="F3659" i="4" s="1"/>
  <c r="G3658" i="4"/>
  <c r="E3658" i="4"/>
  <c r="F3658" i="4" s="1"/>
  <c r="G3657" i="4"/>
  <c r="E3657" i="4"/>
  <c r="F3657" i="4" s="1"/>
  <c r="G3656" i="4"/>
  <c r="F3656" i="4"/>
  <c r="E3656" i="4"/>
  <c r="G3655" i="4"/>
  <c r="E3655" i="4"/>
  <c r="F3655" i="4" s="1"/>
  <c r="G3654" i="4"/>
  <c r="E3654" i="4"/>
  <c r="F3654" i="4" s="1"/>
  <c r="G3653" i="4"/>
  <c r="E3653" i="4"/>
  <c r="F3653" i="4" s="1"/>
  <c r="G3652" i="4"/>
  <c r="E3652" i="4"/>
  <c r="F3652" i="4" s="1"/>
  <c r="G3651" i="4"/>
  <c r="E3651" i="4"/>
  <c r="F3651" i="4" s="1"/>
  <c r="G3650" i="4"/>
  <c r="E3650" i="4"/>
  <c r="F3650" i="4" s="1"/>
  <c r="G3649" i="4"/>
  <c r="F3649" i="4"/>
  <c r="E3649" i="4"/>
  <c r="G3648" i="4"/>
  <c r="E3648" i="4"/>
  <c r="F3648" i="4" s="1"/>
  <c r="G3647" i="4"/>
  <c r="E3647" i="4"/>
  <c r="F3647" i="4" s="1"/>
  <c r="G3646" i="4"/>
  <c r="F3646" i="4"/>
  <c r="E3646" i="4"/>
  <c r="G3645" i="4"/>
  <c r="E3645" i="4"/>
  <c r="F3645" i="4" s="1"/>
  <c r="G3644" i="4"/>
  <c r="E3644" i="4"/>
  <c r="F3644" i="4" s="1"/>
  <c r="G3643" i="4"/>
  <c r="E3643" i="4"/>
  <c r="F3643" i="4" s="1"/>
  <c r="G3642" i="4"/>
  <c r="E3642" i="4"/>
  <c r="F3642" i="4" s="1"/>
  <c r="G3641" i="4"/>
  <c r="F3641" i="4"/>
  <c r="E3641" i="4"/>
  <c r="G3640" i="4"/>
  <c r="F3640" i="4"/>
  <c r="E3640" i="4"/>
  <c r="G3639" i="4"/>
  <c r="E3639" i="4"/>
  <c r="F3639" i="4" s="1"/>
  <c r="G3638" i="4"/>
  <c r="E3638" i="4"/>
  <c r="F3638" i="4" s="1"/>
  <c r="G3637" i="4"/>
  <c r="E3637" i="4"/>
  <c r="F3637" i="4" s="1"/>
  <c r="G3636" i="4"/>
  <c r="E3636" i="4"/>
  <c r="F3636" i="4" s="1"/>
  <c r="G3635" i="4"/>
  <c r="E3635" i="4"/>
  <c r="F3635" i="4" s="1"/>
  <c r="G3634" i="4"/>
  <c r="F3634" i="4"/>
  <c r="E3634" i="4"/>
  <c r="G3633" i="4"/>
  <c r="E3633" i="4"/>
  <c r="F3633" i="4" s="1"/>
  <c r="G3632" i="4"/>
  <c r="F3632" i="4"/>
  <c r="E3632" i="4"/>
  <c r="G3631" i="4"/>
  <c r="E3631" i="4"/>
  <c r="F3631" i="4" s="1"/>
  <c r="G3630" i="4"/>
  <c r="E3630" i="4"/>
  <c r="F3630" i="4" s="1"/>
  <c r="G3629" i="4"/>
  <c r="E3629" i="4"/>
  <c r="F3629" i="4" s="1"/>
  <c r="G3628" i="4"/>
  <c r="E3628" i="4"/>
  <c r="F3628" i="4" s="1"/>
  <c r="G3627" i="4"/>
  <c r="E3627" i="4"/>
  <c r="F3627" i="4" s="1"/>
  <c r="G3626" i="4"/>
  <c r="E3626" i="4"/>
  <c r="F3626" i="4" s="1"/>
  <c r="G3625" i="4"/>
  <c r="F3625" i="4"/>
  <c r="E3625" i="4"/>
  <c r="G3624" i="4"/>
  <c r="E3624" i="4"/>
  <c r="F3624" i="4" s="1"/>
  <c r="G3623" i="4"/>
  <c r="E3623" i="4"/>
  <c r="F3623" i="4" s="1"/>
  <c r="G3622" i="4"/>
  <c r="E3622" i="4"/>
  <c r="F3622" i="4" s="1"/>
  <c r="G3621" i="4"/>
  <c r="E3621" i="4"/>
  <c r="F3621" i="4" s="1"/>
  <c r="G3620" i="4"/>
  <c r="E3620" i="4"/>
  <c r="F3620" i="4" s="1"/>
  <c r="G3619" i="4"/>
  <c r="E3619" i="4"/>
  <c r="F3619" i="4" s="1"/>
  <c r="G3618" i="4"/>
  <c r="F3618" i="4"/>
  <c r="E3618" i="4"/>
  <c r="G3617" i="4"/>
  <c r="E3617" i="4"/>
  <c r="F3617" i="4" s="1"/>
  <c r="G3616" i="4"/>
  <c r="F3616" i="4"/>
  <c r="E3616" i="4"/>
  <c r="G3615" i="4"/>
  <c r="E3615" i="4"/>
  <c r="F3615" i="4" s="1"/>
  <c r="G3614" i="4"/>
  <c r="F3614" i="4"/>
  <c r="E3614" i="4"/>
  <c r="G3613" i="4"/>
  <c r="E3613" i="4"/>
  <c r="F3613" i="4" s="1"/>
  <c r="G3612" i="4"/>
  <c r="F3612" i="4"/>
  <c r="E3612" i="4"/>
  <c r="G3611" i="4"/>
  <c r="E3611" i="4"/>
  <c r="F3611" i="4" s="1"/>
  <c r="G3610" i="4"/>
  <c r="E3610" i="4"/>
  <c r="F3610" i="4" s="1"/>
  <c r="G3609" i="4"/>
  <c r="E3609" i="4"/>
  <c r="F3609" i="4" s="1"/>
  <c r="G3608" i="4"/>
  <c r="E3608" i="4"/>
  <c r="F3608" i="4" s="1"/>
  <c r="G3607" i="4"/>
  <c r="E3607" i="4"/>
  <c r="F3607" i="4" s="1"/>
  <c r="G3606" i="4"/>
  <c r="E3606" i="4"/>
  <c r="F3606" i="4" s="1"/>
  <c r="G3605" i="4"/>
  <c r="E3605" i="4"/>
  <c r="F3605" i="4" s="1"/>
  <c r="G3604" i="4"/>
  <c r="F3604" i="4"/>
  <c r="E3604" i="4"/>
  <c r="G3603" i="4"/>
  <c r="E3603" i="4"/>
  <c r="F3603" i="4" s="1"/>
  <c r="G3602" i="4"/>
  <c r="E3602" i="4"/>
  <c r="F3602" i="4" s="1"/>
  <c r="G3601" i="4"/>
  <c r="F3601" i="4"/>
  <c r="E3601" i="4"/>
  <c r="G3600" i="4"/>
  <c r="E3600" i="4"/>
  <c r="F3600" i="4" s="1"/>
  <c r="G3599" i="4"/>
  <c r="E3599" i="4"/>
  <c r="F3599" i="4" s="1"/>
  <c r="G3598" i="4"/>
  <c r="E3598" i="4"/>
  <c r="F3598" i="4" s="1"/>
  <c r="G3597" i="4"/>
  <c r="F3597" i="4"/>
  <c r="E3597" i="4"/>
  <c r="G3596" i="4"/>
  <c r="F3596" i="4"/>
  <c r="E3596" i="4"/>
  <c r="G3595" i="4"/>
  <c r="E3595" i="4"/>
  <c r="F3595" i="4" s="1"/>
  <c r="G3594" i="4"/>
  <c r="E3594" i="4"/>
  <c r="F3594" i="4" s="1"/>
  <c r="G3593" i="4"/>
  <c r="F3593" i="4"/>
  <c r="E3593" i="4"/>
  <c r="G3592" i="4"/>
  <c r="E3592" i="4"/>
  <c r="F3592" i="4" s="1"/>
  <c r="G3591" i="4"/>
  <c r="E3591" i="4"/>
  <c r="F3591" i="4" s="1"/>
  <c r="G3590" i="4"/>
  <c r="E3590" i="4"/>
  <c r="F3590" i="4" s="1"/>
  <c r="G3589" i="4"/>
  <c r="E3589" i="4"/>
  <c r="F3589" i="4" s="1"/>
  <c r="G3588" i="4"/>
  <c r="E3588" i="4"/>
  <c r="F3588" i="4" s="1"/>
  <c r="G3587" i="4"/>
  <c r="E3587" i="4"/>
  <c r="F3587" i="4" s="1"/>
  <c r="G3586" i="4"/>
  <c r="F3586" i="4"/>
  <c r="E3586" i="4"/>
  <c r="G3585" i="4"/>
  <c r="E3585" i="4"/>
  <c r="F3585" i="4" s="1"/>
  <c r="G3584" i="4"/>
  <c r="F3584" i="4"/>
  <c r="E3584" i="4"/>
  <c r="G3583" i="4"/>
  <c r="E3583" i="4"/>
  <c r="F3583" i="4" s="1"/>
  <c r="G3582" i="4"/>
  <c r="E3582" i="4"/>
  <c r="F3582" i="4" s="1"/>
  <c r="G3581" i="4"/>
  <c r="F3581" i="4"/>
  <c r="E3581" i="4"/>
  <c r="G3580" i="4"/>
  <c r="E3580" i="4"/>
  <c r="F3580" i="4" s="1"/>
  <c r="G3579" i="4"/>
  <c r="E3579" i="4"/>
  <c r="F3579" i="4" s="1"/>
  <c r="G3578" i="4"/>
  <c r="E3578" i="4"/>
  <c r="F3578" i="4" s="1"/>
  <c r="G3577" i="4"/>
  <c r="F3577" i="4"/>
  <c r="E3577" i="4"/>
  <c r="G3576" i="4"/>
  <c r="E3576" i="4"/>
  <c r="F3576" i="4" s="1"/>
  <c r="G3575" i="4"/>
  <c r="E3575" i="4"/>
  <c r="F3575" i="4" s="1"/>
  <c r="G3574" i="4"/>
  <c r="F3574" i="4"/>
  <c r="E3574" i="4"/>
  <c r="G3573" i="4"/>
  <c r="E3573" i="4"/>
  <c r="F3573" i="4" s="1"/>
  <c r="G3572" i="4"/>
  <c r="F3572" i="4"/>
  <c r="E3572" i="4"/>
  <c r="G3571" i="4"/>
  <c r="E3571" i="4"/>
  <c r="F3571" i="4" s="1"/>
  <c r="G3570" i="4"/>
  <c r="E3570" i="4"/>
  <c r="F3570" i="4" s="1"/>
  <c r="G3569" i="4"/>
  <c r="E3569" i="4"/>
  <c r="F3569" i="4" s="1"/>
  <c r="G3568" i="4"/>
  <c r="F3568" i="4"/>
  <c r="E3568" i="4"/>
  <c r="G3567" i="4"/>
  <c r="E3567" i="4"/>
  <c r="F3567" i="4" s="1"/>
  <c r="G3566" i="4"/>
  <c r="E3566" i="4"/>
  <c r="F3566" i="4" s="1"/>
  <c r="G3565" i="4"/>
  <c r="F3565" i="4"/>
  <c r="E3565" i="4"/>
  <c r="G3564" i="4"/>
  <c r="F3564" i="4"/>
  <c r="E3564" i="4"/>
  <c r="G3563" i="4"/>
  <c r="E3563" i="4"/>
  <c r="F3563" i="4" s="1"/>
  <c r="G3562" i="4"/>
  <c r="E3562" i="4"/>
  <c r="F3562" i="4" s="1"/>
  <c r="G3561" i="4"/>
  <c r="F3561" i="4"/>
  <c r="E3561" i="4"/>
  <c r="G3560" i="4"/>
  <c r="E3560" i="4"/>
  <c r="F3560" i="4" s="1"/>
  <c r="G3559" i="4"/>
  <c r="E3559" i="4"/>
  <c r="F3559" i="4" s="1"/>
  <c r="G3558" i="4"/>
  <c r="E3558" i="4"/>
  <c r="F3558" i="4" s="1"/>
  <c r="G3557" i="4"/>
  <c r="E3557" i="4"/>
  <c r="F3557" i="4" s="1"/>
  <c r="G3556" i="4"/>
  <c r="E3556" i="4"/>
  <c r="F3556" i="4" s="1"/>
  <c r="G3555" i="4"/>
  <c r="E3555" i="4"/>
  <c r="F3555" i="4" s="1"/>
  <c r="G3554" i="4"/>
  <c r="F3554" i="4"/>
  <c r="E3554" i="4"/>
  <c r="G3553" i="4"/>
  <c r="E3553" i="4"/>
  <c r="F3553" i="4" s="1"/>
  <c r="G3552" i="4"/>
  <c r="F3552" i="4"/>
  <c r="E3552" i="4"/>
  <c r="G3551" i="4"/>
  <c r="E3551" i="4"/>
  <c r="F3551" i="4" s="1"/>
  <c r="G3550" i="4"/>
  <c r="E3550" i="4"/>
  <c r="F3550" i="4" s="1"/>
  <c r="G3549" i="4"/>
  <c r="E3549" i="4"/>
  <c r="F3549" i="4" s="1"/>
  <c r="G3548" i="4"/>
  <c r="E3548" i="4"/>
  <c r="F3548" i="4" s="1"/>
  <c r="G3547" i="4"/>
  <c r="E3547" i="4"/>
  <c r="F3547" i="4" s="1"/>
  <c r="G3546" i="4"/>
  <c r="E3546" i="4"/>
  <c r="F3546" i="4" s="1"/>
  <c r="G3545" i="4"/>
  <c r="E3545" i="4"/>
  <c r="F3545" i="4" s="1"/>
  <c r="G3544" i="4"/>
  <c r="F3544" i="4"/>
  <c r="E3544" i="4"/>
  <c r="G3543" i="4"/>
  <c r="E3543" i="4"/>
  <c r="F3543" i="4" s="1"/>
  <c r="G3542" i="4"/>
  <c r="E3542" i="4"/>
  <c r="F3542" i="4" s="1"/>
  <c r="G3541" i="4"/>
  <c r="E3541" i="4"/>
  <c r="F3541" i="4" s="1"/>
  <c r="G3540" i="4"/>
  <c r="F3540" i="4"/>
  <c r="E3540" i="4"/>
  <c r="G3539" i="4"/>
  <c r="E3539" i="4"/>
  <c r="F3539" i="4" s="1"/>
  <c r="G3538" i="4"/>
  <c r="E3538" i="4"/>
  <c r="F3538" i="4" s="1"/>
  <c r="G3537" i="4"/>
  <c r="F3537" i="4"/>
  <c r="E3537" i="4"/>
  <c r="G3536" i="4"/>
  <c r="E3536" i="4"/>
  <c r="F3536" i="4" s="1"/>
  <c r="G3535" i="4"/>
  <c r="E3535" i="4"/>
  <c r="F3535" i="4" s="1"/>
  <c r="G3534" i="4"/>
  <c r="E3534" i="4"/>
  <c r="F3534" i="4" s="1"/>
  <c r="G3533" i="4"/>
  <c r="E3533" i="4"/>
  <c r="F3533" i="4" s="1"/>
  <c r="G3532" i="4"/>
  <c r="F3532" i="4"/>
  <c r="E3532" i="4"/>
  <c r="G3531" i="4"/>
  <c r="E3531" i="4"/>
  <c r="F3531" i="4" s="1"/>
  <c r="G3530" i="4"/>
  <c r="E3530" i="4"/>
  <c r="F3530" i="4" s="1"/>
  <c r="G3529" i="4"/>
  <c r="E3529" i="4"/>
  <c r="F3529" i="4" s="1"/>
  <c r="G3528" i="4"/>
  <c r="F3528" i="4"/>
  <c r="E3528" i="4"/>
  <c r="G3527" i="4"/>
  <c r="E3527" i="4"/>
  <c r="F3527" i="4" s="1"/>
  <c r="G3526" i="4"/>
  <c r="E3526" i="4"/>
  <c r="F3526" i="4" s="1"/>
  <c r="G3525" i="4"/>
  <c r="E3525" i="4"/>
  <c r="F3525" i="4" s="1"/>
  <c r="G3524" i="4"/>
  <c r="E3524" i="4"/>
  <c r="F3524" i="4" s="1"/>
  <c r="G3523" i="4"/>
  <c r="E3523" i="4"/>
  <c r="F3523" i="4" s="1"/>
  <c r="G3522" i="4"/>
  <c r="E3522" i="4"/>
  <c r="F3522" i="4" s="1"/>
  <c r="G3521" i="4"/>
  <c r="F3521" i="4"/>
  <c r="E3521" i="4"/>
  <c r="G3520" i="4"/>
  <c r="E3520" i="4"/>
  <c r="F3520" i="4" s="1"/>
  <c r="G3519" i="4"/>
  <c r="E3519" i="4"/>
  <c r="F3519" i="4" s="1"/>
  <c r="G3518" i="4"/>
  <c r="F3518" i="4"/>
  <c r="E3518" i="4"/>
  <c r="G3517" i="4"/>
  <c r="E3517" i="4"/>
  <c r="F3517" i="4" s="1"/>
  <c r="G3516" i="4"/>
  <c r="E3516" i="4"/>
  <c r="F3516" i="4" s="1"/>
  <c r="G3515" i="4"/>
  <c r="E3515" i="4"/>
  <c r="F3515" i="4" s="1"/>
  <c r="G3514" i="4"/>
  <c r="E3514" i="4"/>
  <c r="F3514" i="4" s="1"/>
  <c r="G3513" i="4"/>
  <c r="E3513" i="4"/>
  <c r="F3513" i="4" s="1"/>
  <c r="G3512" i="4"/>
  <c r="F3512" i="4"/>
  <c r="E3512" i="4"/>
  <c r="G3511" i="4"/>
  <c r="E3511" i="4"/>
  <c r="F3511" i="4" s="1"/>
  <c r="G3510" i="4"/>
  <c r="E3510" i="4"/>
  <c r="F3510" i="4" s="1"/>
  <c r="G3509" i="4"/>
  <c r="E3509" i="4"/>
  <c r="F3509" i="4" s="1"/>
  <c r="G3508" i="4"/>
  <c r="F3508" i="4"/>
  <c r="E3508" i="4"/>
  <c r="G3507" i="4"/>
  <c r="E3507" i="4"/>
  <c r="F3507" i="4" s="1"/>
  <c r="G3506" i="4"/>
  <c r="E3506" i="4"/>
  <c r="F3506" i="4" s="1"/>
  <c r="G3505" i="4"/>
  <c r="F3505" i="4"/>
  <c r="E3505" i="4"/>
  <c r="G3504" i="4"/>
  <c r="F3504" i="4"/>
  <c r="E3504" i="4"/>
  <c r="G3503" i="4"/>
  <c r="E3503" i="4"/>
  <c r="F3503" i="4" s="1"/>
  <c r="G3502" i="4"/>
  <c r="E3502" i="4"/>
  <c r="F3502" i="4" s="1"/>
  <c r="G3501" i="4"/>
  <c r="F3501" i="4"/>
  <c r="E3501" i="4"/>
  <c r="G3500" i="4"/>
  <c r="E3500" i="4"/>
  <c r="F3500" i="4" s="1"/>
  <c r="G3499" i="4"/>
  <c r="E3499" i="4"/>
  <c r="F3499" i="4" s="1"/>
  <c r="G3498" i="4"/>
  <c r="E3498" i="4"/>
  <c r="F3498" i="4" s="1"/>
  <c r="G3497" i="4"/>
  <c r="E3497" i="4"/>
  <c r="F3497" i="4" s="1"/>
  <c r="G3496" i="4"/>
  <c r="E3496" i="4"/>
  <c r="F3496" i="4" s="1"/>
  <c r="G3495" i="4"/>
  <c r="E3495" i="4"/>
  <c r="F3495" i="4" s="1"/>
  <c r="G3494" i="4"/>
  <c r="E3494" i="4"/>
  <c r="F3494" i="4" s="1"/>
  <c r="G3493" i="4"/>
  <c r="F3493" i="4"/>
  <c r="E3493" i="4"/>
  <c r="G3492" i="4"/>
  <c r="E3492" i="4"/>
  <c r="F3492" i="4" s="1"/>
  <c r="G3491" i="4"/>
  <c r="E3491" i="4"/>
  <c r="F3491" i="4" s="1"/>
  <c r="G3490" i="4"/>
  <c r="F3490" i="4"/>
  <c r="E3490" i="4"/>
  <c r="G3489" i="4"/>
  <c r="E3489" i="4"/>
  <c r="F3489" i="4" s="1"/>
  <c r="G3488" i="4"/>
  <c r="E3488" i="4"/>
  <c r="F3488" i="4" s="1"/>
  <c r="G3487" i="4"/>
  <c r="E3487" i="4"/>
  <c r="F3487" i="4" s="1"/>
  <c r="G3486" i="4"/>
  <c r="E3486" i="4"/>
  <c r="F3486" i="4" s="1"/>
  <c r="G3485" i="4"/>
  <c r="F3485" i="4"/>
  <c r="E3485" i="4"/>
  <c r="G3484" i="4"/>
  <c r="E3484" i="4"/>
  <c r="F3484" i="4" s="1"/>
  <c r="G3483" i="4"/>
  <c r="E3483" i="4"/>
  <c r="F3483" i="4" s="1"/>
  <c r="G3482" i="4"/>
  <c r="E3482" i="4"/>
  <c r="F3482" i="4" s="1"/>
  <c r="G3481" i="4"/>
  <c r="F3481" i="4"/>
  <c r="E3481" i="4"/>
  <c r="G3480" i="4"/>
  <c r="E3480" i="4"/>
  <c r="F3480" i="4" s="1"/>
  <c r="G3479" i="4"/>
  <c r="E3479" i="4"/>
  <c r="F3479" i="4" s="1"/>
  <c r="G3478" i="4"/>
  <c r="F3478" i="4"/>
  <c r="E3478" i="4"/>
  <c r="G3477" i="4"/>
  <c r="E3477" i="4"/>
  <c r="F3477" i="4" s="1"/>
  <c r="G3476" i="4"/>
  <c r="F3476" i="4"/>
  <c r="E3476" i="4"/>
  <c r="G3475" i="4"/>
  <c r="E3475" i="4"/>
  <c r="F3475" i="4" s="1"/>
  <c r="G3474" i="4"/>
  <c r="E3474" i="4"/>
  <c r="F3474" i="4" s="1"/>
  <c r="G3473" i="4"/>
  <c r="E3473" i="4"/>
  <c r="F3473" i="4" s="1"/>
  <c r="G3472" i="4"/>
  <c r="F3472" i="4"/>
  <c r="E3472" i="4"/>
  <c r="G3471" i="4"/>
  <c r="E3471" i="4"/>
  <c r="F3471" i="4" s="1"/>
  <c r="G3470" i="4"/>
  <c r="E3470" i="4"/>
  <c r="F3470" i="4" s="1"/>
  <c r="G3469" i="4"/>
  <c r="F3469" i="4"/>
  <c r="E3469" i="4"/>
  <c r="G3468" i="4"/>
  <c r="E3468" i="4"/>
  <c r="F3468" i="4" s="1"/>
  <c r="G3467" i="4"/>
  <c r="E3467" i="4"/>
  <c r="F3467" i="4" s="1"/>
  <c r="G3466" i="4"/>
  <c r="E3466" i="4"/>
  <c r="F3466" i="4" s="1"/>
  <c r="G3465" i="4"/>
  <c r="E3465" i="4"/>
  <c r="F3465" i="4" s="1"/>
  <c r="G3464" i="4"/>
  <c r="E3464" i="4"/>
  <c r="F3464" i="4" s="1"/>
  <c r="G3463" i="4"/>
  <c r="E3463" i="4"/>
  <c r="F3463" i="4" s="1"/>
  <c r="G3462" i="4"/>
  <c r="E3462" i="4"/>
  <c r="F3462" i="4" s="1"/>
  <c r="G3461" i="4"/>
  <c r="F3461" i="4"/>
  <c r="E3461" i="4"/>
  <c r="G3460" i="4"/>
  <c r="F3460" i="4"/>
  <c r="E3460" i="4"/>
  <c r="G3459" i="4"/>
  <c r="E3459" i="4"/>
  <c r="F3459" i="4" s="1"/>
  <c r="G3458" i="4"/>
  <c r="F3458" i="4"/>
  <c r="E3458" i="4"/>
  <c r="G3457" i="4"/>
  <c r="E3457" i="4"/>
  <c r="F3457" i="4" s="1"/>
  <c r="G3456" i="4"/>
  <c r="E3456" i="4"/>
  <c r="F3456" i="4" s="1"/>
  <c r="G3455" i="4"/>
  <c r="E3455" i="4"/>
  <c r="F3455" i="4" s="1"/>
  <c r="G3454" i="4"/>
  <c r="E3454" i="4"/>
  <c r="F3454" i="4" s="1"/>
  <c r="G3453" i="4"/>
  <c r="F3453" i="4"/>
  <c r="E3453" i="4"/>
  <c r="G3452" i="4"/>
  <c r="F3452" i="4"/>
  <c r="E3452" i="4"/>
  <c r="G3451" i="4"/>
  <c r="E3451" i="4"/>
  <c r="F3451" i="4" s="1"/>
  <c r="G3450" i="4"/>
  <c r="E3450" i="4"/>
  <c r="F3450" i="4" s="1"/>
  <c r="G3449" i="4"/>
  <c r="E3449" i="4"/>
  <c r="F3449" i="4" s="1"/>
  <c r="G3448" i="4"/>
  <c r="F3448" i="4"/>
  <c r="E3448" i="4"/>
  <c r="G3447" i="4"/>
  <c r="E3447" i="4"/>
  <c r="F3447" i="4" s="1"/>
  <c r="G3446" i="4"/>
  <c r="E3446" i="4"/>
  <c r="F3446" i="4" s="1"/>
  <c r="G3445" i="4"/>
  <c r="E3445" i="4"/>
  <c r="F3445" i="4" s="1"/>
  <c r="G3444" i="4"/>
  <c r="E3444" i="4"/>
  <c r="F3444" i="4" s="1"/>
  <c r="G3443" i="4"/>
  <c r="E3443" i="4"/>
  <c r="F3443" i="4" s="1"/>
  <c r="G3442" i="4"/>
  <c r="E3442" i="4"/>
  <c r="F3442" i="4" s="1"/>
  <c r="G3441" i="4"/>
  <c r="F3441" i="4"/>
  <c r="E3441" i="4"/>
  <c r="G3440" i="4"/>
  <c r="F3440" i="4"/>
  <c r="E3440" i="4"/>
  <c r="G3439" i="4"/>
  <c r="E3439" i="4"/>
  <c r="F3439" i="4" s="1"/>
  <c r="G3438" i="4"/>
  <c r="F3438" i="4"/>
  <c r="E3438" i="4"/>
  <c r="G3437" i="4"/>
  <c r="E3437" i="4"/>
  <c r="F3437" i="4" s="1"/>
  <c r="G3436" i="4"/>
  <c r="E3436" i="4"/>
  <c r="F3436" i="4" s="1"/>
  <c r="G3435" i="4"/>
  <c r="E3435" i="4"/>
  <c r="F3435" i="4" s="1"/>
  <c r="G3434" i="4"/>
  <c r="E3434" i="4"/>
  <c r="F3434" i="4" s="1"/>
  <c r="G3433" i="4"/>
  <c r="E3433" i="4"/>
  <c r="F3433" i="4" s="1"/>
  <c r="G3432" i="4"/>
  <c r="F3432" i="4"/>
  <c r="E3432" i="4"/>
  <c r="G3431" i="4"/>
  <c r="E3431" i="4"/>
  <c r="F3431" i="4" s="1"/>
  <c r="G3430" i="4"/>
  <c r="E3430" i="4"/>
  <c r="F3430" i="4" s="1"/>
  <c r="G3429" i="4"/>
  <c r="F3429" i="4"/>
  <c r="E3429" i="4"/>
  <c r="G3428" i="4"/>
  <c r="F3428" i="4"/>
  <c r="E3428" i="4"/>
  <c r="G3427" i="4"/>
  <c r="E3427" i="4"/>
  <c r="F3427" i="4" s="1"/>
  <c r="G3426" i="4"/>
  <c r="F3426" i="4"/>
  <c r="E3426" i="4"/>
  <c r="G3425" i="4"/>
  <c r="E3425" i="4"/>
  <c r="F3425" i="4" s="1"/>
  <c r="G3424" i="4"/>
  <c r="F3424" i="4"/>
  <c r="E3424" i="4"/>
  <c r="G3423" i="4"/>
  <c r="E3423" i="4"/>
  <c r="F3423" i="4" s="1"/>
  <c r="G3422" i="4"/>
  <c r="E3422" i="4"/>
  <c r="F3422" i="4" s="1"/>
  <c r="G3421" i="4"/>
  <c r="F3421" i="4"/>
  <c r="E3421" i="4"/>
  <c r="G3420" i="4"/>
  <c r="F3420" i="4"/>
  <c r="E3420" i="4"/>
  <c r="G3419" i="4"/>
  <c r="E3419" i="4"/>
  <c r="F3419" i="4" s="1"/>
  <c r="G3418" i="4"/>
  <c r="E3418" i="4"/>
  <c r="F3418" i="4" s="1"/>
  <c r="G3417" i="4"/>
  <c r="E3417" i="4"/>
  <c r="F3417" i="4" s="1"/>
  <c r="G3416" i="4"/>
  <c r="F3416" i="4"/>
  <c r="E3416" i="4"/>
  <c r="G3415" i="4"/>
  <c r="E3415" i="4"/>
  <c r="F3415" i="4" s="1"/>
  <c r="G3414" i="4"/>
  <c r="E3414" i="4"/>
  <c r="F3414" i="4" s="1"/>
  <c r="G3413" i="4"/>
  <c r="E3413" i="4"/>
  <c r="F3413" i="4" s="1"/>
  <c r="G3412" i="4"/>
  <c r="E3412" i="4"/>
  <c r="F3412" i="4" s="1"/>
  <c r="G3411" i="4"/>
  <c r="E3411" i="4"/>
  <c r="F3411" i="4" s="1"/>
  <c r="G3410" i="4"/>
  <c r="E3410" i="4"/>
  <c r="F3410" i="4" s="1"/>
  <c r="G3409" i="4"/>
  <c r="F3409" i="4"/>
  <c r="E3409" i="4"/>
  <c r="G3408" i="4"/>
  <c r="E3408" i="4"/>
  <c r="F3408" i="4" s="1"/>
  <c r="G3407" i="4"/>
  <c r="E3407" i="4"/>
  <c r="F3407" i="4" s="1"/>
  <c r="G3406" i="4"/>
  <c r="E3406" i="4"/>
  <c r="F3406" i="4" s="1"/>
  <c r="G3405" i="4"/>
  <c r="F3405" i="4"/>
  <c r="E3405" i="4"/>
  <c r="G3404" i="4"/>
  <c r="E3404" i="4"/>
  <c r="F3404" i="4" s="1"/>
  <c r="G3403" i="4"/>
  <c r="E3403" i="4"/>
  <c r="F3403" i="4" s="1"/>
  <c r="G3402" i="4"/>
  <c r="E3402" i="4"/>
  <c r="F3402" i="4" s="1"/>
  <c r="G3401" i="4"/>
  <c r="F3401" i="4"/>
  <c r="E3401" i="4"/>
  <c r="G3400" i="4"/>
  <c r="F3400" i="4"/>
  <c r="E3400" i="4"/>
  <c r="G3399" i="4"/>
  <c r="E3399" i="4"/>
  <c r="F3399" i="4" s="1"/>
  <c r="G3398" i="4"/>
  <c r="E3398" i="4"/>
  <c r="F3398" i="4" s="1"/>
  <c r="G3397" i="4"/>
  <c r="F3397" i="4"/>
  <c r="E3397" i="4"/>
  <c r="G3396" i="4"/>
  <c r="E3396" i="4"/>
  <c r="F3396" i="4" s="1"/>
  <c r="G3395" i="4"/>
  <c r="E3395" i="4"/>
  <c r="F3395" i="4" s="1"/>
  <c r="G3394" i="4"/>
  <c r="E3394" i="4"/>
  <c r="F3394" i="4" s="1"/>
  <c r="G3393" i="4"/>
  <c r="F3393" i="4"/>
  <c r="E3393" i="4"/>
  <c r="G3392" i="4"/>
  <c r="F3392" i="4"/>
  <c r="E3392" i="4"/>
  <c r="G3391" i="4"/>
  <c r="E3391" i="4"/>
  <c r="F3391" i="4" s="1"/>
  <c r="G3390" i="4"/>
  <c r="E3390" i="4"/>
  <c r="F3390" i="4" s="1"/>
  <c r="G3389" i="4"/>
  <c r="F3389" i="4"/>
  <c r="E3389" i="4"/>
  <c r="G3388" i="4"/>
  <c r="E3388" i="4"/>
  <c r="F3388" i="4" s="1"/>
  <c r="G3387" i="4"/>
  <c r="E3387" i="4"/>
  <c r="F3387" i="4" s="1"/>
  <c r="G3386" i="4"/>
  <c r="E3386" i="4"/>
  <c r="F3386" i="4" s="1"/>
  <c r="G3385" i="4"/>
  <c r="E3385" i="4"/>
  <c r="F3385" i="4" s="1"/>
  <c r="G3384" i="4"/>
  <c r="F3384" i="4"/>
  <c r="E3384" i="4"/>
  <c r="G3383" i="4"/>
  <c r="E3383" i="4"/>
  <c r="F3383" i="4" s="1"/>
  <c r="G3382" i="4"/>
  <c r="F3382" i="4"/>
  <c r="E3382" i="4"/>
  <c r="G3381" i="4"/>
  <c r="E3381" i="4"/>
  <c r="F3381" i="4" s="1"/>
  <c r="G3380" i="4"/>
  <c r="F3380" i="4"/>
  <c r="E3380" i="4"/>
  <c r="G3379" i="4"/>
  <c r="E3379" i="4"/>
  <c r="F3379" i="4" s="1"/>
  <c r="G3378" i="4"/>
  <c r="E3378" i="4"/>
  <c r="F3378" i="4" s="1"/>
  <c r="G3377" i="4"/>
  <c r="F3377" i="4"/>
  <c r="E3377" i="4"/>
  <c r="G3376" i="4"/>
  <c r="E3376" i="4"/>
  <c r="F3376" i="4" s="1"/>
  <c r="G3375" i="4"/>
  <c r="E3375" i="4"/>
  <c r="F3375" i="4" s="1"/>
  <c r="G3374" i="4"/>
  <c r="E3374" i="4"/>
  <c r="F3374" i="4" s="1"/>
  <c r="G3373" i="4"/>
  <c r="E3373" i="4"/>
  <c r="F3373" i="4" s="1"/>
  <c r="G3372" i="4"/>
  <c r="E3372" i="4"/>
  <c r="F3372" i="4" s="1"/>
  <c r="G3371" i="4"/>
  <c r="E3371" i="4"/>
  <c r="F3371" i="4" s="1"/>
  <c r="G3370" i="4"/>
  <c r="E3370" i="4"/>
  <c r="F3370" i="4" s="1"/>
  <c r="G3369" i="4"/>
  <c r="E3369" i="4"/>
  <c r="F3369" i="4" s="1"/>
  <c r="G3368" i="4"/>
  <c r="E3368" i="4"/>
  <c r="F3368" i="4" s="1"/>
  <c r="G3367" i="4"/>
  <c r="E3367" i="4"/>
  <c r="F3367" i="4" s="1"/>
  <c r="G3366" i="4"/>
  <c r="E3366" i="4"/>
  <c r="F3366" i="4" s="1"/>
  <c r="G3365" i="4"/>
  <c r="F3365" i="4"/>
  <c r="E3365" i="4"/>
  <c r="G3364" i="4"/>
  <c r="F3364" i="4"/>
  <c r="E3364" i="4"/>
  <c r="G3363" i="4"/>
  <c r="E3363" i="4"/>
  <c r="F3363" i="4" s="1"/>
  <c r="G3362" i="4"/>
  <c r="E3362" i="4"/>
  <c r="F3362" i="4" s="1"/>
  <c r="G3361" i="4"/>
  <c r="F3361" i="4"/>
  <c r="E3361" i="4"/>
  <c r="G3360" i="4"/>
  <c r="E3360" i="4"/>
  <c r="F3360" i="4" s="1"/>
  <c r="G3359" i="4"/>
  <c r="E3359" i="4"/>
  <c r="F3359" i="4" s="1"/>
  <c r="G3358" i="4"/>
  <c r="E3358" i="4"/>
  <c r="F3358" i="4" s="1"/>
  <c r="G3357" i="4"/>
  <c r="F3357" i="4"/>
  <c r="E3357" i="4"/>
  <c r="G3356" i="4"/>
  <c r="F3356" i="4"/>
  <c r="E3356" i="4"/>
  <c r="G3355" i="4"/>
  <c r="E3355" i="4"/>
  <c r="F3355" i="4" s="1"/>
  <c r="G3354" i="4"/>
  <c r="E3354" i="4"/>
  <c r="F3354" i="4" s="1"/>
  <c r="G3353" i="4"/>
  <c r="E3353" i="4"/>
  <c r="F3353" i="4" s="1"/>
  <c r="G3352" i="4"/>
  <c r="F3352" i="4"/>
  <c r="E3352" i="4"/>
  <c r="G3351" i="4"/>
  <c r="E3351" i="4"/>
  <c r="F3351" i="4" s="1"/>
  <c r="G3350" i="4"/>
  <c r="E3350" i="4"/>
  <c r="F3350" i="4" s="1"/>
  <c r="G3349" i="4"/>
  <c r="E3349" i="4"/>
  <c r="F3349" i="4" s="1"/>
  <c r="G3348" i="4"/>
  <c r="E3348" i="4"/>
  <c r="F3348" i="4" s="1"/>
  <c r="G3347" i="4"/>
  <c r="E3347" i="4"/>
  <c r="F3347" i="4" s="1"/>
  <c r="G3346" i="4"/>
  <c r="E3346" i="4"/>
  <c r="F3346" i="4" s="1"/>
  <c r="G3345" i="4"/>
  <c r="E3345" i="4"/>
  <c r="F3345" i="4" s="1"/>
  <c r="G3344" i="4"/>
  <c r="E3344" i="4"/>
  <c r="F3344" i="4" s="1"/>
  <c r="G3343" i="4"/>
  <c r="E3343" i="4"/>
  <c r="F3343" i="4" s="1"/>
  <c r="G3342" i="4"/>
  <c r="F3342" i="4"/>
  <c r="E3342" i="4"/>
  <c r="G3341" i="4"/>
  <c r="E3341" i="4"/>
  <c r="F3341" i="4" s="1"/>
  <c r="G3340" i="4"/>
  <c r="F3340" i="4"/>
  <c r="E3340" i="4"/>
  <c r="G3339" i="4"/>
  <c r="E3339" i="4"/>
  <c r="F3339" i="4" s="1"/>
  <c r="G3338" i="4"/>
  <c r="E3338" i="4"/>
  <c r="F3338" i="4" s="1"/>
  <c r="G3337" i="4"/>
  <c r="E3337" i="4"/>
  <c r="F3337" i="4" s="1"/>
  <c r="G3336" i="4"/>
  <c r="E3336" i="4"/>
  <c r="F3336" i="4" s="1"/>
  <c r="G3335" i="4"/>
  <c r="E3335" i="4"/>
  <c r="F3335" i="4" s="1"/>
  <c r="G3334" i="4"/>
  <c r="E3334" i="4"/>
  <c r="F3334" i="4" s="1"/>
  <c r="G3333" i="4"/>
  <c r="F3333" i="4"/>
  <c r="E3333" i="4"/>
  <c r="G3332" i="4"/>
  <c r="F3332" i="4"/>
  <c r="E3332" i="4"/>
  <c r="G3331" i="4"/>
  <c r="E3331" i="4"/>
  <c r="F3331" i="4" s="1"/>
  <c r="G3330" i="4"/>
  <c r="E3330" i="4"/>
  <c r="F3330" i="4" s="1"/>
  <c r="G3329" i="4"/>
  <c r="E3329" i="4"/>
  <c r="F3329" i="4" s="1"/>
  <c r="G3328" i="4"/>
  <c r="F3328" i="4"/>
  <c r="E3328" i="4"/>
  <c r="G3327" i="4"/>
  <c r="E3327" i="4"/>
  <c r="F3327" i="4" s="1"/>
  <c r="G3326" i="4"/>
  <c r="E3326" i="4"/>
  <c r="F3326" i="4" s="1"/>
  <c r="G3325" i="4"/>
  <c r="E3325" i="4"/>
  <c r="F3325" i="4" s="1"/>
  <c r="G3324" i="4"/>
  <c r="F3324" i="4"/>
  <c r="E3324" i="4"/>
  <c r="G3323" i="4"/>
  <c r="E3323" i="4"/>
  <c r="F3323" i="4" s="1"/>
  <c r="G3322" i="4"/>
  <c r="E3322" i="4"/>
  <c r="F3322" i="4" s="1"/>
  <c r="G3321" i="4"/>
  <c r="F3321" i="4"/>
  <c r="E3321" i="4"/>
  <c r="G3320" i="4"/>
  <c r="F3320" i="4"/>
  <c r="E3320" i="4"/>
  <c r="G3319" i="4"/>
  <c r="E3319" i="4"/>
  <c r="F3319" i="4" s="1"/>
  <c r="G3318" i="4"/>
  <c r="E3318" i="4"/>
  <c r="F3318" i="4" s="1"/>
  <c r="G3317" i="4"/>
  <c r="F3317" i="4"/>
  <c r="E3317" i="4"/>
  <c r="G3316" i="4"/>
  <c r="E3316" i="4"/>
  <c r="F3316" i="4" s="1"/>
  <c r="G3315" i="4"/>
  <c r="E3315" i="4"/>
  <c r="F3315" i="4" s="1"/>
  <c r="G3314" i="4"/>
  <c r="E3314" i="4"/>
  <c r="F3314" i="4" s="1"/>
  <c r="G3313" i="4"/>
  <c r="F3313" i="4"/>
  <c r="E3313" i="4"/>
  <c r="G3312" i="4"/>
  <c r="E3312" i="4"/>
  <c r="F3312" i="4" s="1"/>
  <c r="G3311" i="4"/>
  <c r="E3311" i="4"/>
  <c r="F3311" i="4" s="1"/>
  <c r="G3310" i="4"/>
  <c r="E3310" i="4"/>
  <c r="F3310" i="4" s="1"/>
  <c r="G3309" i="4"/>
  <c r="E3309" i="4"/>
  <c r="F3309" i="4" s="1"/>
  <c r="G3308" i="4"/>
  <c r="F3308" i="4"/>
  <c r="E3308" i="4"/>
  <c r="G3307" i="4"/>
  <c r="E3307" i="4"/>
  <c r="F3307" i="4" s="1"/>
  <c r="G3306" i="4"/>
  <c r="E3306" i="4"/>
  <c r="F3306" i="4" s="1"/>
  <c r="G3305" i="4"/>
  <c r="F3305" i="4"/>
  <c r="E3305" i="4"/>
  <c r="G3304" i="4"/>
  <c r="F3304" i="4"/>
  <c r="E3304" i="4"/>
  <c r="G3303" i="4"/>
  <c r="E3303" i="4"/>
  <c r="F3303" i="4" s="1"/>
  <c r="G3302" i="4"/>
  <c r="E3302" i="4"/>
  <c r="F3302" i="4" s="1"/>
  <c r="G3301" i="4"/>
  <c r="E3301" i="4"/>
  <c r="F3301" i="4" s="1"/>
  <c r="G3300" i="4"/>
  <c r="E3300" i="4"/>
  <c r="F3300" i="4" s="1"/>
  <c r="G3299" i="4"/>
  <c r="E3299" i="4"/>
  <c r="F3299" i="4" s="1"/>
  <c r="G3298" i="4"/>
  <c r="E3298" i="4"/>
  <c r="F3298" i="4" s="1"/>
  <c r="G3297" i="4"/>
  <c r="E3297" i="4"/>
  <c r="F3297" i="4" s="1"/>
  <c r="G3296" i="4"/>
  <c r="F3296" i="4"/>
  <c r="E3296" i="4"/>
  <c r="G3295" i="4"/>
  <c r="E3295" i="4"/>
  <c r="F3295" i="4" s="1"/>
  <c r="G3294" i="4"/>
  <c r="E3294" i="4"/>
  <c r="F3294" i="4" s="1"/>
  <c r="G3293" i="4"/>
  <c r="F3293" i="4"/>
  <c r="E3293" i="4"/>
  <c r="G3292" i="4"/>
  <c r="F3292" i="4"/>
  <c r="E3292" i="4"/>
  <c r="G3291" i="4"/>
  <c r="E3291" i="4"/>
  <c r="F3291" i="4" s="1"/>
  <c r="G3290" i="4"/>
  <c r="F3290" i="4"/>
  <c r="E3290" i="4"/>
  <c r="G3289" i="4"/>
  <c r="E3289" i="4"/>
  <c r="F3289" i="4" s="1"/>
  <c r="G3288" i="4"/>
  <c r="E3288" i="4"/>
  <c r="F3288" i="4" s="1"/>
  <c r="G3287" i="4"/>
  <c r="E3287" i="4"/>
  <c r="F3287" i="4" s="1"/>
  <c r="G3286" i="4"/>
  <c r="E3286" i="4"/>
  <c r="F3286" i="4" s="1"/>
  <c r="G3285" i="4"/>
  <c r="E3285" i="4"/>
  <c r="F3285" i="4" s="1"/>
  <c r="G3284" i="4"/>
  <c r="F3284" i="4"/>
  <c r="E3284" i="4"/>
  <c r="G3283" i="4"/>
  <c r="E3283" i="4"/>
  <c r="F3283" i="4" s="1"/>
  <c r="G3282" i="4"/>
  <c r="F3282" i="4"/>
  <c r="E3282" i="4"/>
  <c r="G3281" i="4"/>
  <c r="F3281" i="4"/>
  <c r="E3281" i="4"/>
  <c r="G3280" i="4"/>
  <c r="E3280" i="4"/>
  <c r="F3280" i="4" s="1"/>
  <c r="G3279" i="4"/>
  <c r="E3279" i="4"/>
  <c r="F3279" i="4" s="1"/>
  <c r="G3278" i="4"/>
  <c r="E3278" i="4"/>
  <c r="F3278" i="4" s="1"/>
  <c r="G3277" i="4"/>
  <c r="F3277" i="4"/>
  <c r="E3277" i="4"/>
  <c r="G3276" i="4"/>
  <c r="F3276" i="4"/>
  <c r="E3276" i="4"/>
  <c r="G3275" i="4"/>
  <c r="E3275" i="4"/>
  <c r="F3275" i="4" s="1"/>
  <c r="G3274" i="4"/>
  <c r="E3274" i="4"/>
  <c r="F3274" i="4" s="1"/>
  <c r="G3273" i="4"/>
  <c r="E3273" i="4"/>
  <c r="F3273" i="4" s="1"/>
  <c r="G3272" i="4"/>
  <c r="F3272" i="4"/>
  <c r="E3272" i="4"/>
  <c r="G3271" i="4"/>
  <c r="E3271" i="4"/>
  <c r="F3271" i="4" s="1"/>
  <c r="G3270" i="4"/>
  <c r="E3270" i="4"/>
  <c r="F3270" i="4" s="1"/>
  <c r="G3269" i="4"/>
  <c r="F3269" i="4"/>
  <c r="E3269" i="4"/>
  <c r="G3268" i="4"/>
  <c r="E3268" i="4"/>
  <c r="F3268" i="4" s="1"/>
  <c r="G3267" i="4"/>
  <c r="E3267" i="4"/>
  <c r="F3267" i="4" s="1"/>
  <c r="G3266" i="4"/>
  <c r="E3266" i="4"/>
  <c r="F3266" i="4" s="1"/>
  <c r="G3265" i="4"/>
  <c r="E3265" i="4"/>
  <c r="F3265" i="4" s="1"/>
  <c r="G3264" i="4"/>
  <c r="E3264" i="4"/>
  <c r="F3264" i="4" s="1"/>
  <c r="G3263" i="4"/>
  <c r="E3263" i="4"/>
  <c r="F3263" i="4" s="1"/>
  <c r="G3262" i="4"/>
  <c r="E3262" i="4"/>
  <c r="F3262" i="4" s="1"/>
  <c r="G3261" i="4"/>
  <c r="F3261" i="4"/>
  <c r="E3261" i="4"/>
  <c r="G3260" i="4"/>
  <c r="F3260" i="4"/>
  <c r="E3260" i="4"/>
  <c r="G3259" i="4"/>
  <c r="E3259" i="4"/>
  <c r="F3259" i="4" s="1"/>
  <c r="G3258" i="4"/>
  <c r="E3258" i="4"/>
  <c r="F3258" i="4" s="1"/>
  <c r="G3257" i="4"/>
  <c r="F3257" i="4"/>
  <c r="E3257" i="4"/>
  <c r="G3256" i="4"/>
  <c r="E3256" i="4"/>
  <c r="F3256" i="4" s="1"/>
  <c r="G3255" i="4"/>
  <c r="E3255" i="4"/>
  <c r="F3255" i="4" s="1"/>
  <c r="G3254" i="4"/>
  <c r="F3254" i="4"/>
  <c r="E3254" i="4"/>
  <c r="G3253" i="4"/>
  <c r="E3253" i="4"/>
  <c r="F3253" i="4" s="1"/>
  <c r="G3252" i="4"/>
  <c r="F3252" i="4"/>
  <c r="E3252" i="4"/>
  <c r="G3251" i="4"/>
  <c r="E3251" i="4"/>
  <c r="F3251" i="4" s="1"/>
  <c r="G3250" i="4"/>
  <c r="E3250" i="4"/>
  <c r="F3250" i="4" s="1"/>
  <c r="G3249" i="4"/>
  <c r="F3249" i="4"/>
  <c r="E3249" i="4"/>
  <c r="G3248" i="4"/>
  <c r="F3248" i="4"/>
  <c r="E3248" i="4"/>
  <c r="G3247" i="4"/>
  <c r="E3247" i="4"/>
  <c r="F3247" i="4" s="1"/>
  <c r="G3246" i="4"/>
  <c r="E3246" i="4"/>
  <c r="F3246" i="4" s="1"/>
  <c r="G3245" i="4"/>
  <c r="E3245" i="4"/>
  <c r="F3245" i="4" s="1"/>
  <c r="G3244" i="4"/>
  <c r="F3244" i="4"/>
  <c r="E3244" i="4"/>
  <c r="G3243" i="4"/>
  <c r="E3243" i="4"/>
  <c r="F3243" i="4" s="1"/>
  <c r="G3242" i="4"/>
  <c r="E3242" i="4"/>
  <c r="F3242" i="4" s="1"/>
  <c r="G3241" i="4"/>
  <c r="E3241" i="4"/>
  <c r="F3241" i="4" s="1"/>
  <c r="G3240" i="4"/>
  <c r="F3240" i="4"/>
  <c r="E3240" i="4"/>
  <c r="G3239" i="4"/>
  <c r="E3239" i="4"/>
  <c r="F3239" i="4" s="1"/>
  <c r="G3238" i="4"/>
  <c r="E3238" i="4"/>
  <c r="F3238" i="4" s="1"/>
  <c r="G3237" i="4"/>
  <c r="E3237" i="4"/>
  <c r="F3237" i="4" s="1"/>
  <c r="G3236" i="4"/>
  <c r="E3236" i="4"/>
  <c r="F3236" i="4" s="1"/>
  <c r="G3235" i="4"/>
  <c r="E3235" i="4"/>
  <c r="F3235" i="4" s="1"/>
  <c r="G3234" i="4"/>
  <c r="F3234" i="4"/>
  <c r="E3234" i="4"/>
  <c r="G3233" i="4"/>
  <c r="E3233" i="4"/>
  <c r="F3233" i="4" s="1"/>
  <c r="G3232" i="4"/>
  <c r="E3232" i="4"/>
  <c r="F3232" i="4" s="1"/>
  <c r="G3231" i="4"/>
  <c r="E3231" i="4"/>
  <c r="F3231" i="4" s="1"/>
  <c r="G3230" i="4"/>
  <c r="E3230" i="4"/>
  <c r="F3230" i="4" s="1"/>
  <c r="G3229" i="4"/>
  <c r="E3229" i="4"/>
  <c r="F3229" i="4" s="1"/>
  <c r="G3228" i="4"/>
  <c r="E3228" i="4"/>
  <c r="F3228" i="4" s="1"/>
  <c r="G3227" i="4"/>
  <c r="E3227" i="4"/>
  <c r="F3227" i="4" s="1"/>
  <c r="G3226" i="4"/>
  <c r="E3226" i="4"/>
  <c r="F3226" i="4" s="1"/>
  <c r="G3225" i="4"/>
  <c r="E3225" i="4"/>
  <c r="F3225" i="4" s="1"/>
  <c r="G3224" i="4"/>
  <c r="F3224" i="4"/>
  <c r="E3224" i="4"/>
  <c r="G3223" i="4"/>
  <c r="E3223" i="4"/>
  <c r="F3223" i="4" s="1"/>
  <c r="G3222" i="4"/>
  <c r="E3222" i="4"/>
  <c r="F3222" i="4" s="1"/>
  <c r="G3221" i="4"/>
  <c r="E3221" i="4"/>
  <c r="F3221" i="4" s="1"/>
  <c r="G3220" i="4"/>
  <c r="F3220" i="4"/>
  <c r="E3220" i="4"/>
  <c r="G3219" i="4"/>
  <c r="E3219" i="4"/>
  <c r="F3219" i="4" s="1"/>
  <c r="G3218" i="4"/>
  <c r="E3218" i="4"/>
  <c r="F3218" i="4" s="1"/>
  <c r="G3217" i="4"/>
  <c r="E3217" i="4"/>
  <c r="F3217" i="4" s="1"/>
  <c r="G3216" i="4"/>
  <c r="F3216" i="4"/>
  <c r="E3216" i="4"/>
  <c r="G3215" i="4"/>
  <c r="E3215" i="4"/>
  <c r="F3215" i="4" s="1"/>
  <c r="G3214" i="4"/>
  <c r="E3214" i="4"/>
  <c r="F3214" i="4" s="1"/>
  <c r="G3213" i="4"/>
  <c r="E3213" i="4"/>
  <c r="F3213" i="4" s="1"/>
  <c r="G3212" i="4"/>
  <c r="E3212" i="4"/>
  <c r="F3212" i="4" s="1"/>
  <c r="G3211" i="4"/>
  <c r="E3211" i="4"/>
  <c r="F3211" i="4" s="1"/>
  <c r="G3210" i="4"/>
  <c r="E3210" i="4"/>
  <c r="F3210" i="4" s="1"/>
  <c r="G3209" i="4"/>
  <c r="E3209" i="4"/>
  <c r="F3209" i="4" s="1"/>
  <c r="G3208" i="4"/>
  <c r="E3208" i="4"/>
  <c r="F3208" i="4" s="1"/>
  <c r="G3207" i="4"/>
  <c r="E3207" i="4"/>
  <c r="F3207" i="4" s="1"/>
  <c r="G3206" i="4"/>
  <c r="F3206" i="4"/>
  <c r="E3206" i="4"/>
  <c r="G3205" i="4"/>
  <c r="E3205" i="4"/>
  <c r="F3205" i="4" s="1"/>
  <c r="G3204" i="4"/>
  <c r="E3204" i="4"/>
  <c r="F3204" i="4" s="1"/>
  <c r="G3203" i="4"/>
  <c r="E3203" i="4"/>
  <c r="F3203" i="4" s="1"/>
  <c r="G3202" i="4"/>
  <c r="E3202" i="4"/>
  <c r="F3202" i="4" s="1"/>
  <c r="G3201" i="4"/>
  <c r="E3201" i="4"/>
  <c r="F3201" i="4" s="1"/>
  <c r="G3200" i="4"/>
  <c r="E3200" i="4"/>
  <c r="F3200" i="4" s="1"/>
  <c r="G3199" i="4"/>
  <c r="E3199" i="4"/>
  <c r="F3199" i="4" s="1"/>
  <c r="G3198" i="4"/>
  <c r="E3198" i="4"/>
  <c r="F3198" i="4" s="1"/>
  <c r="G3197" i="4"/>
  <c r="E3197" i="4"/>
  <c r="F3197" i="4" s="1"/>
  <c r="G3196" i="4"/>
  <c r="F3196" i="4"/>
  <c r="E3196" i="4"/>
  <c r="G3195" i="4"/>
  <c r="E3195" i="4"/>
  <c r="F3195" i="4" s="1"/>
  <c r="G3194" i="4"/>
  <c r="E3194" i="4"/>
  <c r="F3194" i="4" s="1"/>
  <c r="G3193" i="4"/>
  <c r="F3193" i="4"/>
  <c r="E3193" i="4"/>
  <c r="G3192" i="4"/>
  <c r="E3192" i="4"/>
  <c r="F3192" i="4" s="1"/>
  <c r="G3191" i="4"/>
  <c r="E3191" i="4"/>
  <c r="F3191" i="4" s="1"/>
  <c r="G3190" i="4"/>
  <c r="E3190" i="4"/>
  <c r="F3190" i="4" s="1"/>
  <c r="G3189" i="4"/>
  <c r="F3189" i="4"/>
  <c r="E3189" i="4"/>
  <c r="G3188" i="4"/>
  <c r="E3188" i="4"/>
  <c r="F3188" i="4" s="1"/>
  <c r="G3187" i="4"/>
  <c r="E3187" i="4"/>
  <c r="F3187" i="4" s="1"/>
  <c r="G3186" i="4"/>
  <c r="E3186" i="4"/>
  <c r="F3186" i="4" s="1"/>
  <c r="G3185" i="4"/>
  <c r="E3185" i="4"/>
  <c r="F3185" i="4" s="1"/>
  <c r="G3184" i="4"/>
  <c r="F3184" i="4"/>
  <c r="E3184" i="4"/>
  <c r="G3183" i="4"/>
  <c r="E3183" i="4"/>
  <c r="F3183" i="4" s="1"/>
  <c r="G3182" i="4"/>
  <c r="E3182" i="4"/>
  <c r="F3182" i="4" s="1"/>
  <c r="G3181" i="4"/>
  <c r="E3181" i="4"/>
  <c r="F3181" i="4" s="1"/>
  <c r="G3180" i="4"/>
  <c r="F3180" i="4"/>
  <c r="E3180" i="4"/>
  <c r="G3179" i="4"/>
  <c r="E3179" i="4"/>
  <c r="F3179" i="4" s="1"/>
  <c r="G3178" i="4"/>
  <c r="E3178" i="4"/>
  <c r="F3178" i="4" s="1"/>
  <c r="G3177" i="4"/>
  <c r="E3177" i="4"/>
  <c r="F3177" i="4" s="1"/>
  <c r="G3176" i="4"/>
  <c r="E3176" i="4"/>
  <c r="F3176" i="4" s="1"/>
  <c r="G3175" i="4"/>
  <c r="E3175" i="4"/>
  <c r="F3175" i="4" s="1"/>
  <c r="G3174" i="4"/>
  <c r="E3174" i="4"/>
  <c r="F3174" i="4" s="1"/>
  <c r="G3173" i="4"/>
  <c r="F3173" i="4"/>
  <c r="E3173" i="4"/>
  <c r="G3172" i="4"/>
  <c r="F3172" i="4"/>
  <c r="E3172" i="4"/>
  <c r="G3171" i="4"/>
  <c r="E3171" i="4"/>
  <c r="F3171" i="4" s="1"/>
  <c r="G3170" i="4"/>
  <c r="E3170" i="4"/>
  <c r="F3170" i="4" s="1"/>
  <c r="G3169" i="4"/>
  <c r="F3169" i="4"/>
  <c r="E3169" i="4"/>
  <c r="G3168" i="4"/>
  <c r="E3168" i="4"/>
  <c r="F3168" i="4" s="1"/>
  <c r="G3167" i="4"/>
  <c r="E3167" i="4"/>
  <c r="F3167" i="4" s="1"/>
  <c r="G3166" i="4"/>
  <c r="E3166" i="4"/>
  <c r="F3166" i="4" s="1"/>
  <c r="G3165" i="4"/>
  <c r="E3165" i="4"/>
  <c r="F3165" i="4" s="1"/>
  <c r="G3164" i="4"/>
  <c r="F3164" i="4"/>
  <c r="E3164" i="4"/>
  <c r="G3163" i="4"/>
  <c r="E3163" i="4"/>
  <c r="F3163" i="4" s="1"/>
  <c r="G3162" i="4"/>
  <c r="E3162" i="4"/>
  <c r="F3162" i="4" s="1"/>
  <c r="G3161" i="4"/>
  <c r="E3161" i="4"/>
  <c r="F3161" i="4" s="1"/>
  <c r="G3160" i="4"/>
  <c r="F3160" i="4"/>
  <c r="E3160" i="4"/>
  <c r="G3159" i="4"/>
  <c r="E3159" i="4"/>
  <c r="F3159" i="4" s="1"/>
  <c r="G3158" i="4"/>
  <c r="F3158" i="4"/>
  <c r="E3158" i="4"/>
  <c r="G3157" i="4"/>
  <c r="E3157" i="4"/>
  <c r="F3157" i="4" s="1"/>
  <c r="G3156" i="4"/>
  <c r="E3156" i="4"/>
  <c r="F3156" i="4" s="1"/>
  <c r="G3155" i="4"/>
  <c r="E3155" i="4"/>
  <c r="F3155" i="4" s="1"/>
  <c r="G3154" i="4"/>
  <c r="E3154" i="4"/>
  <c r="F3154" i="4" s="1"/>
  <c r="G3153" i="4"/>
  <c r="E3153" i="4"/>
  <c r="F3153" i="4" s="1"/>
  <c r="G3152" i="4"/>
  <c r="F3152" i="4"/>
  <c r="E3152" i="4"/>
  <c r="G3151" i="4"/>
  <c r="E3151" i="4"/>
  <c r="F3151" i="4" s="1"/>
  <c r="G3150" i="4"/>
  <c r="E3150" i="4"/>
  <c r="F3150" i="4" s="1"/>
  <c r="G3149" i="4"/>
  <c r="E3149" i="4"/>
  <c r="F3149" i="4" s="1"/>
  <c r="G3148" i="4"/>
  <c r="E3148" i="4"/>
  <c r="F3148" i="4" s="1"/>
  <c r="G3147" i="4"/>
  <c r="E3147" i="4"/>
  <c r="F3147" i="4" s="1"/>
  <c r="G3146" i="4"/>
  <c r="F3146" i="4"/>
  <c r="E3146" i="4"/>
  <c r="G3145" i="4"/>
  <c r="E3145" i="4"/>
  <c r="F3145" i="4" s="1"/>
  <c r="G3144" i="4"/>
  <c r="E3144" i="4"/>
  <c r="F3144" i="4" s="1"/>
  <c r="G3143" i="4"/>
  <c r="E3143" i="4"/>
  <c r="F3143" i="4" s="1"/>
  <c r="G3142" i="4"/>
  <c r="E3142" i="4"/>
  <c r="F3142" i="4" s="1"/>
  <c r="G3141" i="4"/>
  <c r="E3141" i="4"/>
  <c r="F3141" i="4" s="1"/>
  <c r="G3140" i="4"/>
  <c r="E3140" i="4"/>
  <c r="F3140" i="4" s="1"/>
  <c r="G3139" i="4"/>
  <c r="E3139" i="4"/>
  <c r="F3139" i="4" s="1"/>
  <c r="G3138" i="4"/>
  <c r="E3138" i="4"/>
  <c r="F3138" i="4" s="1"/>
  <c r="G3137" i="4"/>
  <c r="F3137" i="4"/>
  <c r="E3137" i="4"/>
  <c r="G3136" i="4"/>
  <c r="E3136" i="4"/>
  <c r="F3136" i="4" s="1"/>
  <c r="G3135" i="4"/>
  <c r="E3135" i="4"/>
  <c r="F3135" i="4" s="1"/>
  <c r="G3134" i="4"/>
  <c r="E3134" i="4"/>
  <c r="F3134" i="4" s="1"/>
  <c r="G3133" i="4"/>
  <c r="F3133" i="4"/>
  <c r="E3133" i="4"/>
  <c r="G3132" i="4"/>
  <c r="E3132" i="4"/>
  <c r="F3132" i="4" s="1"/>
  <c r="G3131" i="4"/>
  <c r="E3131" i="4"/>
  <c r="F3131" i="4" s="1"/>
  <c r="G3130" i="4"/>
  <c r="E3130" i="4"/>
  <c r="F3130" i="4" s="1"/>
  <c r="G3129" i="4"/>
  <c r="F3129" i="4"/>
  <c r="E3129" i="4"/>
  <c r="G3128" i="4"/>
  <c r="E3128" i="4"/>
  <c r="F3128" i="4" s="1"/>
  <c r="G3127" i="4"/>
  <c r="E3127" i="4"/>
  <c r="F3127" i="4" s="1"/>
  <c r="G3126" i="4"/>
  <c r="E3126" i="4"/>
  <c r="F3126" i="4" s="1"/>
  <c r="G3125" i="4"/>
  <c r="E3125" i="4"/>
  <c r="F3125" i="4" s="1"/>
  <c r="G3124" i="4"/>
  <c r="E3124" i="4"/>
  <c r="F3124" i="4" s="1"/>
  <c r="G3123" i="4"/>
  <c r="E3123" i="4"/>
  <c r="F3123" i="4" s="1"/>
  <c r="G3122" i="4"/>
  <c r="E3122" i="4"/>
  <c r="F3122" i="4" s="1"/>
  <c r="G3121" i="4"/>
  <c r="E3121" i="4"/>
  <c r="F3121" i="4" s="1"/>
  <c r="G3120" i="4"/>
  <c r="E3120" i="4"/>
  <c r="F3120" i="4" s="1"/>
  <c r="G3119" i="4"/>
  <c r="E3119" i="4"/>
  <c r="F3119" i="4" s="1"/>
  <c r="G3118" i="4"/>
  <c r="F3118" i="4"/>
  <c r="E3118" i="4"/>
  <c r="G3117" i="4"/>
  <c r="E3117" i="4"/>
  <c r="F3117" i="4" s="1"/>
  <c r="G3116" i="4"/>
  <c r="E3116" i="4"/>
  <c r="F3116" i="4" s="1"/>
  <c r="G3115" i="4"/>
  <c r="E3115" i="4"/>
  <c r="F3115" i="4" s="1"/>
  <c r="G3114" i="4"/>
  <c r="E3114" i="4"/>
  <c r="F3114" i="4" s="1"/>
  <c r="G3113" i="4"/>
  <c r="E3113" i="4"/>
  <c r="F3113" i="4" s="1"/>
  <c r="G3112" i="4"/>
  <c r="E3112" i="4"/>
  <c r="F3112" i="4" s="1"/>
  <c r="G3111" i="4"/>
  <c r="E3111" i="4"/>
  <c r="F3111" i="4" s="1"/>
  <c r="G3110" i="4"/>
  <c r="E3110" i="4"/>
  <c r="F3110" i="4" s="1"/>
  <c r="G3109" i="4"/>
  <c r="F3109" i="4"/>
  <c r="E3109" i="4"/>
  <c r="G3108" i="4"/>
  <c r="E3108" i="4"/>
  <c r="F3108" i="4" s="1"/>
  <c r="G3107" i="4"/>
  <c r="E3107" i="4"/>
  <c r="F3107" i="4" s="1"/>
  <c r="G3106" i="4"/>
  <c r="E3106" i="4"/>
  <c r="F3106" i="4" s="1"/>
  <c r="G3105" i="4"/>
  <c r="F3105" i="4"/>
  <c r="E3105" i="4"/>
  <c r="G3104" i="4"/>
  <c r="E3104" i="4"/>
  <c r="F3104" i="4" s="1"/>
  <c r="G3103" i="4"/>
  <c r="E3103" i="4"/>
  <c r="F3103" i="4" s="1"/>
  <c r="G3102" i="4"/>
  <c r="E3102" i="4"/>
  <c r="F3102" i="4" s="1"/>
  <c r="G3101" i="4"/>
  <c r="E3101" i="4"/>
  <c r="F3101" i="4" s="1"/>
  <c r="G3100" i="4"/>
  <c r="E3100" i="4"/>
  <c r="F3100" i="4" s="1"/>
  <c r="G3099" i="4"/>
  <c r="E3099" i="4"/>
  <c r="F3099" i="4" s="1"/>
  <c r="G3098" i="4"/>
  <c r="E3098" i="4"/>
  <c r="F3098" i="4" s="1"/>
  <c r="G3097" i="4"/>
  <c r="E3097" i="4"/>
  <c r="F3097" i="4" s="1"/>
  <c r="G3096" i="4"/>
  <c r="F3096" i="4"/>
  <c r="E3096" i="4"/>
  <c r="G3095" i="4"/>
  <c r="E3095" i="4"/>
  <c r="F3095" i="4" s="1"/>
  <c r="G3094" i="4"/>
  <c r="E3094" i="4"/>
  <c r="F3094" i="4" s="1"/>
  <c r="G3093" i="4"/>
  <c r="F3093" i="4"/>
  <c r="E3093" i="4"/>
  <c r="G3092" i="4"/>
  <c r="E3092" i="4"/>
  <c r="F3092" i="4" s="1"/>
  <c r="G3091" i="4"/>
  <c r="E3091" i="4"/>
  <c r="F3091" i="4" s="1"/>
  <c r="G3090" i="4"/>
  <c r="E3090" i="4"/>
  <c r="F3090" i="4" s="1"/>
  <c r="G3089" i="4"/>
  <c r="E3089" i="4"/>
  <c r="F3089" i="4" s="1"/>
  <c r="G3088" i="4"/>
  <c r="E3088" i="4"/>
  <c r="F3088" i="4" s="1"/>
  <c r="G3087" i="4"/>
  <c r="E3087" i="4"/>
  <c r="F3087" i="4" s="1"/>
  <c r="G3086" i="4"/>
  <c r="F3086" i="4"/>
  <c r="E3086" i="4"/>
  <c r="G3085" i="4"/>
  <c r="E3085" i="4"/>
  <c r="F3085" i="4" s="1"/>
  <c r="G3084" i="4"/>
  <c r="E3084" i="4"/>
  <c r="F3084" i="4" s="1"/>
  <c r="G3083" i="4"/>
  <c r="E3083" i="4"/>
  <c r="F3083" i="4" s="1"/>
  <c r="G3082" i="4"/>
  <c r="E3082" i="4"/>
  <c r="F3082" i="4" s="1"/>
  <c r="G3081" i="4"/>
  <c r="E3081" i="4"/>
  <c r="F3081" i="4" s="1"/>
  <c r="G3080" i="4"/>
  <c r="E3080" i="4"/>
  <c r="F3080" i="4" s="1"/>
  <c r="G3079" i="4"/>
  <c r="E3079" i="4"/>
  <c r="F3079" i="4" s="1"/>
  <c r="G3078" i="4"/>
  <c r="E3078" i="4"/>
  <c r="F3078" i="4" s="1"/>
  <c r="G3077" i="4"/>
  <c r="E3077" i="4"/>
  <c r="F3077" i="4" s="1"/>
  <c r="G3076" i="4"/>
  <c r="F3076" i="4"/>
  <c r="E3076" i="4"/>
  <c r="G3075" i="4"/>
  <c r="E3075" i="4"/>
  <c r="F3075" i="4" s="1"/>
  <c r="G3074" i="4"/>
  <c r="E3074" i="4"/>
  <c r="F3074" i="4" s="1"/>
  <c r="G3073" i="4"/>
  <c r="F3073" i="4"/>
  <c r="E3073" i="4"/>
  <c r="G3072" i="4"/>
  <c r="F3072" i="4"/>
  <c r="E3072" i="4"/>
  <c r="G3071" i="4"/>
  <c r="E3071" i="4"/>
  <c r="F3071" i="4" s="1"/>
  <c r="G3070" i="4"/>
  <c r="F3070" i="4"/>
  <c r="E3070" i="4"/>
  <c r="G3069" i="4"/>
  <c r="F3069" i="4"/>
  <c r="E3069" i="4"/>
  <c r="G3068" i="4"/>
  <c r="E3068" i="4"/>
  <c r="F3068" i="4" s="1"/>
  <c r="G3067" i="4"/>
  <c r="E3067" i="4"/>
  <c r="F3067" i="4" s="1"/>
  <c r="G3066" i="4"/>
  <c r="E3066" i="4"/>
  <c r="F3066" i="4" s="1"/>
  <c r="G3065" i="4"/>
  <c r="E3065" i="4"/>
  <c r="F3065" i="4" s="1"/>
  <c r="G3064" i="4"/>
  <c r="E3064" i="4"/>
  <c r="F3064" i="4" s="1"/>
  <c r="G3063" i="4"/>
  <c r="E3063" i="4"/>
  <c r="F3063" i="4" s="1"/>
  <c r="G3062" i="4"/>
  <c r="F3062" i="4"/>
  <c r="E3062" i="4"/>
  <c r="G3061" i="4"/>
  <c r="F3061" i="4"/>
  <c r="E3061" i="4"/>
  <c r="G3060" i="4"/>
  <c r="E3060" i="4"/>
  <c r="F3060" i="4" s="1"/>
  <c r="G3059" i="4"/>
  <c r="E3059" i="4"/>
  <c r="F3059" i="4" s="1"/>
  <c r="G3058" i="4"/>
  <c r="E3058" i="4"/>
  <c r="F3058" i="4" s="1"/>
  <c r="G3057" i="4"/>
  <c r="E3057" i="4"/>
  <c r="F3057" i="4" s="1"/>
  <c r="G3056" i="4"/>
  <c r="E3056" i="4"/>
  <c r="F3056" i="4" s="1"/>
  <c r="G3055" i="4"/>
  <c r="E3055" i="4"/>
  <c r="F3055" i="4" s="1"/>
  <c r="G3054" i="4"/>
  <c r="E3054" i="4"/>
  <c r="F3054" i="4" s="1"/>
  <c r="G3053" i="4"/>
  <c r="E3053" i="4"/>
  <c r="F3053" i="4" s="1"/>
  <c r="G3052" i="4"/>
  <c r="E3052" i="4"/>
  <c r="F3052" i="4" s="1"/>
  <c r="G3051" i="4"/>
  <c r="E3051" i="4"/>
  <c r="F3051" i="4" s="1"/>
  <c r="G3050" i="4"/>
  <c r="E3050" i="4"/>
  <c r="F3050" i="4" s="1"/>
  <c r="G3049" i="4"/>
  <c r="F3049" i="4"/>
  <c r="E3049" i="4"/>
  <c r="G3048" i="4"/>
  <c r="E3048" i="4"/>
  <c r="F3048" i="4" s="1"/>
  <c r="G3047" i="4"/>
  <c r="E3047" i="4"/>
  <c r="F3047" i="4" s="1"/>
  <c r="G3046" i="4"/>
  <c r="E3046" i="4"/>
  <c r="F3046" i="4" s="1"/>
  <c r="G3045" i="4"/>
  <c r="F3045" i="4"/>
  <c r="E3045" i="4"/>
  <c r="G3044" i="4"/>
  <c r="E3044" i="4"/>
  <c r="F3044" i="4" s="1"/>
  <c r="G3043" i="4"/>
  <c r="E3043" i="4"/>
  <c r="F3043" i="4" s="1"/>
  <c r="G3042" i="4"/>
  <c r="E3042" i="4"/>
  <c r="F3042" i="4" s="1"/>
  <c r="G3041" i="4"/>
  <c r="F3041" i="4"/>
  <c r="E3041" i="4"/>
  <c r="G3040" i="4"/>
  <c r="F3040" i="4"/>
  <c r="E3040" i="4"/>
  <c r="G3039" i="4"/>
  <c r="E3039" i="4"/>
  <c r="F3039" i="4" s="1"/>
  <c r="G3038" i="4"/>
  <c r="E3038" i="4"/>
  <c r="F3038" i="4" s="1"/>
  <c r="G3037" i="4"/>
  <c r="E3037" i="4"/>
  <c r="F3037" i="4" s="1"/>
  <c r="G3036" i="4"/>
  <c r="F3036" i="4"/>
  <c r="E3036" i="4"/>
  <c r="G3035" i="4"/>
  <c r="E3035" i="4"/>
  <c r="F3035" i="4" s="1"/>
  <c r="G3034" i="4"/>
  <c r="E3034" i="4"/>
  <c r="F3034" i="4" s="1"/>
  <c r="G3033" i="4"/>
  <c r="F3033" i="4"/>
  <c r="E3033" i="4"/>
  <c r="G3032" i="4"/>
  <c r="E3032" i="4"/>
  <c r="F3032" i="4" s="1"/>
  <c r="G3031" i="4"/>
  <c r="E3031" i="4"/>
  <c r="F3031" i="4" s="1"/>
  <c r="G3030" i="4"/>
  <c r="E3030" i="4"/>
  <c r="F3030" i="4" s="1"/>
  <c r="G3029" i="4"/>
  <c r="E3029" i="4"/>
  <c r="F3029" i="4" s="1"/>
  <c r="G3028" i="4"/>
  <c r="E3028" i="4"/>
  <c r="F3028" i="4" s="1"/>
  <c r="G3027" i="4"/>
  <c r="E3027" i="4"/>
  <c r="F3027" i="4" s="1"/>
  <c r="G3026" i="4"/>
  <c r="E3026" i="4"/>
  <c r="F3026" i="4" s="1"/>
  <c r="G3025" i="4"/>
  <c r="E3025" i="4"/>
  <c r="F3025" i="4" s="1"/>
  <c r="G3024" i="4"/>
  <c r="E3024" i="4"/>
  <c r="F3024" i="4" s="1"/>
  <c r="G3023" i="4"/>
  <c r="E3023" i="4"/>
  <c r="F3023" i="4" s="1"/>
  <c r="G3022" i="4"/>
  <c r="E3022" i="4"/>
  <c r="F3022" i="4" s="1"/>
  <c r="G3021" i="4"/>
  <c r="F3021" i="4"/>
  <c r="E3021" i="4"/>
  <c r="G3020" i="4"/>
  <c r="E3020" i="4"/>
  <c r="F3020" i="4" s="1"/>
  <c r="G3019" i="4"/>
  <c r="E3019" i="4"/>
  <c r="F3019" i="4" s="1"/>
  <c r="G3018" i="4"/>
  <c r="E3018" i="4"/>
  <c r="F3018" i="4" s="1"/>
  <c r="G3017" i="4"/>
  <c r="F3017" i="4"/>
  <c r="E3017" i="4"/>
  <c r="G3016" i="4"/>
  <c r="E3016" i="4"/>
  <c r="F3016" i="4" s="1"/>
  <c r="G3015" i="4"/>
  <c r="E3015" i="4"/>
  <c r="F3015" i="4" s="1"/>
  <c r="G3014" i="4"/>
  <c r="E3014" i="4"/>
  <c r="F3014" i="4" s="1"/>
  <c r="G3013" i="4"/>
  <c r="E3013" i="4"/>
  <c r="F3013" i="4" s="1"/>
  <c r="G3012" i="4"/>
  <c r="F3012" i="4"/>
  <c r="E3012" i="4"/>
  <c r="G3011" i="4"/>
  <c r="E3011" i="4"/>
  <c r="F3011" i="4" s="1"/>
  <c r="G3010" i="4"/>
  <c r="E3010" i="4"/>
  <c r="F3010" i="4" s="1"/>
  <c r="G3009" i="4"/>
  <c r="E3009" i="4"/>
  <c r="F3009" i="4" s="1"/>
  <c r="G3008" i="4"/>
  <c r="F3008" i="4"/>
  <c r="E3008" i="4"/>
  <c r="G3007" i="4"/>
  <c r="E3007" i="4"/>
  <c r="F3007" i="4" s="1"/>
  <c r="G3006" i="4"/>
  <c r="E3006" i="4"/>
  <c r="F3006" i="4" s="1"/>
  <c r="G3005" i="4"/>
  <c r="F3005" i="4"/>
  <c r="E3005" i="4"/>
  <c r="G3004" i="4"/>
  <c r="F3004" i="4"/>
  <c r="E3004" i="4"/>
  <c r="G3003" i="4"/>
  <c r="E3003" i="4"/>
  <c r="F3003" i="4" s="1"/>
  <c r="G3002" i="4"/>
  <c r="E3002" i="4"/>
  <c r="F3002" i="4" s="1"/>
  <c r="G3001" i="4"/>
  <c r="E3001" i="4"/>
  <c r="F3001" i="4" s="1"/>
  <c r="G3000" i="4"/>
  <c r="E3000" i="4"/>
  <c r="F3000" i="4" s="1"/>
  <c r="G2999" i="4"/>
  <c r="E2999" i="4"/>
  <c r="F2999" i="4" s="1"/>
  <c r="G2998" i="4"/>
  <c r="E2998" i="4"/>
  <c r="F2998" i="4" s="1"/>
  <c r="G2997" i="4"/>
  <c r="F2997" i="4"/>
  <c r="E2997" i="4"/>
  <c r="G2996" i="4"/>
  <c r="F2996" i="4"/>
  <c r="E2996" i="4"/>
  <c r="G2995" i="4"/>
  <c r="E2995" i="4"/>
  <c r="F2995" i="4" s="1"/>
  <c r="G2994" i="4"/>
  <c r="F2994" i="4"/>
  <c r="E2994" i="4"/>
  <c r="G2993" i="4"/>
  <c r="E2993" i="4"/>
  <c r="F2993" i="4" s="1"/>
  <c r="G2992" i="4"/>
  <c r="E2992" i="4"/>
  <c r="F2992" i="4" s="1"/>
  <c r="G2991" i="4"/>
  <c r="E2991" i="4"/>
  <c r="F2991" i="4" s="1"/>
  <c r="G2990" i="4"/>
  <c r="E2990" i="4"/>
  <c r="F2990" i="4" s="1"/>
  <c r="G2989" i="4"/>
  <c r="F2989" i="4"/>
  <c r="E2989" i="4"/>
  <c r="G2988" i="4"/>
  <c r="E2988" i="4"/>
  <c r="F2988" i="4" s="1"/>
  <c r="G2987" i="4"/>
  <c r="E2987" i="4"/>
  <c r="F2987" i="4" s="1"/>
  <c r="G2986" i="4"/>
  <c r="E2986" i="4"/>
  <c r="F2986" i="4" s="1"/>
  <c r="G2985" i="4"/>
  <c r="F2985" i="4"/>
  <c r="E2985" i="4"/>
  <c r="G2984" i="4"/>
  <c r="E2984" i="4"/>
  <c r="F2984" i="4" s="1"/>
  <c r="G2983" i="4"/>
  <c r="E2983" i="4"/>
  <c r="F2983" i="4" s="1"/>
  <c r="G2982" i="4"/>
  <c r="E2982" i="4"/>
  <c r="F2982" i="4" s="1"/>
  <c r="G2981" i="4"/>
  <c r="E2981" i="4"/>
  <c r="F2981" i="4" s="1"/>
  <c r="G2980" i="4"/>
  <c r="E2980" i="4"/>
  <c r="F2980" i="4" s="1"/>
  <c r="G2979" i="4"/>
  <c r="E2979" i="4"/>
  <c r="F2979" i="4" s="1"/>
  <c r="G2978" i="4"/>
  <c r="E2978" i="4"/>
  <c r="F2978" i="4" s="1"/>
  <c r="G2977" i="4"/>
  <c r="E2977" i="4"/>
  <c r="F2977" i="4" s="1"/>
  <c r="G2976" i="4"/>
  <c r="E2976" i="4"/>
  <c r="F2976" i="4" s="1"/>
  <c r="G2975" i="4"/>
  <c r="E2975" i="4"/>
  <c r="F2975" i="4" s="1"/>
  <c r="G2974" i="4"/>
  <c r="F2974" i="4"/>
  <c r="E2974" i="4"/>
  <c r="G2973" i="4"/>
  <c r="F2973" i="4"/>
  <c r="E2973" i="4"/>
  <c r="G2972" i="4"/>
  <c r="F2972" i="4"/>
  <c r="E2972" i="4"/>
  <c r="G2971" i="4"/>
  <c r="E2971" i="4"/>
  <c r="F2971" i="4" s="1"/>
  <c r="G2970" i="4"/>
  <c r="E2970" i="4"/>
  <c r="F2970" i="4" s="1"/>
  <c r="G2969" i="4"/>
  <c r="E2969" i="4"/>
  <c r="F2969" i="4" s="1"/>
  <c r="G2968" i="4"/>
  <c r="E2968" i="4"/>
  <c r="F2968" i="4" s="1"/>
  <c r="G2967" i="4"/>
  <c r="E2967" i="4"/>
  <c r="F2967" i="4" s="1"/>
  <c r="G2966" i="4"/>
  <c r="E2966" i="4"/>
  <c r="F2966" i="4" s="1"/>
  <c r="G2965" i="4"/>
  <c r="F2965" i="4"/>
  <c r="E2965" i="4"/>
  <c r="G2964" i="4"/>
  <c r="F2964" i="4"/>
  <c r="E2964" i="4"/>
  <c r="G2963" i="4"/>
  <c r="E2963" i="4"/>
  <c r="F2963" i="4" s="1"/>
  <c r="G2962" i="4"/>
  <c r="E2962" i="4"/>
  <c r="F2962" i="4" s="1"/>
  <c r="G2961" i="4"/>
  <c r="F2961" i="4"/>
  <c r="E2961" i="4"/>
  <c r="G2960" i="4"/>
  <c r="E2960" i="4"/>
  <c r="F2960" i="4" s="1"/>
  <c r="G2959" i="4"/>
  <c r="E2959" i="4"/>
  <c r="F2959" i="4" s="1"/>
  <c r="G2958" i="4"/>
  <c r="E2958" i="4"/>
  <c r="F2958" i="4" s="1"/>
  <c r="G2957" i="4"/>
  <c r="F2957" i="4"/>
  <c r="E2957" i="4"/>
  <c r="G2956" i="4"/>
  <c r="E2956" i="4"/>
  <c r="F2956" i="4" s="1"/>
  <c r="G2955" i="4"/>
  <c r="E2955" i="4"/>
  <c r="F2955" i="4" s="1"/>
  <c r="G2954" i="4"/>
  <c r="E2954" i="4"/>
  <c r="F2954" i="4" s="1"/>
  <c r="G2953" i="4"/>
  <c r="F2953" i="4"/>
  <c r="E2953" i="4"/>
  <c r="G2952" i="4"/>
  <c r="F2952" i="4"/>
  <c r="E2952" i="4"/>
  <c r="G2951" i="4"/>
  <c r="E2951" i="4"/>
  <c r="F2951" i="4" s="1"/>
  <c r="G2950" i="4"/>
  <c r="E2950" i="4"/>
  <c r="F2950" i="4" s="1"/>
  <c r="G2949" i="4"/>
  <c r="E2949" i="4"/>
  <c r="F2949" i="4" s="1"/>
  <c r="G2948" i="4"/>
  <c r="F2948" i="4"/>
  <c r="E2948" i="4"/>
  <c r="G2947" i="4"/>
  <c r="E2947" i="4"/>
  <c r="F2947" i="4" s="1"/>
  <c r="G2946" i="4"/>
  <c r="E2946" i="4"/>
  <c r="F2946" i="4" s="1"/>
  <c r="G2945" i="4"/>
  <c r="E2945" i="4"/>
  <c r="F2945" i="4" s="1"/>
  <c r="G2944" i="4"/>
  <c r="F2944" i="4"/>
  <c r="E2944" i="4"/>
  <c r="G2943" i="4"/>
  <c r="E2943" i="4"/>
  <c r="F2943" i="4" s="1"/>
  <c r="G2942" i="4"/>
  <c r="E2942" i="4"/>
  <c r="F2942" i="4" s="1"/>
  <c r="G2941" i="4"/>
  <c r="E2941" i="4"/>
  <c r="F2941" i="4" s="1"/>
  <c r="G2940" i="4"/>
  <c r="E2940" i="4"/>
  <c r="F2940" i="4" s="1"/>
  <c r="G2939" i="4"/>
  <c r="E2939" i="4"/>
  <c r="F2939" i="4" s="1"/>
  <c r="G2938" i="4"/>
  <c r="E2938" i="4"/>
  <c r="F2938" i="4" s="1"/>
  <c r="G2937" i="4"/>
  <c r="F2937" i="4"/>
  <c r="E2937" i="4"/>
  <c r="G2936" i="4"/>
  <c r="F2936" i="4"/>
  <c r="E2936" i="4"/>
  <c r="G2935" i="4"/>
  <c r="E2935" i="4"/>
  <c r="F2935" i="4" s="1"/>
  <c r="G2934" i="4"/>
  <c r="E2934" i="4"/>
  <c r="F2934" i="4" s="1"/>
  <c r="G2933" i="4"/>
  <c r="F2933" i="4"/>
  <c r="E2933" i="4"/>
  <c r="G2932" i="4"/>
  <c r="E2932" i="4"/>
  <c r="F2932" i="4" s="1"/>
  <c r="G2931" i="4"/>
  <c r="E2931" i="4"/>
  <c r="F2931" i="4" s="1"/>
  <c r="G2930" i="4"/>
  <c r="E2930" i="4"/>
  <c r="F2930" i="4" s="1"/>
  <c r="G2929" i="4"/>
  <c r="F2929" i="4"/>
  <c r="E2929" i="4"/>
  <c r="G2928" i="4"/>
  <c r="E2928" i="4"/>
  <c r="F2928" i="4" s="1"/>
  <c r="G2927" i="4"/>
  <c r="E2927" i="4"/>
  <c r="F2927" i="4" s="1"/>
  <c r="G2926" i="4"/>
  <c r="E2926" i="4"/>
  <c r="F2926" i="4" s="1"/>
  <c r="G2925" i="4"/>
  <c r="E2925" i="4"/>
  <c r="F2925" i="4" s="1"/>
  <c r="G2924" i="4"/>
  <c r="F2924" i="4"/>
  <c r="E2924" i="4"/>
  <c r="G2923" i="4"/>
  <c r="E2923" i="4"/>
  <c r="F2923" i="4" s="1"/>
  <c r="G2922" i="4"/>
  <c r="E2922" i="4"/>
  <c r="F2922" i="4" s="1"/>
  <c r="G2921" i="4"/>
  <c r="E2921" i="4"/>
  <c r="F2921" i="4" s="1"/>
  <c r="G2920" i="4"/>
  <c r="F2920" i="4"/>
  <c r="E2920" i="4"/>
  <c r="G2919" i="4"/>
  <c r="E2919" i="4"/>
  <c r="F2919" i="4" s="1"/>
  <c r="G2918" i="4"/>
  <c r="E2918" i="4"/>
  <c r="F2918" i="4" s="1"/>
  <c r="G2917" i="4"/>
  <c r="E2917" i="4"/>
  <c r="F2917" i="4" s="1"/>
  <c r="G2916" i="4"/>
  <c r="E2916" i="4"/>
  <c r="F2916" i="4" s="1"/>
  <c r="G2915" i="4"/>
  <c r="E2915" i="4"/>
  <c r="F2915" i="4" s="1"/>
  <c r="G2914" i="4"/>
  <c r="E2914" i="4"/>
  <c r="F2914" i="4" s="1"/>
  <c r="G2913" i="4"/>
  <c r="E2913" i="4"/>
  <c r="F2913" i="4" s="1"/>
  <c r="G2912" i="4"/>
  <c r="E2912" i="4"/>
  <c r="F2912" i="4" s="1"/>
  <c r="G2911" i="4"/>
  <c r="E2911" i="4"/>
  <c r="F2911" i="4" s="1"/>
  <c r="G2910" i="4"/>
  <c r="F2910" i="4"/>
  <c r="E2910" i="4"/>
  <c r="G2909" i="4"/>
  <c r="E2909" i="4"/>
  <c r="F2909" i="4" s="1"/>
  <c r="G2908" i="4"/>
  <c r="E2908" i="4"/>
  <c r="F2908" i="4" s="1"/>
  <c r="G2907" i="4"/>
  <c r="E2907" i="4"/>
  <c r="F2907" i="4" s="1"/>
  <c r="G2906" i="4"/>
  <c r="E2906" i="4"/>
  <c r="F2906" i="4" s="1"/>
  <c r="G2905" i="4"/>
  <c r="F2905" i="4"/>
  <c r="E2905" i="4"/>
  <c r="G2904" i="4"/>
  <c r="F2904" i="4"/>
  <c r="E2904" i="4"/>
  <c r="G2903" i="4"/>
  <c r="E2903" i="4"/>
  <c r="F2903" i="4" s="1"/>
  <c r="G2902" i="4"/>
  <c r="E2902" i="4"/>
  <c r="F2902" i="4" s="1"/>
  <c r="G2901" i="4"/>
  <c r="F2901" i="4"/>
  <c r="E2901" i="4"/>
  <c r="G2900" i="4"/>
  <c r="E2900" i="4"/>
  <c r="F2900" i="4" s="1"/>
  <c r="G2899" i="4"/>
  <c r="E2899" i="4"/>
  <c r="F2899" i="4" s="1"/>
  <c r="G2898" i="4"/>
  <c r="E2898" i="4"/>
  <c r="F2898" i="4" s="1"/>
  <c r="G2897" i="4"/>
  <c r="E2897" i="4"/>
  <c r="F2897" i="4" s="1"/>
  <c r="G2896" i="4"/>
  <c r="F2896" i="4"/>
  <c r="E2896" i="4"/>
  <c r="G2895" i="4"/>
  <c r="E2895" i="4"/>
  <c r="F2895" i="4" s="1"/>
  <c r="G2894" i="4"/>
  <c r="E2894" i="4"/>
  <c r="F2894" i="4" s="1"/>
  <c r="G2893" i="4"/>
  <c r="E2893" i="4"/>
  <c r="F2893" i="4" s="1"/>
  <c r="G2892" i="4"/>
  <c r="F2892" i="4"/>
  <c r="E2892" i="4"/>
  <c r="G2891" i="4"/>
  <c r="E2891" i="4"/>
  <c r="F2891" i="4" s="1"/>
  <c r="G2890" i="4"/>
  <c r="F2890" i="4"/>
  <c r="E2890" i="4"/>
  <c r="G2889" i="4"/>
  <c r="F2889" i="4"/>
  <c r="E2889" i="4"/>
  <c r="G2888" i="4"/>
  <c r="E2888" i="4"/>
  <c r="F2888" i="4" s="1"/>
  <c r="G2887" i="4"/>
  <c r="E2887" i="4"/>
  <c r="F2887" i="4" s="1"/>
  <c r="G2886" i="4"/>
  <c r="E2886" i="4"/>
  <c r="F2886" i="4" s="1"/>
  <c r="G2885" i="4"/>
  <c r="E2885" i="4"/>
  <c r="F2885" i="4" s="1"/>
  <c r="G2884" i="4"/>
  <c r="E2884" i="4"/>
  <c r="F2884" i="4" s="1"/>
  <c r="G2883" i="4"/>
  <c r="E2883" i="4"/>
  <c r="F2883" i="4" s="1"/>
  <c r="G2882" i="4"/>
  <c r="E2882" i="4"/>
  <c r="F2882" i="4" s="1"/>
  <c r="G2881" i="4"/>
  <c r="E2881" i="4"/>
  <c r="F2881" i="4" s="1"/>
  <c r="G2880" i="4"/>
  <c r="E2880" i="4"/>
  <c r="F2880" i="4" s="1"/>
  <c r="G2879" i="4"/>
  <c r="E2879" i="4"/>
  <c r="F2879" i="4" s="1"/>
  <c r="G2878" i="4"/>
  <c r="F2878" i="4"/>
  <c r="E2878" i="4"/>
  <c r="G2877" i="4"/>
  <c r="E2877" i="4"/>
  <c r="F2877" i="4" s="1"/>
  <c r="G2876" i="4"/>
  <c r="E2876" i="4"/>
  <c r="F2876" i="4" s="1"/>
  <c r="G2875" i="4"/>
  <c r="E2875" i="4"/>
  <c r="F2875" i="4" s="1"/>
  <c r="G2874" i="4"/>
  <c r="E2874" i="4"/>
  <c r="F2874" i="4" s="1"/>
  <c r="G2873" i="4"/>
  <c r="E2873" i="4"/>
  <c r="F2873" i="4" s="1"/>
  <c r="G2872" i="4"/>
  <c r="E2872" i="4"/>
  <c r="F2872" i="4" s="1"/>
  <c r="G2871" i="4"/>
  <c r="E2871" i="4"/>
  <c r="F2871" i="4" s="1"/>
  <c r="G2870" i="4"/>
  <c r="E2870" i="4"/>
  <c r="F2870" i="4" s="1"/>
  <c r="G2869" i="4"/>
  <c r="F2869" i="4"/>
  <c r="E2869" i="4"/>
  <c r="G2868" i="4"/>
  <c r="E2868" i="4"/>
  <c r="F2868" i="4" s="1"/>
  <c r="G2867" i="4"/>
  <c r="E2867" i="4"/>
  <c r="F2867" i="4" s="1"/>
  <c r="G2866" i="4"/>
  <c r="E2866" i="4"/>
  <c r="F2866" i="4" s="1"/>
  <c r="G2865" i="4"/>
  <c r="F2865" i="4"/>
  <c r="E2865" i="4"/>
  <c r="G2864" i="4"/>
  <c r="E2864" i="4"/>
  <c r="F2864" i="4" s="1"/>
  <c r="G2863" i="4"/>
  <c r="E2863" i="4"/>
  <c r="F2863" i="4" s="1"/>
  <c r="G2862" i="4"/>
  <c r="E2862" i="4"/>
  <c r="F2862" i="4" s="1"/>
  <c r="G2861" i="4"/>
  <c r="E2861" i="4"/>
  <c r="F2861" i="4" s="1"/>
  <c r="G2860" i="4"/>
  <c r="F2860" i="4"/>
  <c r="E2860" i="4"/>
  <c r="G2859" i="4"/>
  <c r="E2859" i="4"/>
  <c r="F2859" i="4" s="1"/>
  <c r="G2858" i="4"/>
  <c r="F2858" i="4"/>
  <c r="E2858" i="4"/>
  <c r="G2857" i="4"/>
  <c r="E2857" i="4"/>
  <c r="F2857" i="4" s="1"/>
  <c r="G2856" i="4"/>
  <c r="E2856" i="4"/>
  <c r="F2856" i="4" s="1"/>
  <c r="G2855" i="4"/>
  <c r="E2855" i="4"/>
  <c r="F2855" i="4" s="1"/>
  <c r="G2854" i="4"/>
  <c r="E2854" i="4"/>
  <c r="F2854" i="4" s="1"/>
  <c r="G2853" i="4"/>
  <c r="E2853" i="4"/>
  <c r="F2853" i="4" s="1"/>
  <c r="G2852" i="4"/>
  <c r="F2852" i="4"/>
  <c r="E2852" i="4"/>
  <c r="G2851" i="4"/>
  <c r="E2851" i="4"/>
  <c r="F2851" i="4" s="1"/>
  <c r="G2850" i="4"/>
  <c r="F2850" i="4"/>
  <c r="E2850" i="4"/>
  <c r="G2849" i="4"/>
  <c r="F2849" i="4"/>
  <c r="E2849" i="4"/>
  <c r="G2848" i="4"/>
  <c r="E2848" i="4"/>
  <c r="F2848" i="4" s="1"/>
  <c r="G2847" i="4"/>
  <c r="E2847" i="4"/>
  <c r="F2847" i="4" s="1"/>
  <c r="G2846" i="4"/>
  <c r="E2846" i="4"/>
  <c r="F2846" i="4" s="1"/>
  <c r="G2845" i="4"/>
  <c r="E2845" i="4"/>
  <c r="F2845" i="4" s="1"/>
  <c r="G2844" i="4"/>
  <c r="E2844" i="4"/>
  <c r="F2844" i="4" s="1"/>
  <c r="G2843" i="4"/>
  <c r="E2843" i="4"/>
  <c r="F2843" i="4" s="1"/>
  <c r="G2842" i="4"/>
  <c r="E2842" i="4"/>
  <c r="F2842" i="4" s="1"/>
  <c r="G2841" i="4"/>
  <c r="F2841" i="4"/>
  <c r="E2841" i="4"/>
  <c r="G2840" i="4"/>
  <c r="F2840" i="4"/>
  <c r="E2840" i="4"/>
  <c r="G2839" i="4"/>
  <c r="E2839" i="4"/>
  <c r="F2839" i="4" s="1"/>
  <c r="G2838" i="4"/>
  <c r="E2838" i="4"/>
  <c r="F2838" i="4" s="1"/>
  <c r="G2837" i="4"/>
  <c r="F2837" i="4"/>
  <c r="E2837" i="4"/>
  <c r="G2836" i="4"/>
  <c r="E2836" i="4"/>
  <c r="F2836" i="4" s="1"/>
  <c r="G2835" i="4"/>
  <c r="E2835" i="4"/>
  <c r="F2835" i="4" s="1"/>
  <c r="G2834" i="4"/>
  <c r="E2834" i="4"/>
  <c r="F2834" i="4" s="1"/>
  <c r="G2833" i="4"/>
  <c r="F2833" i="4"/>
  <c r="E2833" i="4"/>
  <c r="G2832" i="4"/>
  <c r="E2832" i="4"/>
  <c r="F2832" i="4" s="1"/>
  <c r="G2831" i="4"/>
  <c r="E2831" i="4"/>
  <c r="F2831" i="4" s="1"/>
  <c r="G2830" i="4"/>
  <c r="E2830" i="4"/>
  <c r="F2830" i="4" s="1"/>
  <c r="G2829" i="4"/>
  <c r="F2829" i="4"/>
  <c r="E2829" i="4"/>
  <c r="G2828" i="4"/>
  <c r="F2828" i="4"/>
  <c r="E2828" i="4"/>
  <c r="G2827" i="4"/>
  <c r="E2827" i="4"/>
  <c r="F2827" i="4" s="1"/>
  <c r="G2826" i="4"/>
  <c r="E2826" i="4"/>
  <c r="F2826" i="4" s="1"/>
  <c r="G2825" i="4"/>
  <c r="E2825" i="4"/>
  <c r="F2825" i="4" s="1"/>
  <c r="G2824" i="4"/>
  <c r="F2824" i="4"/>
  <c r="E2824" i="4"/>
  <c r="G2823" i="4"/>
  <c r="E2823" i="4"/>
  <c r="F2823" i="4" s="1"/>
  <c r="G2822" i="4"/>
  <c r="E2822" i="4"/>
  <c r="F2822" i="4" s="1"/>
  <c r="G2821" i="4"/>
  <c r="E2821" i="4"/>
  <c r="F2821" i="4" s="1"/>
  <c r="G2820" i="4"/>
  <c r="E2820" i="4"/>
  <c r="F2820" i="4" s="1"/>
  <c r="G2819" i="4"/>
  <c r="E2819" i="4"/>
  <c r="F2819" i="4" s="1"/>
  <c r="G2818" i="4"/>
  <c r="E2818" i="4"/>
  <c r="F2818" i="4" s="1"/>
  <c r="G2817" i="4"/>
  <c r="E2817" i="4"/>
  <c r="F2817" i="4" s="1"/>
  <c r="G2816" i="4"/>
  <c r="E2816" i="4"/>
  <c r="F2816" i="4" s="1"/>
  <c r="G2815" i="4"/>
  <c r="E2815" i="4"/>
  <c r="F2815" i="4" s="1"/>
  <c r="G2814" i="4"/>
  <c r="F2814" i="4"/>
  <c r="E2814" i="4"/>
  <c r="G2813" i="4"/>
  <c r="E2813" i="4"/>
  <c r="F2813" i="4" s="1"/>
  <c r="G2812" i="4"/>
  <c r="E2812" i="4"/>
  <c r="F2812" i="4" s="1"/>
  <c r="G2811" i="4"/>
  <c r="E2811" i="4"/>
  <c r="F2811" i="4" s="1"/>
  <c r="G2810" i="4"/>
  <c r="E2810" i="4"/>
  <c r="F2810" i="4" s="1"/>
  <c r="G2809" i="4"/>
  <c r="F2809" i="4"/>
  <c r="E2809" i="4"/>
  <c r="G2808" i="4"/>
  <c r="F2808" i="4"/>
  <c r="E2808" i="4"/>
  <c r="G2807" i="4"/>
  <c r="E2807" i="4"/>
  <c r="F2807" i="4" s="1"/>
  <c r="G2806" i="4"/>
  <c r="E2806" i="4"/>
  <c r="F2806" i="4" s="1"/>
  <c r="G2805" i="4"/>
  <c r="F2805" i="4"/>
  <c r="E2805" i="4"/>
  <c r="G2804" i="4"/>
  <c r="E2804" i="4"/>
  <c r="F2804" i="4" s="1"/>
  <c r="G2803" i="4"/>
  <c r="E2803" i="4"/>
  <c r="F2803" i="4" s="1"/>
  <c r="G2802" i="4"/>
  <c r="E2802" i="4"/>
  <c r="F2802" i="4" s="1"/>
  <c r="G2801" i="4"/>
  <c r="E2801" i="4"/>
  <c r="F2801" i="4" s="1"/>
  <c r="G2800" i="4"/>
  <c r="F2800" i="4"/>
  <c r="E2800" i="4"/>
  <c r="G2799" i="4"/>
  <c r="E2799" i="4"/>
  <c r="F2799" i="4" s="1"/>
  <c r="G2798" i="4"/>
  <c r="E2798" i="4"/>
  <c r="F2798" i="4" s="1"/>
  <c r="G2797" i="4"/>
  <c r="F2797" i="4"/>
  <c r="E2797" i="4"/>
  <c r="G2796" i="4"/>
  <c r="E2796" i="4"/>
  <c r="F2796" i="4" s="1"/>
  <c r="G2795" i="4"/>
  <c r="E2795" i="4"/>
  <c r="F2795" i="4" s="1"/>
  <c r="G2794" i="4"/>
  <c r="E2794" i="4"/>
  <c r="F2794" i="4" s="1"/>
  <c r="G2793" i="4"/>
  <c r="E2793" i="4"/>
  <c r="F2793" i="4" s="1"/>
  <c r="G2792" i="4"/>
  <c r="F2792" i="4"/>
  <c r="E2792" i="4"/>
  <c r="G2791" i="4"/>
  <c r="E2791" i="4"/>
  <c r="F2791" i="4" s="1"/>
  <c r="G2790" i="4"/>
  <c r="E2790" i="4"/>
  <c r="F2790" i="4" s="1"/>
  <c r="G2789" i="4"/>
  <c r="E2789" i="4"/>
  <c r="F2789" i="4" s="1"/>
  <c r="G2788" i="4"/>
  <c r="F2788" i="4"/>
  <c r="E2788" i="4"/>
  <c r="G2787" i="4"/>
  <c r="E2787" i="4"/>
  <c r="F2787" i="4" s="1"/>
  <c r="G2786" i="4"/>
  <c r="E2786" i="4"/>
  <c r="F2786" i="4" s="1"/>
  <c r="G2785" i="4"/>
  <c r="F2785" i="4"/>
  <c r="E2785" i="4"/>
  <c r="G2784" i="4"/>
  <c r="F2784" i="4"/>
  <c r="E2784" i="4"/>
  <c r="G2783" i="4"/>
  <c r="E2783" i="4"/>
  <c r="F2783" i="4" s="1"/>
  <c r="G2782" i="4"/>
  <c r="E2782" i="4"/>
  <c r="F2782" i="4" s="1"/>
  <c r="G2781" i="4"/>
  <c r="E2781" i="4"/>
  <c r="F2781" i="4" s="1"/>
  <c r="G2780" i="4"/>
  <c r="E2780" i="4"/>
  <c r="F2780" i="4" s="1"/>
  <c r="G2779" i="4"/>
  <c r="E2779" i="4"/>
  <c r="F2779" i="4" s="1"/>
  <c r="G2778" i="4"/>
  <c r="E2778" i="4"/>
  <c r="F2778" i="4" s="1"/>
  <c r="G2777" i="4"/>
  <c r="F2777" i="4"/>
  <c r="E2777" i="4"/>
  <c r="G2776" i="4"/>
  <c r="F2776" i="4"/>
  <c r="E2776" i="4"/>
  <c r="G2775" i="4"/>
  <c r="E2775" i="4"/>
  <c r="F2775" i="4" s="1"/>
  <c r="G2774" i="4"/>
  <c r="F2774" i="4"/>
  <c r="E2774" i="4"/>
  <c r="G2773" i="4"/>
  <c r="E2773" i="4"/>
  <c r="F2773" i="4" s="1"/>
  <c r="G2772" i="4"/>
  <c r="E2772" i="4"/>
  <c r="F2772" i="4" s="1"/>
  <c r="G2771" i="4"/>
  <c r="E2771" i="4"/>
  <c r="F2771" i="4" s="1"/>
  <c r="G2770" i="4"/>
  <c r="E2770" i="4"/>
  <c r="F2770" i="4" s="1"/>
  <c r="G2769" i="4"/>
  <c r="E2769" i="4"/>
  <c r="F2769" i="4" s="1"/>
  <c r="G2768" i="4"/>
  <c r="F2768" i="4"/>
  <c r="E2768" i="4"/>
  <c r="G2767" i="4"/>
  <c r="E2767" i="4"/>
  <c r="F2767" i="4" s="1"/>
  <c r="G2766" i="4"/>
  <c r="E2766" i="4"/>
  <c r="F2766" i="4" s="1"/>
  <c r="G2765" i="4"/>
  <c r="F2765" i="4"/>
  <c r="E2765" i="4"/>
  <c r="G2764" i="4"/>
  <c r="E2764" i="4"/>
  <c r="F2764" i="4" s="1"/>
  <c r="G2763" i="4"/>
  <c r="E2763" i="4"/>
  <c r="F2763" i="4" s="1"/>
  <c r="G2762" i="4"/>
  <c r="E2762" i="4"/>
  <c r="F2762" i="4" s="1"/>
  <c r="G2761" i="4"/>
  <c r="F2761" i="4"/>
  <c r="E2761" i="4"/>
  <c r="G2760" i="4"/>
  <c r="F2760" i="4"/>
  <c r="E2760" i="4"/>
  <c r="G2759" i="4"/>
  <c r="E2759" i="4"/>
  <c r="F2759" i="4" s="1"/>
  <c r="G2758" i="4"/>
  <c r="E2758" i="4"/>
  <c r="F2758" i="4" s="1"/>
  <c r="G2757" i="4"/>
  <c r="E2757" i="4"/>
  <c r="F2757" i="4" s="1"/>
  <c r="G2756" i="4"/>
  <c r="F2756" i="4"/>
  <c r="E2756" i="4"/>
  <c r="G2755" i="4"/>
  <c r="E2755" i="4"/>
  <c r="F2755" i="4" s="1"/>
  <c r="G2754" i="4"/>
  <c r="E2754" i="4"/>
  <c r="F2754" i="4" s="1"/>
  <c r="G2753" i="4"/>
  <c r="E2753" i="4"/>
  <c r="F2753" i="4" s="1"/>
  <c r="G2752" i="4"/>
  <c r="F2752" i="4"/>
  <c r="E2752" i="4"/>
  <c r="G2751" i="4"/>
  <c r="E2751" i="4"/>
  <c r="F2751" i="4" s="1"/>
  <c r="G2750" i="4"/>
  <c r="E2750" i="4"/>
  <c r="F2750" i="4" s="1"/>
  <c r="G2749" i="4"/>
  <c r="E2749" i="4"/>
  <c r="F2749" i="4" s="1"/>
  <c r="G2748" i="4"/>
  <c r="E2748" i="4"/>
  <c r="F2748" i="4" s="1"/>
  <c r="G2747" i="4"/>
  <c r="E2747" i="4"/>
  <c r="F2747" i="4" s="1"/>
  <c r="G2746" i="4"/>
  <c r="F2746" i="4"/>
  <c r="E2746" i="4"/>
  <c r="G2745" i="4"/>
  <c r="E2745" i="4"/>
  <c r="F2745" i="4" s="1"/>
  <c r="G2744" i="4"/>
  <c r="E2744" i="4"/>
  <c r="F2744" i="4" s="1"/>
  <c r="G2743" i="4"/>
  <c r="E2743" i="4"/>
  <c r="F2743" i="4" s="1"/>
  <c r="G2742" i="4"/>
  <c r="E2742" i="4"/>
  <c r="F2742" i="4" s="1"/>
  <c r="G2741" i="4"/>
  <c r="E2741" i="4"/>
  <c r="F2741" i="4" s="1"/>
  <c r="G2740" i="4"/>
  <c r="E2740" i="4"/>
  <c r="F2740" i="4" s="1"/>
  <c r="G2739" i="4"/>
  <c r="E2739" i="4"/>
  <c r="F2739" i="4" s="1"/>
  <c r="G2738" i="4"/>
  <c r="E2738" i="4"/>
  <c r="F2738" i="4" s="1"/>
  <c r="G2737" i="4"/>
  <c r="E2737" i="4"/>
  <c r="F2737" i="4" s="1"/>
  <c r="G2736" i="4"/>
  <c r="F2736" i="4"/>
  <c r="E2736" i="4"/>
  <c r="G2735" i="4"/>
  <c r="E2735" i="4"/>
  <c r="F2735" i="4" s="1"/>
  <c r="G2734" i="4"/>
  <c r="E2734" i="4"/>
  <c r="F2734" i="4" s="1"/>
  <c r="G2733" i="4"/>
  <c r="F2733" i="4"/>
  <c r="E2733" i="4"/>
  <c r="G2732" i="4"/>
  <c r="E2732" i="4"/>
  <c r="F2732" i="4" s="1"/>
  <c r="G2731" i="4"/>
  <c r="E2731" i="4"/>
  <c r="F2731" i="4" s="1"/>
  <c r="G2730" i="4"/>
  <c r="E2730" i="4"/>
  <c r="F2730" i="4" s="1"/>
  <c r="G2729" i="4"/>
  <c r="F2729" i="4"/>
  <c r="E2729" i="4"/>
  <c r="G2728" i="4"/>
  <c r="E2728" i="4"/>
  <c r="F2728" i="4" s="1"/>
  <c r="G2727" i="4"/>
  <c r="E2727" i="4"/>
  <c r="F2727" i="4" s="1"/>
  <c r="G2726" i="4"/>
  <c r="E2726" i="4"/>
  <c r="F2726" i="4" s="1"/>
  <c r="G2725" i="4"/>
  <c r="E2725" i="4"/>
  <c r="F2725" i="4" s="1"/>
  <c r="G2724" i="4"/>
  <c r="F2724" i="4"/>
  <c r="E2724" i="4"/>
  <c r="G2723" i="4"/>
  <c r="E2723" i="4"/>
  <c r="F2723" i="4" s="1"/>
  <c r="G2722" i="4"/>
  <c r="E2722" i="4"/>
  <c r="F2722" i="4" s="1"/>
  <c r="G2721" i="4"/>
  <c r="F2721" i="4"/>
  <c r="E2721" i="4"/>
  <c r="G2720" i="4"/>
  <c r="E2720" i="4"/>
  <c r="F2720" i="4" s="1"/>
  <c r="G2719" i="4"/>
  <c r="E2719" i="4"/>
  <c r="F2719" i="4" s="1"/>
  <c r="G2718" i="4"/>
  <c r="E2718" i="4"/>
  <c r="F2718" i="4" s="1"/>
  <c r="G2717" i="4"/>
  <c r="E2717" i="4"/>
  <c r="F2717" i="4" s="1"/>
  <c r="G2716" i="4"/>
  <c r="E2716" i="4"/>
  <c r="F2716" i="4" s="1"/>
  <c r="G2715" i="4"/>
  <c r="E2715" i="4"/>
  <c r="F2715" i="4" s="1"/>
  <c r="G2714" i="4"/>
  <c r="F2714" i="4"/>
  <c r="E2714" i="4"/>
  <c r="G2713" i="4"/>
  <c r="E2713" i="4"/>
  <c r="F2713" i="4" s="1"/>
  <c r="G2712" i="4"/>
  <c r="E2712" i="4"/>
  <c r="F2712" i="4" s="1"/>
  <c r="G2711" i="4"/>
  <c r="E2711" i="4"/>
  <c r="F2711" i="4" s="1"/>
  <c r="G2710" i="4"/>
  <c r="E2710" i="4"/>
  <c r="F2710" i="4" s="1"/>
  <c r="G2709" i="4"/>
  <c r="E2709" i="4"/>
  <c r="F2709" i="4" s="1"/>
  <c r="G2708" i="4"/>
  <c r="E2708" i="4"/>
  <c r="F2708" i="4" s="1"/>
  <c r="G2707" i="4"/>
  <c r="E2707" i="4"/>
  <c r="F2707" i="4" s="1"/>
  <c r="G2706" i="4"/>
  <c r="F2706" i="4"/>
  <c r="E2706" i="4"/>
  <c r="G2705" i="4"/>
  <c r="F2705" i="4"/>
  <c r="E2705" i="4"/>
  <c r="G2704" i="4"/>
  <c r="E2704" i="4"/>
  <c r="F2704" i="4" s="1"/>
  <c r="G2703" i="4"/>
  <c r="E2703" i="4"/>
  <c r="F2703" i="4" s="1"/>
  <c r="G2702" i="4"/>
  <c r="E2702" i="4"/>
  <c r="F2702" i="4" s="1"/>
  <c r="G2701" i="4"/>
  <c r="F2701" i="4"/>
  <c r="E2701" i="4"/>
  <c r="G2700" i="4"/>
  <c r="E2700" i="4"/>
  <c r="F2700" i="4" s="1"/>
  <c r="G2699" i="4"/>
  <c r="E2699" i="4"/>
  <c r="F2699" i="4" s="1"/>
  <c r="G2698" i="4"/>
  <c r="E2698" i="4"/>
  <c r="F2698" i="4" s="1"/>
  <c r="G2697" i="4"/>
  <c r="F2697" i="4"/>
  <c r="E2697" i="4"/>
  <c r="G2696" i="4"/>
  <c r="E2696" i="4"/>
  <c r="F2696" i="4" s="1"/>
  <c r="G2695" i="4"/>
  <c r="E2695" i="4"/>
  <c r="F2695" i="4" s="1"/>
  <c r="G2694" i="4"/>
  <c r="E2694" i="4"/>
  <c r="F2694" i="4" s="1"/>
  <c r="G2693" i="4"/>
  <c r="E2693" i="4"/>
  <c r="F2693" i="4" s="1"/>
  <c r="G2692" i="4"/>
  <c r="E2692" i="4"/>
  <c r="F2692" i="4" s="1"/>
  <c r="G2691" i="4"/>
  <c r="E2691" i="4"/>
  <c r="F2691" i="4" s="1"/>
  <c r="G2690" i="4"/>
  <c r="E2690" i="4"/>
  <c r="F2690" i="4" s="1"/>
  <c r="G2689" i="4"/>
  <c r="E2689" i="4"/>
  <c r="F2689" i="4" s="1"/>
  <c r="G2688" i="4"/>
  <c r="E2688" i="4"/>
  <c r="F2688" i="4" s="1"/>
  <c r="G2687" i="4"/>
  <c r="F2687" i="4"/>
  <c r="E2687" i="4"/>
  <c r="G2686" i="4"/>
  <c r="E2686" i="4"/>
  <c r="F2686" i="4" s="1"/>
  <c r="G2685" i="4"/>
  <c r="E2685" i="4"/>
  <c r="F2685" i="4" s="1"/>
  <c r="G2684" i="4"/>
  <c r="E2684" i="4"/>
  <c r="F2684" i="4" s="1"/>
  <c r="G2683" i="4"/>
  <c r="E2683" i="4"/>
  <c r="F2683" i="4" s="1"/>
  <c r="G2682" i="4"/>
  <c r="E2682" i="4"/>
  <c r="F2682" i="4" s="1"/>
  <c r="G2681" i="4"/>
  <c r="F2681" i="4"/>
  <c r="E2681" i="4"/>
  <c r="G2680" i="4"/>
  <c r="F2680" i="4"/>
  <c r="E2680" i="4"/>
  <c r="G2679" i="4"/>
  <c r="F2679" i="4"/>
  <c r="E2679" i="4"/>
  <c r="G2678" i="4"/>
  <c r="E2678" i="4"/>
  <c r="F2678" i="4" s="1"/>
  <c r="G2677" i="4"/>
  <c r="E2677" i="4"/>
  <c r="F2677" i="4" s="1"/>
  <c r="G2676" i="4"/>
  <c r="E2676" i="4"/>
  <c r="F2676" i="4" s="1"/>
  <c r="G2675" i="4"/>
  <c r="E2675" i="4"/>
  <c r="F2675" i="4" s="1"/>
  <c r="G2674" i="4"/>
  <c r="E2674" i="4"/>
  <c r="F2674" i="4" s="1"/>
  <c r="G2673" i="4"/>
  <c r="F2673" i="4"/>
  <c r="E2673" i="4"/>
  <c r="G2672" i="4"/>
  <c r="E2672" i="4"/>
  <c r="F2672" i="4" s="1"/>
  <c r="G2671" i="4"/>
  <c r="E2671" i="4"/>
  <c r="F2671" i="4" s="1"/>
  <c r="G2670" i="4"/>
  <c r="E2670" i="4"/>
  <c r="F2670" i="4" s="1"/>
  <c r="G2669" i="4"/>
  <c r="E2669" i="4"/>
  <c r="F2669" i="4" s="1"/>
  <c r="G2668" i="4"/>
  <c r="F2668" i="4"/>
  <c r="E2668" i="4"/>
  <c r="G2667" i="4"/>
  <c r="F2667" i="4"/>
  <c r="E2667" i="4"/>
  <c r="G2666" i="4"/>
  <c r="E2666" i="4"/>
  <c r="F2666" i="4" s="1"/>
  <c r="G2665" i="4"/>
  <c r="F2665" i="4"/>
  <c r="E2665" i="4"/>
  <c r="G2664" i="4"/>
  <c r="E2664" i="4"/>
  <c r="F2664" i="4" s="1"/>
  <c r="G2663" i="4"/>
  <c r="E2663" i="4"/>
  <c r="F2663" i="4" s="1"/>
  <c r="G2662" i="4"/>
  <c r="E2662" i="4"/>
  <c r="F2662" i="4" s="1"/>
  <c r="G2661" i="4"/>
  <c r="E2661" i="4"/>
  <c r="F2661" i="4" s="1"/>
  <c r="G2660" i="4"/>
  <c r="F2660" i="4"/>
  <c r="E2660" i="4"/>
  <c r="G2659" i="4"/>
  <c r="E2659" i="4"/>
  <c r="F2659" i="4" s="1"/>
  <c r="G2658" i="4"/>
  <c r="E2658" i="4"/>
  <c r="F2658" i="4" s="1"/>
  <c r="G2657" i="4"/>
  <c r="E2657" i="4"/>
  <c r="F2657" i="4" s="1"/>
  <c r="G2656" i="4"/>
  <c r="E2656" i="4"/>
  <c r="F2656" i="4" s="1"/>
  <c r="G2655" i="4"/>
  <c r="F2655" i="4"/>
  <c r="E2655" i="4"/>
  <c r="G2654" i="4"/>
  <c r="E2654" i="4"/>
  <c r="F2654" i="4" s="1"/>
  <c r="G2653" i="4"/>
  <c r="E2653" i="4"/>
  <c r="F2653" i="4" s="1"/>
  <c r="G2652" i="4"/>
  <c r="F2652" i="4"/>
  <c r="E2652" i="4"/>
  <c r="G2651" i="4"/>
  <c r="E2651" i="4"/>
  <c r="F2651" i="4" s="1"/>
  <c r="G2650" i="4"/>
  <c r="E2650" i="4"/>
  <c r="F2650" i="4" s="1"/>
  <c r="G2649" i="4"/>
  <c r="E2649" i="4"/>
  <c r="F2649" i="4" s="1"/>
  <c r="G2648" i="4"/>
  <c r="F2648" i="4"/>
  <c r="E2648" i="4"/>
  <c r="G2647" i="4"/>
  <c r="F2647" i="4"/>
  <c r="E2647" i="4"/>
  <c r="G2646" i="4"/>
  <c r="E2646" i="4"/>
  <c r="F2646" i="4" s="1"/>
  <c r="G2645" i="4"/>
  <c r="F2645" i="4"/>
  <c r="E2645" i="4"/>
  <c r="G2644" i="4"/>
  <c r="E2644" i="4"/>
  <c r="F2644" i="4" s="1"/>
  <c r="G2643" i="4"/>
  <c r="E2643" i="4"/>
  <c r="F2643" i="4" s="1"/>
  <c r="G2642" i="4"/>
  <c r="E2642" i="4"/>
  <c r="F2642" i="4" s="1"/>
  <c r="G2641" i="4"/>
  <c r="E2641" i="4"/>
  <c r="F2641" i="4" s="1"/>
  <c r="G2640" i="4"/>
  <c r="E2640" i="4"/>
  <c r="F2640" i="4" s="1"/>
  <c r="G2639" i="4"/>
  <c r="F2639" i="4"/>
  <c r="E2639" i="4"/>
  <c r="G2638" i="4"/>
  <c r="E2638" i="4"/>
  <c r="F2638" i="4" s="1"/>
  <c r="G2637" i="4"/>
  <c r="E2637" i="4"/>
  <c r="F2637" i="4" s="1"/>
  <c r="G2636" i="4"/>
  <c r="E2636" i="4"/>
  <c r="F2636" i="4" s="1"/>
  <c r="G2635" i="4"/>
  <c r="F2635" i="4"/>
  <c r="E2635" i="4"/>
  <c r="G2634" i="4"/>
  <c r="E2634" i="4"/>
  <c r="F2634" i="4" s="1"/>
  <c r="G2633" i="4"/>
  <c r="F2633" i="4"/>
  <c r="E2633" i="4"/>
  <c r="G2632" i="4"/>
  <c r="F2632" i="4"/>
  <c r="E2632" i="4"/>
  <c r="G2631" i="4"/>
  <c r="E2631" i="4"/>
  <c r="F2631" i="4" s="1"/>
  <c r="G2630" i="4"/>
  <c r="E2630" i="4"/>
  <c r="F2630" i="4" s="1"/>
  <c r="G2629" i="4"/>
  <c r="E2629" i="4"/>
  <c r="F2629" i="4" s="1"/>
  <c r="G2628" i="4"/>
  <c r="E2628" i="4"/>
  <c r="F2628" i="4" s="1"/>
  <c r="G2627" i="4"/>
  <c r="E2627" i="4"/>
  <c r="F2627" i="4" s="1"/>
  <c r="G2626" i="4"/>
  <c r="E2626" i="4"/>
  <c r="F2626" i="4" s="1"/>
  <c r="G2625" i="4"/>
  <c r="F2625" i="4"/>
  <c r="E2625" i="4"/>
  <c r="G2624" i="4"/>
  <c r="E2624" i="4"/>
  <c r="F2624" i="4" s="1"/>
  <c r="G2623" i="4"/>
  <c r="E2623" i="4"/>
  <c r="F2623" i="4" s="1"/>
  <c r="G2622" i="4"/>
  <c r="E2622" i="4"/>
  <c r="F2622" i="4" s="1"/>
  <c r="G2621" i="4"/>
  <c r="E2621" i="4"/>
  <c r="F2621" i="4" s="1"/>
  <c r="G2620" i="4"/>
  <c r="F2620" i="4"/>
  <c r="E2620" i="4"/>
  <c r="G2619" i="4"/>
  <c r="F2619" i="4"/>
  <c r="E2619" i="4"/>
  <c r="G2618" i="4"/>
  <c r="E2618" i="4"/>
  <c r="F2618" i="4" s="1"/>
  <c r="G2617" i="4"/>
  <c r="F2617" i="4"/>
  <c r="E2617" i="4"/>
  <c r="G2616" i="4"/>
  <c r="E2616" i="4"/>
  <c r="F2616" i="4" s="1"/>
  <c r="G2615" i="4"/>
  <c r="E2615" i="4"/>
  <c r="F2615" i="4" s="1"/>
  <c r="G2614" i="4"/>
  <c r="E2614" i="4"/>
  <c r="F2614" i="4" s="1"/>
  <c r="G2613" i="4"/>
  <c r="E2613" i="4"/>
  <c r="F2613" i="4" s="1"/>
  <c r="G2612" i="4"/>
  <c r="F2612" i="4"/>
  <c r="E2612" i="4"/>
  <c r="G2611" i="4"/>
  <c r="E2611" i="4"/>
  <c r="F2611" i="4" s="1"/>
  <c r="G2610" i="4"/>
  <c r="E2610" i="4"/>
  <c r="F2610" i="4" s="1"/>
  <c r="G2609" i="4"/>
  <c r="F2609" i="4"/>
  <c r="E2609" i="4"/>
  <c r="G2608" i="4"/>
  <c r="E2608" i="4"/>
  <c r="F2608" i="4" s="1"/>
  <c r="G2607" i="4"/>
  <c r="F2607" i="4"/>
  <c r="E2607" i="4"/>
  <c r="G2606" i="4"/>
  <c r="E2606" i="4"/>
  <c r="F2606" i="4" s="1"/>
  <c r="G2605" i="4"/>
  <c r="E2605" i="4"/>
  <c r="F2605" i="4" s="1"/>
  <c r="G2604" i="4"/>
  <c r="F2604" i="4"/>
  <c r="E2604" i="4"/>
  <c r="G2603" i="4"/>
  <c r="E2603" i="4"/>
  <c r="F2603" i="4" s="1"/>
  <c r="G2602" i="4"/>
  <c r="E2602" i="4"/>
  <c r="F2602" i="4" s="1"/>
  <c r="G2601" i="4"/>
  <c r="E2601" i="4"/>
  <c r="F2601" i="4" s="1"/>
  <c r="G2600" i="4"/>
  <c r="F2600" i="4"/>
  <c r="E2600" i="4"/>
  <c r="G2599" i="4"/>
  <c r="F2599" i="4"/>
  <c r="E2599" i="4"/>
  <c r="G2598" i="4"/>
  <c r="E2598" i="4"/>
  <c r="F2598" i="4" s="1"/>
  <c r="G2597" i="4"/>
  <c r="F2597" i="4"/>
  <c r="E2597" i="4"/>
  <c r="G2596" i="4"/>
  <c r="E2596" i="4"/>
  <c r="F2596" i="4" s="1"/>
  <c r="G2595" i="4"/>
  <c r="E2595" i="4"/>
  <c r="F2595" i="4" s="1"/>
  <c r="G2594" i="4"/>
  <c r="E2594" i="4"/>
  <c r="F2594" i="4" s="1"/>
  <c r="G2593" i="4"/>
  <c r="E2593" i="4"/>
  <c r="F2593" i="4" s="1"/>
  <c r="G2592" i="4"/>
  <c r="E2592" i="4"/>
  <c r="F2592" i="4" s="1"/>
  <c r="G2591" i="4"/>
  <c r="F2591" i="4"/>
  <c r="E2591" i="4"/>
  <c r="G2590" i="4"/>
  <c r="E2590" i="4"/>
  <c r="F2590" i="4" s="1"/>
  <c r="G2589" i="4"/>
  <c r="E2589" i="4"/>
  <c r="F2589" i="4" s="1"/>
  <c r="G2588" i="4"/>
  <c r="E2588" i="4"/>
  <c r="F2588" i="4" s="1"/>
  <c r="G2587" i="4"/>
  <c r="E2587" i="4"/>
  <c r="F2587" i="4" s="1"/>
  <c r="G2586" i="4"/>
  <c r="E2586" i="4"/>
  <c r="F2586" i="4" s="1"/>
  <c r="G2585" i="4"/>
  <c r="F2585" i="4"/>
  <c r="E2585" i="4"/>
  <c r="G2584" i="4"/>
  <c r="F2584" i="4"/>
  <c r="E2584" i="4"/>
  <c r="G2583" i="4"/>
  <c r="F2583" i="4"/>
  <c r="E2583" i="4"/>
  <c r="G2582" i="4"/>
  <c r="E2582" i="4"/>
  <c r="F2582" i="4" s="1"/>
  <c r="G2581" i="4"/>
  <c r="E2581" i="4"/>
  <c r="F2581" i="4" s="1"/>
  <c r="G2580" i="4"/>
  <c r="E2580" i="4"/>
  <c r="F2580" i="4" s="1"/>
  <c r="G2579" i="4"/>
  <c r="E2579" i="4"/>
  <c r="F2579" i="4" s="1"/>
  <c r="G2578" i="4"/>
  <c r="E2578" i="4"/>
  <c r="F2578" i="4" s="1"/>
  <c r="G2577" i="4"/>
  <c r="F2577" i="4"/>
  <c r="E2577" i="4"/>
  <c r="G2576" i="4"/>
  <c r="E2576" i="4"/>
  <c r="F2576" i="4" s="1"/>
  <c r="G2575" i="4"/>
  <c r="E2575" i="4"/>
  <c r="F2575" i="4" s="1"/>
  <c r="G2574" i="4"/>
  <c r="E2574" i="4"/>
  <c r="F2574" i="4" s="1"/>
  <c r="G2573" i="4"/>
  <c r="E2573" i="4"/>
  <c r="F2573" i="4" s="1"/>
  <c r="G2572" i="4"/>
  <c r="F2572" i="4"/>
  <c r="E2572" i="4"/>
  <c r="G2571" i="4"/>
  <c r="F2571" i="4"/>
  <c r="E2571" i="4"/>
  <c r="G2570" i="4"/>
  <c r="E2570" i="4"/>
  <c r="F2570" i="4" s="1"/>
  <c r="G2569" i="4"/>
  <c r="F2569" i="4"/>
  <c r="E2569" i="4"/>
  <c r="G2568" i="4"/>
  <c r="E2568" i="4"/>
  <c r="F2568" i="4" s="1"/>
  <c r="G2567" i="4"/>
  <c r="E2567" i="4"/>
  <c r="F2567" i="4" s="1"/>
  <c r="G2566" i="4"/>
  <c r="E2566" i="4"/>
  <c r="F2566" i="4" s="1"/>
  <c r="G2565" i="4"/>
  <c r="E2565" i="4"/>
  <c r="F2565" i="4" s="1"/>
  <c r="G2564" i="4"/>
  <c r="F2564" i="4"/>
  <c r="E2564" i="4"/>
  <c r="G2563" i="4"/>
  <c r="E2563" i="4"/>
  <c r="F2563" i="4" s="1"/>
  <c r="G2562" i="4"/>
  <c r="E2562" i="4"/>
  <c r="F2562" i="4" s="1"/>
  <c r="G2561" i="4"/>
  <c r="E2561" i="4"/>
  <c r="F2561" i="4" s="1"/>
  <c r="G2560" i="4"/>
  <c r="E2560" i="4"/>
  <c r="F2560" i="4" s="1"/>
  <c r="G2559" i="4"/>
  <c r="F2559" i="4"/>
  <c r="E2559" i="4"/>
  <c r="G2558" i="4"/>
  <c r="E2558" i="4"/>
  <c r="F2558" i="4" s="1"/>
  <c r="G2557" i="4"/>
  <c r="E2557" i="4"/>
  <c r="F2557" i="4" s="1"/>
  <c r="G2556" i="4"/>
  <c r="F2556" i="4"/>
  <c r="E2556" i="4"/>
  <c r="G2555" i="4"/>
  <c r="E2555" i="4"/>
  <c r="F2555" i="4" s="1"/>
  <c r="G2554" i="4"/>
  <c r="E2554" i="4"/>
  <c r="F2554" i="4" s="1"/>
  <c r="G2553" i="4"/>
  <c r="E2553" i="4"/>
  <c r="F2553" i="4" s="1"/>
  <c r="G2552" i="4"/>
  <c r="F2552" i="4"/>
  <c r="E2552" i="4"/>
  <c r="G2551" i="4"/>
  <c r="F2551" i="4"/>
  <c r="E2551" i="4"/>
  <c r="G2550" i="4"/>
  <c r="E2550" i="4"/>
  <c r="F2550" i="4" s="1"/>
  <c r="G2549" i="4"/>
  <c r="F2549" i="4"/>
  <c r="E2549" i="4"/>
  <c r="G2548" i="4"/>
  <c r="E2548" i="4"/>
  <c r="F2548" i="4" s="1"/>
  <c r="G2547" i="4"/>
  <c r="E2547" i="4"/>
  <c r="F2547" i="4" s="1"/>
  <c r="G2546" i="4"/>
  <c r="E2546" i="4"/>
  <c r="F2546" i="4" s="1"/>
  <c r="G2545" i="4"/>
  <c r="E2545" i="4"/>
  <c r="F2545" i="4" s="1"/>
  <c r="G2544" i="4"/>
  <c r="E2544" i="4"/>
  <c r="F2544" i="4" s="1"/>
  <c r="G2543" i="4"/>
  <c r="F2543" i="4"/>
  <c r="E2543" i="4"/>
  <c r="G2542" i="4"/>
  <c r="E2542" i="4"/>
  <c r="F2542" i="4" s="1"/>
  <c r="G2541" i="4"/>
  <c r="E2541" i="4"/>
  <c r="F2541" i="4" s="1"/>
  <c r="G2540" i="4"/>
  <c r="E2540" i="4"/>
  <c r="F2540" i="4" s="1"/>
  <c r="G2539" i="4"/>
  <c r="F2539" i="4"/>
  <c r="E2539" i="4"/>
  <c r="G2538" i="4"/>
  <c r="E2538" i="4"/>
  <c r="F2538" i="4" s="1"/>
  <c r="G2537" i="4"/>
  <c r="F2537" i="4"/>
  <c r="E2537" i="4"/>
  <c r="G2536" i="4"/>
  <c r="F2536" i="4"/>
  <c r="E2536" i="4"/>
  <c r="G2535" i="4"/>
  <c r="F2535" i="4"/>
  <c r="E2535" i="4"/>
  <c r="G2534" i="4"/>
  <c r="E2534" i="4"/>
  <c r="F2534" i="4" s="1"/>
  <c r="G2533" i="4"/>
  <c r="E2533" i="4"/>
  <c r="F2533" i="4" s="1"/>
  <c r="G2532" i="4"/>
  <c r="E2532" i="4"/>
  <c r="F2532" i="4" s="1"/>
  <c r="G2531" i="4"/>
  <c r="E2531" i="4"/>
  <c r="F2531" i="4" s="1"/>
  <c r="G2530" i="4"/>
  <c r="E2530" i="4"/>
  <c r="F2530" i="4" s="1"/>
  <c r="G2529" i="4"/>
  <c r="F2529" i="4"/>
  <c r="E2529" i="4"/>
  <c r="G2528" i="4"/>
  <c r="E2528" i="4"/>
  <c r="F2528" i="4" s="1"/>
  <c r="G2527" i="4"/>
  <c r="E2527" i="4"/>
  <c r="F2527" i="4" s="1"/>
  <c r="G2526" i="4"/>
  <c r="E2526" i="4"/>
  <c r="F2526" i="4" s="1"/>
  <c r="G2525" i="4"/>
  <c r="E2525" i="4"/>
  <c r="F2525" i="4" s="1"/>
  <c r="G2524" i="4"/>
  <c r="F2524" i="4"/>
  <c r="E2524" i="4"/>
  <c r="G2523" i="4"/>
  <c r="F2523" i="4"/>
  <c r="E2523" i="4"/>
  <c r="G2522" i="4"/>
  <c r="E2522" i="4"/>
  <c r="F2522" i="4" s="1"/>
  <c r="G2521" i="4"/>
  <c r="F2521" i="4"/>
  <c r="E2521" i="4"/>
  <c r="G2520" i="4"/>
  <c r="E2520" i="4"/>
  <c r="F2520" i="4" s="1"/>
  <c r="G2519" i="4"/>
  <c r="E2519" i="4"/>
  <c r="F2519" i="4" s="1"/>
  <c r="G2518" i="4"/>
  <c r="E2518" i="4"/>
  <c r="F2518" i="4" s="1"/>
  <c r="G2517" i="4"/>
  <c r="E2517" i="4"/>
  <c r="F2517" i="4" s="1"/>
  <c r="G2516" i="4"/>
  <c r="F2516" i="4"/>
  <c r="E2516" i="4"/>
  <c r="G2515" i="4"/>
  <c r="E2515" i="4"/>
  <c r="F2515" i="4" s="1"/>
  <c r="G2514" i="4"/>
  <c r="E2514" i="4"/>
  <c r="F2514" i="4" s="1"/>
  <c r="G2513" i="4"/>
  <c r="F2513" i="4"/>
  <c r="E2513" i="4"/>
  <c r="G2512" i="4"/>
  <c r="E2512" i="4"/>
  <c r="F2512" i="4" s="1"/>
  <c r="G2511" i="4"/>
  <c r="F2511" i="4"/>
  <c r="E2511" i="4"/>
  <c r="G2510" i="4"/>
  <c r="E2510" i="4"/>
  <c r="F2510" i="4" s="1"/>
  <c r="G2509" i="4"/>
  <c r="E2509" i="4"/>
  <c r="F2509" i="4" s="1"/>
  <c r="G2508" i="4"/>
  <c r="F2508" i="4"/>
  <c r="E2508" i="4"/>
  <c r="G2507" i="4"/>
  <c r="E2507" i="4"/>
  <c r="F2507" i="4" s="1"/>
  <c r="G2506" i="4"/>
  <c r="E2506" i="4"/>
  <c r="F2506" i="4" s="1"/>
  <c r="G2505" i="4"/>
  <c r="E2505" i="4"/>
  <c r="F2505" i="4" s="1"/>
  <c r="G2504" i="4"/>
  <c r="F2504" i="4"/>
  <c r="E2504" i="4"/>
  <c r="G2503" i="4"/>
  <c r="F2503" i="4"/>
  <c r="E2503" i="4"/>
  <c r="G2502" i="4"/>
  <c r="E2502" i="4"/>
  <c r="F2502" i="4" s="1"/>
  <c r="G2501" i="4"/>
  <c r="F2501" i="4"/>
  <c r="E2501" i="4"/>
  <c r="G2500" i="4"/>
  <c r="E2500" i="4"/>
  <c r="F2500" i="4" s="1"/>
  <c r="G2499" i="4"/>
  <c r="E2499" i="4"/>
  <c r="F2499" i="4" s="1"/>
  <c r="G2498" i="4"/>
  <c r="E2498" i="4"/>
  <c r="F2498" i="4" s="1"/>
  <c r="G2497" i="4"/>
  <c r="E2497" i="4"/>
  <c r="F2497" i="4" s="1"/>
  <c r="G2496" i="4"/>
  <c r="E2496" i="4"/>
  <c r="F2496" i="4" s="1"/>
  <c r="G2495" i="4"/>
  <c r="F2495" i="4"/>
  <c r="E2495" i="4"/>
  <c r="G2494" i="4"/>
  <c r="E2494" i="4"/>
  <c r="F2494" i="4" s="1"/>
  <c r="G2493" i="4"/>
  <c r="E2493" i="4"/>
  <c r="F2493" i="4" s="1"/>
  <c r="G2492" i="4"/>
  <c r="E2492" i="4"/>
  <c r="F2492" i="4" s="1"/>
  <c r="G2491" i="4"/>
  <c r="E2491" i="4"/>
  <c r="F2491" i="4" s="1"/>
  <c r="G2490" i="4"/>
  <c r="E2490" i="4"/>
  <c r="F2490" i="4" s="1"/>
  <c r="G2489" i="4"/>
  <c r="F2489" i="4"/>
  <c r="E2489" i="4"/>
  <c r="G2488" i="4"/>
  <c r="F2488" i="4"/>
  <c r="E2488" i="4"/>
  <c r="G2487" i="4"/>
  <c r="F2487" i="4"/>
  <c r="E2487" i="4"/>
  <c r="G2486" i="4"/>
  <c r="E2486" i="4"/>
  <c r="F2486" i="4" s="1"/>
  <c r="G2485" i="4"/>
  <c r="E2485" i="4"/>
  <c r="F2485" i="4" s="1"/>
  <c r="G2484" i="4"/>
  <c r="E2484" i="4"/>
  <c r="F2484" i="4" s="1"/>
  <c r="G2483" i="4"/>
  <c r="E2483" i="4"/>
  <c r="F2483" i="4" s="1"/>
  <c r="G2482" i="4"/>
  <c r="E2482" i="4"/>
  <c r="F2482" i="4" s="1"/>
  <c r="G2481" i="4"/>
  <c r="F2481" i="4"/>
  <c r="E2481" i="4"/>
  <c r="G2480" i="4"/>
  <c r="E2480" i="4"/>
  <c r="F2480" i="4" s="1"/>
  <c r="G2479" i="4"/>
  <c r="E2479" i="4"/>
  <c r="F2479" i="4" s="1"/>
  <c r="G2478" i="4"/>
  <c r="E2478" i="4"/>
  <c r="F2478" i="4" s="1"/>
  <c r="G2477" i="4"/>
  <c r="E2477" i="4"/>
  <c r="F2477" i="4" s="1"/>
  <c r="G2476" i="4"/>
  <c r="F2476" i="4"/>
  <c r="E2476" i="4"/>
  <c r="G2475" i="4"/>
  <c r="F2475" i="4"/>
  <c r="E2475" i="4"/>
  <c r="G2474" i="4"/>
  <c r="E2474" i="4"/>
  <c r="F2474" i="4" s="1"/>
  <c r="G2473" i="4"/>
  <c r="F2473" i="4"/>
  <c r="E2473" i="4"/>
  <c r="G2472" i="4"/>
  <c r="E2472" i="4"/>
  <c r="F2472" i="4" s="1"/>
  <c r="G2471" i="4"/>
  <c r="E2471" i="4"/>
  <c r="F2471" i="4" s="1"/>
  <c r="G2470" i="4"/>
  <c r="E2470" i="4"/>
  <c r="F2470" i="4" s="1"/>
  <c r="G2469" i="4"/>
  <c r="E2469" i="4"/>
  <c r="F2469" i="4" s="1"/>
  <c r="G2468" i="4"/>
  <c r="F2468" i="4"/>
  <c r="E2468" i="4"/>
  <c r="G2467" i="4"/>
  <c r="E2467" i="4"/>
  <c r="F2467" i="4" s="1"/>
  <c r="G2466" i="4"/>
  <c r="E2466" i="4"/>
  <c r="F2466" i="4" s="1"/>
  <c r="G2465" i="4"/>
  <c r="E2465" i="4"/>
  <c r="F2465" i="4" s="1"/>
  <c r="G2464" i="4"/>
  <c r="E2464" i="4"/>
  <c r="F2464" i="4" s="1"/>
  <c r="G2463" i="4"/>
  <c r="F2463" i="4"/>
  <c r="E2463" i="4"/>
  <c r="G2462" i="4"/>
  <c r="E2462" i="4"/>
  <c r="F2462" i="4" s="1"/>
  <c r="G2461" i="4"/>
  <c r="E2461" i="4"/>
  <c r="F2461" i="4" s="1"/>
  <c r="G2460" i="4"/>
  <c r="F2460" i="4"/>
  <c r="E2460" i="4"/>
  <c r="G2459" i="4"/>
  <c r="E2459" i="4"/>
  <c r="F2459" i="4" s="1"/>
  <c r="G2458" i="4"/>
  <c r="E2458" i="4"/>
  <c r="F2458" i="4" s="1"/>
  <c r="G2457" i="4"/>
  <c r="E2457" i="4"/>
  <c r="F2457" i="4" s="1"/>
  <c r="G2456" i="4"/>
  <c r="F2456" i="4"/>
  <c r="E2456" i="4"/>
  <c r="G2455" i="4"/>
  <c r="F2455" i="4"/>
  <c r="E2455" i="4"/>
  <c r="G2454" i="4"/>
  <c r="E2454" i="4"/>
  <c r="F2454" i="4" s="1"/>
  <c r="G2453" i="4"/>
  <c r="F2453" i="4"/>
  <c r="E2453" i="4"/>
  <c r="G2452" i="4"/>
  <c r="E2452" i="4"/>
  <c r="F2452" i="4" s="1"/>
  <c r="G2451" i="4"/>
  <c r="E2451" i="4"/>
  <c r="F2451" i="4" s="1"/>
  <c r="G2450" i="4"/>
  <c r="E2450" i="4"/>
  <c r="F2450" i="4" s="1"/>
  <c r="G2449" i="4"/>
  <c r="E2449" i="4"/>
  <c r="F2449" i="4" s="1"/>
  <c r="G2448" i="4"/>
  <c r="E2448" i="4"/>
  <c r="F2448" i="4" s="1"/>
  <c r="G2447" i="4"/>
  <c r="F2447" i="4"/>
  <c r="E2447" i="4"/>
  <c r="G2446" i="4"/>
  <c r="E2446" i="4"/>
  <c r="F2446" i="4" s="1"/>
  <c r="G2445" i="4"/>
  <c r="E2445" i="4"/>
  <c r="F2445" i="4" s="1"/>
  <c r="G2444" i="4"/>
  <c r="E2444" i="4"/>
  <c r="F2444" i="4" s="1"/>
  <c r="G2443" i="4"/>
  <c r="F2443" i="4"/>
  <c r="E2443" i="4"/>
  <c r="G2442" i="4"/>
  <c r="E2442" i="4"/>
  <c r="F2442" i="4" s="1"/>
  <c r="G2441" i="4"/>
  <c r="F2441" i="4"/>
  <c r="E2441" i="4"/>
  <c r="G2440" i="4"/>
  <c r="F2440" i="4"/>
  <c r="E2440" i="4"/>
  <c r="G2439" i="4"/>
  <c r="F2439" i="4"/>
  <c r="E2439" i="4"/>
  <c r="G2438" i="4"/>
  <c r="E2438" i="4"/>
  <c r="F2438" i="4" s="1"/>
  <c r="G2437" i="4"/>
  <c r="E2437" i="4"/>
  <c r="F2437" i="4" s="1"/>
  <c r="G2436" i="4"/>
  <c r="E2436" i="4"/>
  <c r="F2436" i="4" s="1"/>
  <c r="G2435" i="4"/>
  <c r="E2435" i="4"/>
  <c r="F2435" i="4" s="1"/>
  <c r="G2434" i="4"/>
  <c r="E2434" i="4"/>
  <c r="F2434" i="4" s="1"/>
  <c r="G2433" i="4"/>
  <c r="F2433" i="4"/>
  <c r="E2433" i="4"/>
  <c r="G2432" i="4"/>
  <c r="E2432" i="4"/>
  <c r="F2432" i="4" s="1"/>
  <c r="G2431" i="4"/>
  <c r="E2431" i="4"/>
  <c r="F2431" i="4" s="1"/>
  <c r="G2430" i="4"/>
  <c r="E2430" i="4"/>
  <c r="F2430" i="4" s="1"/>
  <c r="G2429" i="4"/>
  <c r="E2429" i="4"/>
  <c r="F2429" i="4" s="1"/>
  <c r="G2428" i="4"/>
  <c r="F2428" i="4"/>
  <c r="E2428" i="4"/>
  <c r="G2427" i="4"/>
  <c r="F2427" i="4"/>
  <c r="E2427" i="4"/>
  <c r="G2426" i="4"/>
  <c r="E2426" i="4"/>
  <c r="F2426" i="4" s="1"/>
  <c r="G2425" i="4"/>
  <c r="F2425" i="4"/>
  <c r="E2425" i="4"/>
  <c r="G2424" i="4"/>
  <c r="E2424" i="4"/>
  <c r="F2424" i="4" s="1"/>
  <c r="G2423" i="4"/>
  <c r="E2423" i="4"/>
  <c r="F2423" i="4" s="1"/>
  <c r="G2422" i="4"/>
  <c r="E2422" i="4"/>
  <c r="F2422" i="4" s="1"/>
  <c r="G2421" i="4"/>
  <c r="E2421" i="4"/>
  <c r="F2421" i="4" s="1"/>
  <c r="G2420" i="4"/>
  <c r="F2420" i="4"/>
  <c r="E2420" i="4"/>
  <c r="G2419" i="4"/>
  <c r="E2419" i="4"/>
  <c r="F2419" i="4" s="1"/>
  <c r="G2418" i="4"/>
  <c r="E2418" i="4"/>
  <c r="F2418" i="4" s="1"/>
  <c r="G2417" i="4"/>
  <c r="F2417" i="4"/>
  <c r="E2417" i="4"/>
  <c r="G2416" i="4"/>
  <c r="E2416" i="4"/>
  <c r="F2416" i="4" s="1"/>
  <c r="G2415" i="4"/>
  <c r="F2415" i="4"/>
  <c r="E2415" i="4"/>
  <c r="G2414" i="4"/>
  <c r="E2414" i="4"/>
  <c r="F2414" i="4" s="1"/>
  <c r="G2413" i="4"/>
  <c r="E2413" i="4"/>
  <c r="F2413" i="4" s="1"/>
  <c r="G2412" i="4"/>
  <c r="F2412" i="4"/>
  <c r="E2412" i="4"/>
  <c r="G2411" i="4"/>
  <c r="E2411" i="4"/>
  <c r="F2411" i="4" s="1"/>
  <c r="G2410" i="4"/>
  <c r="E2410" i="4"/>
  <c r="F2410" i="4" s="1"/>
  <c r="G2409" i="4"/>
  <c r="E2409" i="4"/>
  <c r="F2409" i="4" s="1"/>
  <c r="G2408" i="4"/>
  <c r="E2408" i="4"/>
  <c r="F2408" i="4" s="1"/>
  <c r="G2407" i="4"/>
  <c r="F2407" i="4"/>
  <c r="E2407" i="4"/>
  <c r="G2406" i="4"/>
  <c r="E2406" i="4"/>
  <c r="F2406" i="4" s="1"/>
  <c r="G2405" i="4"/>
  <c r="F2405" i="4"/>
  <c r="E2405" i="4"/>
  <c r="G2404" i="4"/>
  <c r="E2404" i="4"/>
  <c r="F2404" i="4" s="1"/>
  <c r="G2403" i="4"/>
  <c r="E2403" i="4"/>
  <c r="F2403" i="4" s="1"/>
  <c r="G2402" i="4"/>
  <c r="E2402" i="4"/>
  <c r="F2402" i="4" s="1"/>
  <c r="G2401" i="4"/>
  <c r="E2401" i="4"/>
  <c r="F2401" i="4" s="1"/>
  <c r="G2400" i="4"/>
  <c r="E2400" i="4"/>
  <c r="F2400" i="4" s="1"/>
  <c r="G2399" i="4"/>
  <c r="F2399" i="4"/>
  <c r="E2399" i="4"/>
  <c r="G2398" i="4"/>
  <c r="E2398" i="4"/>
  <c r="F2398" i="4" s="1"/>
  <c r="G2397" i="4"/>
  <c r="E2397" i="4"/>
  <c r="F2397" i="4" s="1"/>
  <c r="G2396" i="4"/>
  <c r="E2396" i="4"/>
  <c r="F2396" i="4" s="1"/>
  <c r="G2395" i="4"/>
  <c r="E2395" i="4"/>
  <c r="F2395" i="4" s="1"/>
  <c r="G2394" i="4"/>
  <c r="E2394" i="4"/>
  <c r="F2394" i="4" s="1"/>
  <c r="G2393" i="4"/>
  <c r="F2393" i="4"/>
  <c r="E2393" i="4"/>
  <c r="G2392" i="4"/>
  <c r="F2392" i="4"/>
  <c r="E2392" i="4"/>
  <c r="G2391" i="4"/>
  <c r="F2391" i="4"/>
  <c r="E2391" i="4"/>
  <c r="G2390" i="4"/>
  <c r="E2390" i="4"/>
  <c r="F2390" i="4" s="1"/>
  <c r="G2389" i="4"/>
  <c r="E2389" i="4"/>
  <c r="F2389" i="4" s="1"/>
  <c r="G2388" i="4"/>
  <c r="E2388" i="4"/>
  <c r="F2388" i="4" s="1"/>
  <c r="G2387" i="4"/>
  <c r="E2387" i="4"/>
  <c r="F2387" i="4" s="1"/>
  <c r="G2386" i="4"/>
  <c r="E2386" i="4"/>
  <c r="F2386" i="4" s="1"/>
  <c r="G2385" i="4"/>
  <c r="F2385" i="4"/>
  <c r="E2385" i="4"/>
  <c r="G2384" i="4"/>
  <c r="E2384" i="4"/>
  <c r="F2384" i="4" s="1"/>
  <c r="G2383" i="4"/>
  <c r="E2383" i="4"/>
  <c r="F2383" i="4" s="1"/>
  <c r="G2382" i="4"/>
  <c r="E2382" i="4"/>
  <c r="F2382" i="4" s="1"/>
  <c r="G2381" i="4"/>
  <c r="E2381" i="4"/>
  <c r="F2381" i="4" s="1"/>
  <c r="G2380" i="4"/>
  <c r="F2380" i="4"/>
  <c r="E2380" i="4"/>
  <c r="G2379" i="4"/>
  <c r="F2379" i="4"/>
  <c r="E2379" i="4"/>
  <c r="G2378" i="4"/>
  <c r="E2378" i="4"/>
  <c r="F2378" i="4" s="1"/>
  <c r="G2377" i="4"/>
  <c r="F2377" i="4"/>
  <c r="E2377" i="4"/>
  <c r="G2376" i="4"/>
  <c r="E2376" i="4"/>
  <c r="F2376" i="4" s="1"/>
  <c r="G2375" i="4"/>
  <c r="E2375" i="4"/>
  <c r="F2375" i="4" s="1"/>
  <c r="G2374" i="4"/>
  <c r="E2374" i="4"/>
  <c r="F2374" i="4" s="1"/>
  <c r="G2373" i="4"/>
  <c r="E2373" i="4"/>
  <c r="F2373" i="4" s="1"/>
  <c r="G2372" i="4"/>
  <c r="F2372" i="4"/>
  <c r="E2372" i="4"/>
  <c r="G2371" i="4"/>
  <c r="E2371" i="4"/>
  <c r="F2371" i="4" s="1"/>
  <c r="G2370" i="4"/>
  <c r="E2370" i="4"/>
  <c r="F2370" i="4" s="1"/>
  <c r="G2369" i="4"/>
  <c r="F2369" i="4"/>
  <c r="E2369" i="4"/>
  <c r="G2368" i="4"/>
  <c r="E2368" i="4"/>
  <c r="F2368" i="4" s="1"/>
  <c r="G2367" i="4"/>
  <c r="F2367" i="4"/>
  <c r="E2367" i="4"/>
  <c r="G2366" i="4"/>
  <c r="E2366" i="4"/>
  <c r="F2366" i="4" s="1"/>
  <c r="G2365" i="4"/>
  <c r="E2365" i="4"/>
  <c r="F2365" i="4" s="1"/>
  <c r="G2364" i="4"/>
  <c r="F2364" i="4"/>
  <c r="E2364" i="4"/>
  <c r="G2363" i="4"/>
  <c r="E2363" i="4"/>
  <c r="F2363" i="4" s="1"/>
  <c r="G2362" i="4"/>
  <c r="E2362" i="4"/>
  <c r="F2362" i="4" s="1"/>
  <c r="G2361" i="4"/>
  <c r="E2361" i="4"/>
  <c r="F2361" i="4" s="1"/>
  <c r="G2360" i="4"/>
  <c r="F2360" i="4"/>
  <c r="E2360" i="4"/>
  <c r="G2359" i="4"/>
  <c r="F2359" i="4"/>
  <c r="E2359" i="4"/>
  <c r="G2358" i="4"/>
  <c r="E2358" i="4"/>
  <c r="F2358" i="4" s="1"/>
  <c r="G2357" i="4"/>
  <c r="F2357" i="4"/>
  <c r="E2357" i="4"/>
  <c r="G2356" i="4"/>
  <c r="E2356" i="4"/>
  <c r="F2356" i="4" s="1"/>
  <c r="G2355" i="4"/>
  <c r="E2355" i="4"/>
  <c r="F2355" i="4" s="1"/>
  <c r="G2354" i="4"/>
  <c r="E2354" i="4"/>
  <c r="F2354" i="4" s="1"/>
  <c r="G2353" i="4"/>
  <c r="E2353" i="4"/>
  <c r="F2353" i="4" s="1"/>
  <c r="G2352" i="4"/>
  <c r="E2352" i="4"/>
  <c r="F2352" i="4" s="1"/>
  <c r="G2351" i="4"/>
  <c r="F2351" i="4"/>
  <c r="E2351" i="4"/>
  <c r="G2350" i="4"/>
  <c r="E2350" i="4"/>
  <c r="F2350" i="4" s="1"/>
  <c r="G2349" i="4"/>
  <c r="E2349" i="4"/>
  <c r="F2349" i="4" s="1"/>
  <c r="G2348" i="4"/>
  <c r="E2348" i="4"/>
  <c r="F2348" i="4" s="1"/>
  <c r="G2347" i="4"/>
  <c r="E2347" i="4"/>
  <c r="F2347" i="4" s="1"/>
  <c r="G2346" i="4"/>
  <c r="E2346" i="4"/>
  <c r="F2346" i="4" s="1"/>
  <c r="G2345" i="4"/>
  <c r="F2345" i="4"/>
  <c r="E2345" i="4"/>
  <c r="G2344" i="4"/>
  <c r="F2344" i="4"/>
  <c r="E2344" i="4"/>
  <c r="G2343" i="4"/>
  <c r="F2343" i="4"/>
  <c r="E2343" i="4"/>
  <c r="G2342" i="4"/>
  <c r="E2342" i="4"/>
  <c r="F2342" i="4" s="1"/>
  <c r="G2341" i="4"/>
  <c r="E2341" i="4"/>
  <c r="F2341" i="4" s="1"/>
  <c r="G2340" i="4"/>
  <c r="E2340" i="4"/>
  <c r="F2340" i="4" s="1"/>
  <c r="G2339" i="4"/>
  <c r="F2339" i="4"/>
  <c r="E2339" i="4"/>
  <c r="G2338" i="4"/>
  <c r="E2338" i="4"/>
  <c r="F2338" i="4" s="1"/>
  <c r="G2337" i="4"/>
  <c r="F2337" i="4"/>
  <c r="E2337" i="4"/>
  <c r="G2336" i="4"/>
  <c r="E2336" i="4"/>
  <c r="F2336" i="4" s="1"/>
  <c r="G2335" i="4"/>
  <c r="E2335" i="4"/>
  <c r="F2335" i="4" s="1"/>
  <c r="G2334" i="4"/>
  <c r="E2334" i="4"/>
  <c r="F2334" i="4" s="1"/>
  <c r="G2333" i="4"/>
  <c r="E2333" i="4"/>
  <c r="F2333" i="4" s="1"/>
  <c r="G2332" i="4"/>
  <c r="F2332" i="4"/>
  <c r="E2332" i="4"/>
  <c r="G2331" i="4"/>
  <c r="F2331" i="4"/>
  <c r="E2331" i="4"/>
  <c r="G2330" i="4"/>
  <c r="E2330" i="4"/>
  <c r="F2330" i="4" s="1"/>
  <c r="G2329" i="4"/>
  <c r="F2329" i="4"/>
  <c r="E2329" i="4"/>
  <c r="G2328" i="4"/>
  <c r="E2328" i="4"/>
  <c r="F2328" i="4" s="1"/>
  <c r="G2327" i="4"/>
  <c r="E2327" i="4"/>
  <c r="F2327" i="4" s="1"/>
  <c r="G2326" i="4"/>
  <c r="E2326" i="4"/>
  <c r="F2326" i="4" s="1"/>
  <c r="G2325" i="4"/>
  <c r="E2325" i="4"/>
  <c r="F2325" i="4" s="1"/>
  <c r="G2324" i="4"/>
  <c r="F2324" i="4"/>
  <c r="E2324" i="4"/>
  <c r="G2323" i="4"/>
  <c r="E2323" i="4"/>
  <c r="F2323" i="4" s="1"/>
  <c r="G2322" i="4"/>
  <c r="E2322" i="4"/>
  <c r="F2322" i="4" s="1"/>
  <c r="G2321" i="4"/>
  <c r="E2321" i="4"/>
  <c r="F2321" i="4" s="1"/>
  <c r="G2320" i="4"/>
  <c r="E2320" i="4"/>
  <c r="F2320" i="4" s="1"/>
  <c r="G2319" i="4"/>
  <c r="F2319" i="4"/>
  <c r="E2319" i="4"/>
  <c r="G2318" i="4"/>
  <c r="E2318" i="4"/>
  <c r="F2318" i="4" s="1"/>
  <c r="G2317" i="4"/>
  <c r="F2317" i="4"/>
  <c r="E2317" i="4"/>
  <c r="G2316" i="4"/>
  <c r="F2316" i="4"/>
  <c r="E2316" i="4"/>
  <c r="G2315" i="4"/>
  <c r="E2315" i="4"/>
  <c r="F2315" i="4" s="1"/>
  <c r="G2314" i="4"/>
  <c r="E2314" i="4"/>
  <c r="F2314" i="4" s="1"/>
  <c r="G2313" i="4"/>
  <c r="E2313" i="4"/>
  <c r="F2313" i="4" s="1"/>
  <c r="G2312" i="4"/>
  <c r="F2312" i="4"/>
  <c r="E2312" i="4"/>
  <c r="G2311" i="4"/>
  <c r="F2311" i="4"/>
  <c r="E2311" i="4"/>
  <c r="G2310" i="4"/>
  <c r="E2310" i="4"/>
  <c r="F2310" i="4" s="1"/>
  <c r="G2309" i="4"/>
  <c r="F2309" i="4"/>
  <c r="E2309" i="4"/>
  <c r="G2308" i="4"/>
  <c r="E2308" i="4"/>
  <c r="F2308" i="4" s="1"/>
  <c r="G2307" i="4"/>
  <c r="E2307" i="4"/>
  <c r="F2307" i="4" s="1"/>
  <c r="G2306" i="4"/>
  <c r="E2306" i="4"/>
  <c r="F2306" i="4" s="1"/>
  <c r="G2305" i="4"/>
  <c r="E2305" i="4"/>
  <c r="F2305" i="4" s="1"/>
  <c r="G2304" i="4"/>
  <c r="E2304" i="4"/>
  <c r="F2304" i="4" s="1"/>
  <c r="G2303" i="4"/>
  <c r="F2303" i="4"/>
  <c r="E2303" i="4"/>
  <c r="G2302" i="4"/>
  <c r="E2302" i="4"/>
  <c r="F2302" i="4" s="1"/>
  <c r="G2301" i="4"/>
  <c r="E2301" i="4"/>
  <c r="F2301" i="4" s="1"/>
  <c r="G2300" i="4"/>
  <c r="E2300" i="4"/>
  <c r="F2300" i="4" s="1"/>
  <c r="G2299" i="4"/>
  <c r="E2299" i="4"/>
  <c r="F2299" i="4" s="1"/>
  <c r="G2298" i="4"/>
  <c r="E2298" i="4"/>
  <c r="F2298" i="4" s="1"/>
  <c r="G2297" i="4"/>
  <c r="F2297" i="4"/>
  <c r="E2297" i="4"/>
  <c r="G2296" i="4"/>
  <c r="F2296" i="4"/>
  <c r="E2296" i="4"/>
  <c r="G2295" i="4"/>
  <c r="F2295" i="4"/>
  <c r="E2295" i="4"/>
  <c r="G2294" i="4"/>
  <c r="E2294" i="4"/>
  <c r="F2294" i="4" s="1"/>
  <c r="G2293" i="4"/>
  <c r="E2293" i="4"/>
  <c r="F2293" i="4" s="1"/>
  <c r="G2292" i="4"/>
  <c r="E2292" i="4"/>
  <c r="F2292" i="4" s="1"/>
  <c r="G2291" i="4"/>
  <c r="E2291" i="4"/>
  <c r="F2291" i="4" s="1"/>
  <c r="G2290" i="4"/>
  <c r="E2290" i="4"/>
  <c r="F2290" i="4" s="1"/>
  <c r="G2289" i="4"/>
  <c r="F2289" i="4"/>
  <c r="E2289" i="4"/>
  <c r="G2288" i="4"/>
  <c r="E2288" i="4"/>
  <c r="F2288" i="4" s="1"/>
  <c r="G2287" i="4"/>
  <c r="E2287" i="4"/>
  <c r="F2287" i="4" s="1"/>
  <c r="G2286" i="4"/>
  <c r="E2286" i="4"/>
  <c r="F2286" i="4" s="1"/>
  <c r="G2285" i="4"/>
  <c r="E2285" i="4"/>
  <c r="F2285" i="4" s="1"/>
  <c r="G2284" i="4"/>
  <c r="F2284" i="4"/>
  <c r="E2284" i="4"/>
  <c r="G2283" i="4"/>
  <c r="F2283" i="4"/>
  <c r="E2283" i="4"/>
  <c r="G2282" i="4"/>
  <c r="E2282" i="4"/>
  <c r="F2282" i="4" s="1"/>
  <c r="G2281" i="4"/>
  <c r="F2281" i="4"/>
  <c r="E2281" i="4"/>
  <c r="G2280" i="4"/>
  <c r="E2280" i="4"/>
  <c r="F2280" i="4" s="1"/>
  <c r="G2279" i="4"/>
  <c r="F2279" i="4"/>
  <c r="E2279" i="4"/>
  <c r="G2278" i="4"/>
  <c r="E2278" i="4"/>
  <c r="F2278" i="4" s="1"/>
  <c r="G2277" i="4"/>
  <c r="F2277" i="4"/>
  <c r="E2277" i="4"/>
  <c r="G2276" i="4"/>
  <c r="F2276" i="4"/>
  <c r="E2276" i="4"/>
  <c r="G2275" i="4"/>
  <c r="E2275" i="4"/>
  <c r="F2275" i="4" s="1"/>
  <c r="G2274" i="4"/>
  <c r="E2274" i="4"/>
  <c r="F2274" i="4" s="1"/>
  <c r="G2273" i="4"/>
  <c r="E2273" i="4"/>
  <c r="F2273" i="4" s="1"/>
  <c r="G2272" i="4"/>
  <c r="E2272" i="4"/>
  <c r="F2272" i="4" s="1"/>
  <c r="G2271" i="4"/>
  <c r="F2271" i="4"/>
  <c r="E2271" i="4"/>
  <c r="G2270" i="4"/>
  <c r="E2270" i="4"/>
  <c r="F2270" i="4" s="1"/>
  <c r="G2269" i="4"/>
  <c r="E2269" i="4"/>
  <c r="F2269" i="4" s="1"/>
  <c r="G2268" i="4"/>
  <c r="F2268" i="4"/>
  <c r="E2268" i="4"/>
  <c r="G2267" i="4"/>
  <c r="E2267" i="4"/>
  <c r="F2267" i="4" s="1"/>
  <c r="G2266" i="4"/>
  <c r="E2266" i="4"/>
  <c r="F2266" i="4" s="1"/>
  <c r="G2265" i="4"/>
  <c r="E2265" i="4"/>
  <c r="F2265" i="4" s="1"/>
  <c r="G2264" i="4"/>
  <c r="E2264" i="4"/>
  <c r="F2264" i="4" s="1"/>
  <c r="G2263" i="4"/>
  <c r="F2263" i="4"/>
  <c r="E2263" i="4"/>
  <c r="G2262" i="4"/>
  <c r="E2262" i="4"/>
  <c r="F2262" i="4" s="1"/>
  <c r="G2261" i="4"/>
  <c r="F2261" i="4"/>
  <c r="E2261" i="4"/>
  <c r="G2260" i="4"/>
  <c r="F2260" i="4"/>
  <c r="E2260" i="4"/>
  <c r="G2259" i="4"/>
  <c r="E2259" i="4"/>
  <c r="F2259" i="4" s="1"/>
  <c r="G2258" i="4"/>
  <c r="E2258" i="4"/>
  <c r="F2258" i="4" s="1"/>
  <c r="G2257" i="4"/>
  <c r="E2257" i="4"/>
  <c r="F2257" i="4" s="1"/>
  <c r="G2256" i="4"/>
  <c r="E2256" i="4"/>
  <c r="F2256" i="4" s="1"/>
  <c r="G2255" i="4"/>
  <c r="F2255" i="4"/>
  <c r="E2255" i="4"/>
  <c r="G2254" i="4"/>
  <c r="E2254" i="4"/>
  <c r="F2254" i="4" s="1"/>
  <c r="G2253" i="4"/>
  <c r="E2253" i="4"/>
  <c r="F2253" i="4" s="1"/>
  <c r="G2252" i="4"/>
  <c r="F2252" i="4"/>
  <c r="E2252" i="4"/>
  <c r="G2251" i="4"/>
  <c r="F2251" i="4"/>
  <c r="E2251" i="4"/>
  <c r="G2250" i="4"/>
  <c r="E2250" i="4"/>
  <c r="F2250" i="4" s="1"/>
  <c r="G2249" i="4"/>
  <c r="F2249" i="4"/>
  <c r="E2249" i="4"/>
  <c r="G2248" i="4"/>
  <c r="E2248" i="4"/>
  <c r="F2248" i="4" s="1"/>
  <c r="G2247" i="4"/>
  <c r="E2247" i="4"/>
  <c r="F2247" i="4" s="1"/>
  <c r="G2246" i="4"/>
  <c r="E2246" i="4"/>
  <c r="F2246" i="4" s="1"/>
  <c r="G2245" i="4"/>
  <c r="E2245" i="4"/>
  <c r="F2245" i="4" s="1"/>
  <c r="G2244" i="4"/>
  <c r="E2244" i="4"/>
  <c r="F2244" i="4" s="1"/>
  <c r="G2243" i="4"/>
  <c r="F2243" i="4"/>
  <c r="E2243" i="4"/>
  <c r="G2242" i="4"/>
  <c r="E2242" i="4"/>
  <c r="F2242" i="4" s="1"/>
  <c r="G2241" i="4"/>
  <c r="F2241" i="4"/>
  <c r="E2241" i="4"/>
  <c r="G2240" i="4"/>
  <c r="E2240" i="4"/>
  <c r="F2240" i="4" s="1"/>
  <c r="G2239" i="4"/>
  <c r="E2239" i="4"/>
  <c r="F2239" i="4" s="1"/>
  <c r="G2238" i="4"/>
  <c r="E2238" i="4"/>
  <c r="F2238" i="4" s="1"/>
  <c r="G2237" i="4"/>
  <c r="E2237" i="4"/>
  <c r="F2237" i="4" s="1"/>
  <c r="G2236" i="4"/>
  <c r="F2236" i="4"/>
  <c r="E2236" i="4"/>
  <c r="G2235" i="4"/>
  <c r="F2235" i="4"/>
  <c r="E2235" i="4"/>
  <c r="G2234" i="4"/>
  <c r="E2234" i="4"/>
  <c r="F2234" i="4" s="1"/>
  <c r="G2233" i="4"/>
  <c r="F2233" i="4"/>
  <c r="E2233" i="4"/>
  <c r="G2232" i="4"/>
  <c r="E2232" i="4"/>
  <c r="F2232" i="4" s="1"/>
  <c r="G2231" i="4"/>
  <c r="E2231" i="4"/>
  <c r="F2231" i="4" s="1"/>
  <c r="G2230" i="4"/>
  <c r="E2230" i="4"/>
  <c r="F2230" i="4" s="1"/>
  <c r="G2229" i="4"/>
  <c r="F2229" i="4"/>
  <c r="E2229" i="4"/>
  <c r="G2228" i="4"/>
  <c r="F2228" i="4"/>
  <c r="E2228" i="4"/>
  <c r="G2227" i="4"/>
  <c r="E2227" i="4"/>
  <c r="F2227" i="4" s="1"/>
  <c r="G2226" i="4"/>
  <c r="E2226" i="4"/>
  <c r="F2226" i="4" s="1"/>
  <c r="G2225" i="4"/>
  <c r="E2225" i="4"/>
  <c r="F2225" i="4" s="1"/>
  <c r="G2224" i="4"/>
  <c r="E2224" i="4"/>
  <c r="F2224" i="4" s="1"/>
  <c r="G2223" i="4"/>
  <c r="F2223" i="4"/>
  <c r="E2223" i="4"/>
  <c r="G2222" i="4"/>
  <c r="E2222" i="4"/>
  <c r="F2222" i="4" s="1"/>
  <c r="G2221" i="4"/>
  <c r="F2221" i="4"/>
  <c r="E2221" i="4"/>
  <c r="G2220" i="4"/>
  <c r="F2220" i="4"/>
  <c r="E2220" i="4"/>
  <c r="G2219" i="4"/>
  <c r="F2219" i="4"/>
  <c r="E2219" i="4"/>
  <c r="G2218" i="4"/>
  <c r="E2218" i="4"/>
  <c r="F2218" i="4" s="1"/>
  <c r="G2217" i="4"/>
  <c r="E2217" i="4"/>
  <c r="F2217" i="4" s="1"/>
  <c r="G2216" i="4"/>
  <c r="E2216" i="4"/>
  <c r="F2216" i="4" s="1"/>
  <c r="G2215" i="4"/>
  <c r="E2215" i="4"/>
  <c r="F2215" i="4" s="1"/>
  <c r="G2214" i="4"/>
  <c r="E2214" i="4"/>
  <c r="F2214" i="4" s="1"/>
  <c r="G2213" i="4"/>
  <c r="E2213" i="4"/>
  <c r="F2213" i="4" s="1"/>
  <c r="G2212" i="4"/>
  <c r="E2212" i="4"/>
  <c r="F2212" i="4" s="1"/>
  <c r="G2211" i="4"/>
  <c r="E2211" i="4"/>
  <c r="F2211" i="4" s="1"/>
  <c r="G2210" i="4"/>
  <c r="E2210" i="4"/>
  <c r="F2210" i="4" s="1"/>
  <c r="G2209" i="4"/>
  <c r="E2209" i="4"/>
  <c r="F2209" i="4" s="1"/>
  <c r="G2208" i="4"/>
  <c r="E2208" i="4"/>
  <c r="F2208" i="4" s="1"/>
  <c r="G2207" i="4"/>
  <c r="F2207" i="4"/>
  <c r="E2207" i="4"/>
  <c r="G2206" i="4"/>
  <c r="E2206" i="4"/>
  <c r="F2206" i="4" s="1"/>
  <c r="G2205" i="4"/>
  <c r="E2205" i="4"/>
  <c r="F2205" i="4" s="1"/>
  <c r="G2204" i="4"/>
  <c r="F2204" i="4"/>
  <c r="E2204" i="4"/>
  <c r="G2203" i="4"/>
  <c r="F2203" i="4"/>
  <c r="E2203" i="4"/>
  <c r="G2202" i="4"/>
  <c r="E2202" i="4"/>
  <c r="F2202" i="4" s="1"/>
  <c r="G2201" i="4"/>
  <c r="F2201" i="4"/>
  <c r="E2201" i="4"/>
  <c r="G2200" i="4"/>
  <c r="E2200" i="4"/>
  <c r="F2200" i="4" s="1"/>
  <c r="G2199" i="4"/>
  <c r="E2199" i="4"/>
  <c r="F2199" i="4" s="1"/>
  <c r="G2198" i="4"/>
  <c r="E2198" i="4"/>
  <c r="F2198" i="4" s="1"/>
  <c r="G2197" i="4"/>
  <c r="F2197" i="4"/>
  <c r="E2197" i="4"/>
  <c r="G2196" i="4"/>
  <c r="F2196" i="4"/>
  <c r="E2196" i="4"/>
  <c r="G2195" i="4"/>
  <c r="E2195" i="4"/>
  <c r="F2195" i="4" s="1"/>
  <c r="G2194" i="4"/>
  <c r="E2194" i="4"/>
  <c r="F2194" i="4" s="1"/>
  <c r="G2193" i="4"/>
  <c r="E2193" i="4"/>
  <c r="F2193" i="4" s="1"/>
  <c r="G2192" i="4"/>
  <c r="E2192" i="4"/>
  <c r="F2192" i="4" s="1"/>
  <c r="G2191" i="4"/>
  <c r="E2191" i="4"/>
  <c r="F2191" i="4" s="1"/>
  <c r="G2190" i="4"/>
  <c r="E2190" i="4"/>
  <c r="F2190" i="4" s="1"/>
  <c r="G2189" i="4"/>
  <c r="E2189" i="4"/>
  <c r="F2189" i="4" s="1"/>
  <c r="G2188" i="4"/>
  <c r="F2188" i="4"/>
  <c r="E2188" i="4"/>
  <c r="G2187" i="4"/>
  <c r="E2187" i="4"/>
  <c r="F2187" i="4" s="1"/>
  <c r="G2186" i="4"/>
  <c r="E2186" i="4"/>
  <c r="F2186" i="4" s="1"/>
  <c r="G2185" i="4"/>
  <c r="F2185" i="4"/>
  <c r="E2185" i="4"/>
  <c r="G2184" i="4"/>
  <c r="E2184" i="4"/>
  <c r="F2184" i="4" s="1"/>
  <c r="G2183" i="4"/>
  <c r="E2183" i="4"/>
  <c r="F2183" i="4" s="1"/>
  <c r="G2182" i="4"/>
  <c r="E2182" i="4"/>
  <c r="F2182" i="4" s="1"/>
  <c r="G2181" i="4"/>
  <c r="E2181" i="4"/>
  <c r="F2181" i="4" s="1"/>
  <c r="G2180" i="4"/>
  <c r="E2180" i="4"/>
  <c r="F2180" i="4" s="1"/>
  <c r="G2179" i="4"/>
  <c r="E2179" i="4"/>
  <c r="F2179" i="4" s="1"/>
  <c r="G2178" i="4"/>
  <c r="E2178" i="4"/>
  <c r="F2178" i="4" s="1"/>
  <c r="G2177" i="4"/>
  <c r="E2177" i="4"/>
  <c r="F2177" i="4" s="1"/>
  <c r="G2176" i="4"/>
  <c r="E2176" i="4"/>
  <c r="F2176" i="4" s="1"/>
  <c r="G2175" i="4"/>
  <c r="E2175" i="4"/>
  <c r="F2175" i="4" s="1"/>
  <c r="G2174" i="4"/>
  <c r="E2174" i="4"/>
  <c r="F2174" i="4" s="1"/>
  <c r="G2173" i="4"/>
  <c r="F2173" i="4"/>
  <c r="E2173" i="4"/>
  <c r="G2172" i="4"/>
  <c r="E2172" i="4"/>
  <c r="F2172" i="4" s="1"/>
  <c r="G2171" i="4"/>
  <c r="E2171" i="4"/>
  <c r="F2171" i="4" s="1"/>
  <c r="G2170" i="4"/>
  <c r="E2170" i="4"/>
  <c r="F2170" i="4" s="1"/>
  <c r="G2169" i="4"/>
  <c r="E2169" i="4"/>
  <c r="F2169" i="4" s="1"/>
  <c r="G2168" i="4"/>
  <c r="F2168" i="4"/>
  <c r="E2168" i="4"/>
  <c r="G2167" i="4"/>
  <c r="F2167" i="4"/>
  <c r="E2167" i="4"/>
  <c r="G2166" i="4"/>
  <c r="E2166" i="4"/>
  <c r="F2166" i="4" s="1"/>
  <c r="G2165" i="4"/>
  <c r="E2165" i="4"/>
  <c r="F2165" i="4" s="1"/>
  <c r="G2164" i="4"/>
  <c r="E2164" i="4"/>
  <c r="F2164" i="4" s="1"/>
  <c r="G2163" i="4"/>
  <c r="E2163" i="4"/>
  <c r="F2163" i="4" s="1"/>
  <c r="G2162" i="4"/>
  <c r="E2162" i="4"/>
  <c r="F2162" i="4" s="1"/>
  <c r="G2161" i="4"/>
  <c r="F2161" i="4"/>
  <c r="E2161" i="4"/>
  <c r="G2160" i="4"/>
  <c r="F2160" i="4"/>
  <c r="E2160" i="4"/>
  <c r="G2159" i="4"/>
  <c r="E2159" i="4"/>
  <c r="F2159" i="4" s="1"/>
  <c r="G2158" i="4"/>
  <c r="E2158" i="4"/>
  <c r="F2158" i="4" s="1"/>
  <c r="G2157" i="4"/>
  <c r="E2157" i="4"/>
  <c r="F2157" i="4" s="1"/>
  <c r="G2156" i="4"/>
  <c r="F2156" i="4"/>
  <c r="E2156" i="4"/>
  <c r="G2155" i="4"/>
  <c r="F2155" i="4"/>
  <c r="E2155" i="4"/>
  <c r="G2154" i="4"/>
  <c r="E2154" i="4"/>
  <c r="F2154" i="4" s="1"/>
  <c r="G2153" i="4"/>
  <c r="E2153" i="4"/>
  <c r="F2153" i="4" s="1"/>
  <c r="G2152" i="4"/>
  <c r="E2152" i="4"/>
  <c r="F2152" i="4" s="1"/>
  <c r="G2151" i="4"/>
  <c r="E2151" i="4"/>
  <c r="F2151" i="4" s="1"/>
  <c r="G2150" i="4"/>
  <c r="E2150" i="4"/>
  <c r="F2150" i="4" s="1"/>
  <c r="G2149" i="4"/>
  <c r="E2149" i="4"/>
  <c r="F2149" i="4" s="1"/>
  <c r="G2148" i="4"/>
  <c r="F2148" i="4"/>
  <c r="E2148" i="4"/>
  <c r="G2147" i="4"/>
  <c r="F2147" i="4"/>
  <c r="E2147" i="4"/>
  <c r="G2146" i="4"/>
  <c r="E2146" i="4"/>
  <c r="F2146" i="4" s="1"/>
  <c r="G2145" i="4"/>
  <c r="F2145" i="4"/>
  <c r="E2145" i="4"/>
  <c r="G2144" i="4"/>
  <c r="F2144" i="4"/>
  <c r="E2144" i="4"/>
  <c r="G2143" i="4"/>
  <c r="F2143" i="4"/>
  <c r="E2143" i="4"/>
  <c r="G2142" i="4"/>
  <c r="E2142" i="4"/>
  <c r="F2142" i="4" s="1"/>
  <c r="G2141" i="4"/>
  <c r="E2141" i="4"/>
  <c r="F2141" i="4" s="1"/>
  <c r="G2140" i="4"/>
  <c r="E2140" i="4"/>
  <c r="F2140" i="4" s="1"/>
  <c r="G2139" i="4"/>
  <c r="E2139" i="4"/>
  <c r="F2139" i="4" s="1"/>
  <c r="G2138" i="4"/>
  <c r="E2138" i="4"/>
  <c r="F2138" i="4" s="1"/>
  <c r="G2137" i="4"/>
  <c r="E2137" i="4"/>
  <c r="F2137" i="4" s="1"/>
  <c r="G2136" i="4"/>
  <c r="E2136" i="4"/>
  <c r="F2136" i="4" s="1"/>
  <c r="G2135" i="4"/>
  <c r="F2135" i="4"/>
  <c r="E2135" i="4"/>
  <c r="G2134" i="4"/>
  <c r="E2134" i="4"/>
  <c r="F2134" i="4" s="1"/>
  <c r="G2133" i="4"/>
  <c r="F2133" i="4"/>
  <c r="E2133" i="4"/>
  <c r="G2132" i="4"/>
  <c r="F2132" i="4"/>
  <c r="E2132" i="4"/>
  <c r="G2131" i="4"/>
  <c r="F2131" i="4"/>
  <c r="E2131" i="4"/>
  <c r="G2130" i="4"/>
  <c r="E2130" i="4"/>
  <c r="F2130" i="4" s="1"/>
  <c r="G2129" i="4"/>
  <c r="E2129" i="4"/>
  <c r="F2129" i="4" s="1"/>
  <c r="G2128" i="4"/>
  <c r="E2128" i="4"/>
  <c r="F2128" i="4" s="1"/>
  <c r="G2127" i="4"/>
  <c r="E2127" i="4"/>
  <c r="F2127" i="4" s="1"/>
  <c r="G2126" i="4"/>
  <c r="E2126" i="4"/>
  <c r="F2126" i="4" s="1"/>
  <c r="G2125" i="4"/>
  <c r="F2125" i="4"/>
  <c r="E2125" i="4"/>
  <c r="G2124" i="4"/>
  <c r="E2124" i="4"/>
  <c r="F2124" i="4" s="1"/>
  <c r="G2123" i="4"/>
  <c r="E2123" i="4"/>
  <c r="F2123" i="4" s="1"/>
  <c r="G2122" i="4"/>
  <c r="E2122" i="4"/>
  <c r="F2122" i="4" s="1"/>
  <c r="G2121" i="4"/>
  <c r="F2121" i="4"/>
  <c r="E2121" i="4"/>
  <c r="G2120" i="4"/>
  <c r="F2120" i="4"/>
  <c r="E2120" i="4"/>
  <c r="G2119" i="4"/>
  <c r="F2119" i="4"/>
  <c r="E2119" i="4"/>
  <c r="G2118" i="4"/>
  <c r="E2118" i="4"/>
  <c r="F2118" i="4" s="1"/>
  <c r="G2117" i="4"/>
  <c r="E2117" i="4"/>
  <c r="F2117" i="4" s="1"/>
  <c r="G2116" i="4"/>
  <c r="E2116" i="4"/>
  <c r="F2116" i="4" s="1"/>
  <c r="G2115" i="4"/>
  <c r="E2115" i="4"/>
  <c r="F2115" i="4" s="1"/>
  <c r="G2114" i="4"/>
  <c r="E2114" i="4"/>
  <c r="F2114" i="4" s="1"/>
  <c r="G2113" i="4"/>
  <c r="F2113" i="4"/>
  <c r="E2113" i="4"/>
  <c r="G2112" i="4"/>
  <c r="F2112" i="4"/>
  <c r="E2112" i="4"/>
  <c r="G2111" i="4"/>
  <c r="E2111" i="4"/>
  <c r="F2111" i="4" s="1"/>
  <c r="G2110" i="4"/>
  <c r="E2110" i="4"/>
  <c r="F2110" i="4" s="1"/>
  <c r="G2109" i="4"/>
  <c r="F2109" i="4"/>
  <c r="E2109" i="4"/>
  <c r="G2108" i="4"/>
  <c r="E2108" i="4"/>
  <c r="F2108" i="4" s="1"/>
  <c r="G2107" i="4"/>
  <c r="F2107" i="4"/>
  <c r="E2107" i="4"/>
  <c r="G2106" i="4"/>
  <c r="E2106" i="4"/>
  <c r="F2106" i="4" s="1"/>
  <c r="G2105" i="4"/>
  <c r="E2105" i="4"/>
  <c r="F2105" i="4" s="1"/>
  <c r="G2104" i="4"/>
  <c r="E2104" i="4"/>
  <c r="F2104" i="4" s="1"/>
  <c r="G2103" i="4"/>
  <c r="E2103" i="4"/>
  <c r="F2103" i="4" s="1"/>
  <c r="G2102" i="4"/>
  <c r="E2102" i="4"/>
  <c r="F2102" i="4" s="1"/>
  <c r="G2101" i="4"/>
  <c r="E2101" i="4"/>
  <c r="F2101" i="4" s="1"/>
  <c r="G2100" i="4"/>
  <c r="F2100" i="4"/>
  <c r="E2100" i="4"/>
  <c r="G2099" i="4"/>
  <c r="F2099" i="4"/>
  <c r="E2099" i="4"/>
  <c r="G2098" i="4"/>
  <c r="E2098" i="4"/>
  <c r="F2098" i="4" s="1"/>
  <c r="G2097" i="4"/>
  <c r="F2097" i="4"/>
  <c r="E2097" i="4"/>
  <c r="G2096" i="4"/>
  <c r="E2096" i="4"/>
  <c r="F2096" i="4" s="1"/>
  <c r="G2095" i="4"/>
  <c r="E2095" i="4"/>
  <c r="F2095" i="4" s="1"/>
  <c r="G2094" i="4"/>
  <c r="E2094" i="4"/>
  <c r="F2094" i="4" s="1"/>
  <c r="G2093" i="4"/>
  <c r="E2093" i="4"/>
  <c r="F2093" i="4" s="1"/>
  <c r="G2092" i="4"/>
  <c r="E2092" i="4"/>
  <c r="F2092" i="4" s="1"/>
  <c r="G2091" i="4"/>
  <c r="E2091" i="4"/>
  <c r="F2091" i="4" s="1"/>
  <c r="G2090" i="4"/>
  <c r="E2090" i="4"/>
  <c r="F2090" i="4" s="1"/>
  <c r="G2089" i="4"/>
  <c r="E2089" i="4"/>
  <c r="F2089" i="4" s="1"/>
  <c r="G2088" i="4"/>
  <c r="E2088" i="4"/>
  <c r="F2088" i="4" s="1"/>
  <c r="G2087" i="4"/>
  <c r="F2087" i="4"/>
  <c r="E2087" i="4"/>
  <c r="G2086" i="4"/>
  <c r="E2086" i="4"/>
  <c r="F2086" i="4" s="1"/>
  <c r="G2085" i="4"/>
  <c r="F2085" i="4"/>
  <c r="E2085" i="4"/>
  <c r="G2084" i="4"/>
  <c r="F2084" i="4"/>
  <c r="E2084" i="4"/>
  <c r="G2083" i="4"/>
  <c r="E2083" i="4"/>
  <c r="F2083" i="4" s="1"/>
  <c r="G2082" i="4"/>
  <c r="E2082" i="4"/>
  <c r="F2082" i="4" s="1"/>
  <c r="G2081" i="4"/>
  <c r="E2081" i="4"/>
  <c r="F2081" i="4" s="1"/>
  <c r="G2080" i="4"/>
  <c r="E2080" i="4"/>
  <c r="F2080" i="4" s="1"/>
  <c r="G2079" i="4"/>
  <c r="E2079" i="4"/>
  <c r="F2079" i="4" s="1"/>
  <c r="G2078" i="4"/>
  <c r="E2078" i="4"/>
  <c r="F2078" i="4" s="1"/>
  <c r="G2077" i="4"/>
  <c r="F2077" i="4"/>
  <c r="E2077" i="4"/>
  <c r="G2076" i="4"/>
  <c r="E2076" i="4"/>
  <c r="F2076" i="4" s="1"/>
  <c r="G2075" i="4"/>
  <c r="E2075" i="4"/>
  <c r="F2075" i="4" s="1"/>
  <c r="G2074" i="4"/>
  <c r="E2074" i="4"/>
  <c r="F2074" i="4" s="1"/>
  <c r="G2073" i="4"/>
  <c r="E2073" i="4"/>
  <c r="F2073" i="4" s="1"/>
  <c r="G2072" i="4"/>
  <c r="F2072" i="4"/>
  <c r="E2072" i="4"/>
  <c r="G2071" i="4"/>
  <c r="F2071" i="4"/>
  <c r="E2071" i="4"/>
  <c r="G2070" i="4"/>
  <c r="E2070" i="4"/>
  <c r="F2070" i="4" s="1"/>
  <c r="G2069" i="4"/>
  <c r="E2069" i="4"/>
  <c r="F2069" i="4" s="1"/>
  <c r="G2068" i="4"/>
  <c r="E2068" i="4"/>
  <c r="F2068" i="4" s="1"/>
  <c r="G2067" i="4"/>
  <c r="E2067" i="4"/>
  <c r="F2067" i="4" s="1"/>
  <c r="G2066" i="4"/>
  <c r="E2066" i="4"/>
  <c r="F2066" i="4" s="1"/>
  <c r="G2065" i="4"/>
  <c r="F2065" i="4"/>
  <c r="E2065" i="4"/>
  <c r="G2064" i="4"/>
  <c r="F2064" i="4"/>
  <c r="E2064" i="4"/>
  <c r="G2063" i="4"/>
  <c r="E2063" i="4"/>
  <c r="F2063" i="4" s="1"/>
  <c r="G2062" i="4"/>
  <c r="E2062" i="4"/>
  <c r="F2062" i="4" s="1"/>
  <c r="G2061" i="4"/>
  <c r="E2061" i="4"/>
  <c r="F2061" i="4" s="1"/>
  <c r="G2060" i="4"/>
  <c r="F2060" i="4"/>
  <c r="E2060" i="4"/>
  <c r="G2059" i="4"/>
  <c r="F2059" i="4"/>
  <c r="E2059" i="4"/>
  <c r="G2058" i="4"/>
  <c r="E2058" i="4"/>
  <c r="F2058" i="4" s="1"/>
  <c r="G2057" i="4"/>
  <c r="E2057" i="4"/>
  <c r="F2057" i="4" s="1"/>
  <c r="G2056" i="4"/>
  <c r="E2056" i="4"/>
  <c r="F2056" i="4" s="1"/>
  <c r="G2055" i="4"/>
  <c r="E2055" i="4"/>
  <c r="F2055" i="4" s="1"/>
  <c r="G2054" i="4"/>
  <c r="E2054" i="4"/>
  <c r="F2054" i="4" s="1"/>
  <c r="G2053" i="4"/>
  <c r="E2053" i="4"/>
  <c r="F2053" i="4" s="1"/>
  <c r="G2052" i="4"/>
  <c r="F2052" i="4"/>
  <c r="E2052" i="4"/>
  <c r="G2051" i="4"/>
  <c r="F2051" i="4"/>
  <c r="E2051" i="4"/>
  <c r="G2050" i="4"/>
  <c r="E2050" i="4"/>
  <c r="F2050" i="4" s="1"/>
  <c r="G2049" i="4"/>
  <c r="F2049" i="4"/>
  <c r="E2049" i="4"/>
  <c r="G2048" i="4"/>
  <c r="F2048" i="4"/>
  <c r="E2048" i="4"/>
  <c r="G2047" i="4"/>
  <c r="F2047" i="4"/>
  <c r="E2047" i="4"/>
  <c r="G2046" i="4"/>
  <c r="E2046" i="4"/>
  <c r="F2046" i="4" s="1"/>
  <c r="G2045" i="4"/>
  <c r="E2045" i="4"/>
  <c r="F2045" i="4" s="1"/>
  <c r="G2044" i="4"/>
  <c r="E2044" i="4"/>
  <c r="F2044" i="4" s="1"/>
  <c r="G2043" i="4"/>
  <c r="E2043" i="4"/>
  <c r="F2043" i="4" s="1"/>
  <c r="G2042" i="4"/>
  <c r="E2042" i="4"/>
  <c r="F2042" i="4" s="1"/>
  <c r="G2041" i="4"/>
  <c r="E2041" i="4"/>
  <c r="F2041" i="4" s="1"/>
  <c r="G2040" i="4"/>
  <c r="E2040" i="4"/>
  <c r="F2040" i="4" s="1"/>
  <c r="G2039" i="4"/>
  <c r="F2039" i="4"/>
  <c r="E2039" i="4"/>
  <c r="G2038" i="4"/>
  <c r="E2038" i="4"/>
  <c r="F2038" i="4" s="1"/>
  <c r="G2037" i="4"/>
  <c r="F2037" i="4"/>
  <c r="E2037" i="4"/>
  <c r="G2036" i="4"/>
  <c r="F2036" i="4"/>
  <c r="E2036" i="4"/>
  <c r="G2035" i="4"/>
  <c r="F2035" i="4"/>
  <c r="E2035" i="4"/>
  <c r="G2034" i="4"/>
  <c r="E2034" i="4"/>
  <c r="F2034" i="4" s="1"/>
  <c r="G2033" i="4"/>
  <c r="E2033" i="4"/>
  <c r="F2033" i="4" s="1"/>
  <c r="G2032" i="4"/>
  <c r="E2032" i="4"/>
  <c r="F2032" i="4" s="1"/>
  <c r="G2031" i="4"/>
  <c r="E2031" i="4"/>
  <c r="F2031" i="4" s="1"/>
  <c r="G2030" i="4"/>
  <c r="E2030" i="4"/>
  <c r="F2030" i="4" s="1"/>
  <c r="G2029" i="4"/>
  <c r="F2029" i="4"/>
  <c r="E2029" i="4"/>
  <c r="G2028" i="4"/>
  <c r="E2028" i="4"/>
  <c r="F2028" i="4" s="1"/>
  <c r="G2027" i="4"/>
  <c r="E2027" i="4"/>
  <c r="F2027" i="4" s="1"/>
  <c r="G2026" i="4"/>
  <c r="E2026" i="4"/>
  <c r="F2026" i="4" s="1"/>
  <c r="G2025" i="4"/>
  <c r="F2025" i="4"/>
  <c r="E2025" i="4"/>
  <c r="G2024" i="4"/>
  <c r="F2024" i="4"/>
  <c r="E2024" i="4"/>
  <c r="G2023" i="4"/>
  <c r="E2023" i="4"/>
  <c r="F2023" i="4" s="1"/>
  <c r="G2022" i="4"/>
  <c r="E2022" i="4"/>
  <c r="F2022" i="4" s="1"/>
  <c r="G2021" i="4"/>
  <c r="F2021" i="4"/>
  <c r="E2021" i="4"/>
  <c r="G2020" i="4"/>
  <c r="F2020" i="4"/>
  <c r="E2020" i="4"/>
  <c r="G2019" i="4"/>
  <c r="E2019" i="4"/>
  <c r="F2019" i="4" s="1"/>
  <c r="G2018" i="4"/>
  <c r="E2018" i="4"/>
  <c r="F2018" i="4" s="1"/>
  <c r="G2017" i="4"/>
  <c r="E2017" i="4"/>
  <c r="F2017" i="4" s="1"/>
  <c r="G2016" i="4"/>
  <c r="E2016" i="4"/>
  <c r="F2016" i="4" s="1"/>
  <c r="G2015" i="4"/>
  <c r="E2015" i="4"/>
  <c r="F2015" i="4" s="1"/>
  <c r="G2014" i="4"/>
  <c r="E2014" i="4"/>
  <c r="F2014" i="4" s="1"/>
  <c r="G2013" i="4"/>
  <c r="E2013" i="4"/>
  <c r="F2013" i="4" s="1"/>
  <c r="G2012" i="4"/>
  <c r="F2012" i="4"/>
  <c r="E2012" i="4"/>
  <c r="G2011" i="4"/>
  <c r="E2011" i="4"/>
  <c r="F2011" i="4" s="1"/>
  <c r="G2010" i="4"/>
  <c r="E2010" i="4"/>
  <c r="F2010" i="4" s="1"/>
  <c r="G2009" i="4"/>
  <c r="E2009" i="4"/>
  <c r="F2009" i="4" s="1"/>
  <c r="G2008" i="4"/>
  <c r="E2008" i="4"/>
  <c r="F2008" i="4" s="1"/>
  <c r="G2007" i="4"/>
  <c r="E2007" i="4"/>
  <c r="F2007" i="4" s="1"/>
  <c r="G2006" i="4"/>
  <c r="E2006" i="4"/>
  <c r="F2006" i="4" s="1"/>
  <c r="G2005" i="4"/>
  <c r="E2005" i="4"/>
  <c r="F2005" i="4" s="1"/>
  <c r="G2004" i="4"/>
  <c r="E2004" i="4"/>
  <c r="F2004" i="4" s="1"/>
  <c r="G2003" i="4"/>
  <c r="E2003" i="4"/>
  <c r="F2003" i="4" s="1"/>
  <c r="G2002" i="4"/>
  <c r="E2002" i="4"/>
  <c r="F2002" i="4" s="1"/>
  <c r="G2001" i="4"/>
  <c r="E2001" i="4"/>
  <c r="F2001" i="4" s="1"/>
  <c r="G2000" i="4"/>
  <c r="E2000" i="4"/>
  <c r="F2000" i="4" s="1"/>
  <c r="G1999" i="4"/>
  <c r="E1999" i="4"/>
  <c r="F1999" i="4" s="1"/>
  <c r="G1998" i="4"/>
  <c r="E1998" i="4"/>
  <c r="F1998" i="4" s="1"/>
  <c r="G1997" i="4"/>
  <c r="F1997" i="4"/>
  <c r="E1997" i="4"/>
  <c r="G1996" i="4"/>
  <c r="E1996" i="4"/>
  <c r="F1996" i="4" s="1"/>
  <c r="G1995" i="4"/>
  <c r="E1995" i="4"/>
  <c r="F1995" i="4" s="1"/>
  <c r="G1994" i="4"/>
  <c r="E1994" i="4"/>
  <c r="F1994" i="4" s="1"/>
  <c r="G1993" i="4"/>
  <c r="E1993" i="4"/>
  <c r="F1993" i="4" s="1"/>
  <c r="G1992" i="4"/>
  <c r="E1992" i="4"/>
  <c r="F1992" i="4" s="1"/>
  <c r="G1991" i="4"/>
  <c r="E1991" i="4"/>
  <c r="F1991" i="4" s="1"/>
  <c r="G1990" i="4"/>
  <c r="E1990" i="4"/>
  <c r="F1990" i="4" s="1"/>
  <c r="G1989" i="4"/>
  <c r="E1989" i="4"/>
  <c r="F1989" i="4" s="1"/>
  <c r="G1988" i="4"/>
  <c r="E1988" i="4"/>
  <c r="F1988" i="4" s="1"/>
  <c r="G1987" i="4"/>
  <c r="E1987" i="4"/>
  <c r="F1987" i="4" s="1"/>
  <c r="G1986" i="4"/>
  <c r="E1986" i="4"/>
  <c r="F1986" i="4" s="1"/>
  <c r="G1985" i="4"/>
  <c r="E1985" i="4"/>
  <c r="F1985" i="4" s="1"/>
  <c r="G1984" i="4"/>
  <c r="F1984" i="4"/>
  <c r="E1984" i="4"/>
  <c r="G1983" i="4"/>
  <c r="F1983" i="4"/>
  <c r="E1983" i="4"/>
  <c r="G1982" i="4"/>
  <c r="E1982" i="4"/>
  <c r="F1982" i="4" s="1"/>
  <c r="G1981" i="4"/>
  <c r="F1981" i="4"/>
  <c r="E1981" i="4"/>
  <c r="G1980" i="4"/>
  <c r="F1980" i="4"/>
  <c r="E1980" i="4"/>
  <c r="G1979" i="4"/>
  <c r="F1979" i="4"/>
  <c r="E1979" i="4"/>
  <c r="G1978" i="4"/>
  <c r="E1978" i="4"/>
  <c r="F1978" i="4" s="1"/>
  <c r="G1977" i="4"/>
  <c r="E1977" i="4"/>
  <c r="F1977" i="4" s="1"/>
  <c r="G1976" i="4"/>
  <c r="E1976" i="4"/>
  <c r="F1976" i="4" s="1"/>
  <c r="G1975" i="4"/>
  <c r="E1975" i="4"/>
  <c r="F1975" i="4" s="1"/>
  <c r="G1974" i="4"/>
  <c r="E1974" i="4"/>
  <c r="F1974" i="4" s="1"/>
  <c r="G1973" i="4"/>
  <c r="F1973" i="4"/>
  <c r="E1973" i="4"/>
  <c r="G1972" i="4"/>
  <c r="F1972" i="4"/>
  <c r="E1972" i="4"/>
  <c r="G1971" i="4"/>
  <c r="F1971" i="4"/>
  <c r="E1971" i="4"/>
  <c r="G1970" i="4"/>
  <c r="E1970" i="4"/>
  <c r="F1970" i="4" s="1"/>
  <c r="G1969" i="4"/>
  <c r="E1969" i="4"/>
  <c r="F1969" i="4" s="1"/>
  <c r="G1968" i="4"/>
  <c r="E1968" i="4"/>
  <c r="F1968" i="4" s="1"/>
  <c r="G1967" i="4"/>
  <c r="E1967" i="4"/>
  <c r="F1967" i="4" s="1"/>
  <c r="G1966" i="4"/>
  <c r="E1966" i="4"/>
  <c r="F1966" i="4" s="1"/>
  <c r="G1965" i="4"/>
  <c r="E1965" i="4"/>
  <c r="F1965" i="4" s="1"/>
  <c r="G1964" i="4"/>
  <c r="F1964" i="4"/>
  <c r="E1964" i="4"/>
  <c r="G1963" i="4"/>
  <c r="E1963" i="4"/>
  <c r="F1963" i="4" s="1"/>
  <c r="G1962" i="4"/>
  <c r="E1962" i="4"/>
  <c r="F1962" i="4" s="1"/>
  <c r="G1961" i="4"/>
  <c r="F1961" i="4"/>
  <c r="E1961" i="4"/>
  <c r="G1960" i="4"/>
  <c r="F1960" i="4"/>
  <c r="E1960" i="4"/>
  <c r="G1959" i="4"/>
  <c r="E1959" i="4"/>
  <c r="F1959" i="4" s="1"/>
  <c r="G1958" i="4"/>
  <c r="E1958" i="4"/>
  <c r="F1958" i="4" s="1"/>
  <c r="G1957" i="4"/>
  <c r="F1957" i="4"/>
  <c r="E1957" i="4"/>
  <c r="G1956" i="4"/>
  <c r="F1956" i="4"/>
  <c r="E1956" i="4"/>
  <c r="G1955" i="4"/>
  <c r="E1955" i="4"/>
  <c r="F1955" i="4" s="1"/>
  <c r="G1954" i="4"/>
  <c r="E1954" i="4"/>
  <c r="F1954" i="4" s="1"/>
  <c r="G1953" i="4"/>
  <c r="E1953" i="4"/>
  <c r="F1953" i="4" s="1"/>
  <c r="G1952" i="4"/>
  <c r="F1952" i="4"/>
  <c r="E1952" i="4"/>
  <c r="G1951" i="4"/>
  <c r="F1951" i="4"/>
  <c r="E1951" i="4"/>
  <c r="G1950" i="4"/>
  <c r="E1950" i="4"/>
  <c r="F1950" i="4" s="1"/>
  <c r="G1949" i="4"/>
  <c r="F1949" i="4"/>
  <c r="E1949" i="4"/>
  <c r="G1948" i="4"/>
  <c r="E1948" i="4"/>
  <c r="F1948" i="4" s="1"/>
  <c r="G1947" i="4"/>
  <c r="E1947" i="4"/>
  <c r="F1947" i="4" s="1"/>
  <c r="G1946" i="4"/>
  <c r="E1946" i="4"/>
  <c r="F1946" i="4" s="1"/>
  <c r="G1945" i="4"/>
  <c r="E1945" i="4"/>
  <c r="F1945" i="4" s="1"/>
  <c r="G1944" i="4"/>
  <c r="E1944" i="4"/>
  <c r="F1944" i="4" s="1"/>
  <c r="G1943" i="4"/>
  <c r="E1943" i="4"/>
  <c r="F1943" i="4" s="1"/>
  <c r="G1942" i="4"/>
  <c r="E1942" i="4"/>
  <c r="F1942" i="4" s="1"/>
  <c r="G1941" i="4"/>
  <c r="E1941" i="4"/>
  <c r="F1941" i="4" s="1"/>
  <c r="G1940" i="4"/>
  <c r="E1940" i="4"/>
  <c r="F1940" i="4" s="1"/>
  <c r="G1939" i="4"/>
  <c r="E1939" i="4"/>
  <c r="F1939" i="4" s="1"/>
  <c r="G1938" i="4"/>
  <c r="E1938" i="4"/>
  <c r="F1938" i="4" s="1"/>
  <c r="G1937" i="4"/>
  <c r="F1937" i="4"/>
  <c r="E1937" i="4"/>
  <c r="G1936" i="4"/>
  <c r="F1936" i="4"/>
  <c r="E1936" i="4"/>
  <c r="G1935" i="4"/>
  <c r="F1935" i="4"/>
  <c r="E1935" i="4"/>
  <c r="G1934" i="4"/>
  <c r="E1934" i="4"/>
  <c r="F1934" i="4" s="1"/>
  <c r="G1933" i="4"/>
  <c r="E1933" i="4"/>
  <c r="F1933" i="4" s="1"/>
  <c r="G1932" i="4"/>
  <c r="E1932" i="4"/>
  <c r="F1932" i="4" s="1"/>
  <c r="G1931" i="4"/>
  <c r="E1931" i="4"/>
  <c r="F1931" i="4" s="1"/>
  <c r="G1930" i="4"/>
  <c r="E1930" i="4"/>
  <c r="F1930" i="4" s="1"/>
  <c r="G1929" i="4"/>
  <c r="F1929" i="4"/>
  <c r="E1929" i="4"/>
  <c r="G1928" i="4"/>
  <c r="F1928" i="4"/>
  <c r="E1928" i="4"/>
  <c r="G1927" i="4"/>
  <c r="E1927" i="4"/>
  <c r="F1927" i="4" s="1"/>
  <c r="G1926" i="4"/>
  <c r="E1926" i="4"/>
  <c r="F1926" i="4" s="1"/>
  <c r="G1925" i="4"/>
  <c r="E1925" i="4"/>
  <c r="F1925" i="4" s="1"/>
  <c r="G1924" i="4"/>
  <c r="E1924" i="4"/>
  <c r="F1924" i="4" s="1"/>
  <c r="G1923" i="4"/>
  <c r="E1923" i="4"/>
  <c r="F1923" i="4" s="1"/>
  <c r="G1922" i="4"/>
  <c r="E1922" i="4"/>
  <c r="F1922" i="4" s="1"/>
  <c r="G1921" i="4"/>
  <c r="E1921" i="4"/>
  <c r="F1921" i="4" s="1"/>
  <c r="G1920" i="4"/>
  <c r="F1920" i="4"/>
  <c r="E1920" i="4"/>
  <c r="G1919" i="4"/>
  <c r="E1919" i="4"/>
  <c r="F1919" i="4" s="1"/>
  <c r="G1918" i="4"/>
  <c r="E1918" i="4"/>
  <c r="F1918" i="4" s="1"/>
  <c r="G1917" i="4"/>
  <c r="E1917" i="4"/>
  <c r="F1917" i="4" s="1"/>
  <c r="G1916" i="4"/>
  <c r="E1916" i="4"/>
  <c r="F1916" i="4" s="1"/>
  <c r="G1915" i="4"/>
  <c r="E1915" i="4"/>
  <c r="F1915" i="4" s="1"/>
  <c r="G1914" i="4"/>
  <c r="E1914" i="4"/>
  <c r="F1914" i="4" s="1"/>
  <c r="G1913" i="4"/>
  <c r="F1913" i="4"/>
  <c r="E1913" i="4"/>
  <c r="G1912" i="4"/>
  <c r="F1912" i="4"/>
  <c r="E1912" i="4"/>
  <c r="G1911" i="4"/>
  <c r="F1911" i="4"/>
  <c r="E1911" i="4"/>
  <c r="G1910" i="4"/>
  <c r="E1910" i="4"/>
  <c r="F1910" i="4" s="1"/>
  <c r="G1909" i="4"/>
  <c r="E1909" i="4"/>
  <c r="F1909" i="4" s="1"/>
  <c r="G1908" i="4"/>
  <c r="E1908" i="4"/>
  <c r="F1908" i="4" s="1"/>
  <c r="G1907" i="4"/>
  <c r="E1907" i="4"/>
  <c r="F1907" i="4" s="1"/>
  <c r="G1906" i="4"/>
  <c r="E1906" i="4"/>
  <c r="F1906" i="4" s="1"/>
  <c r="G1905" i="4"/>
  <c r="E1905" i="4"/>
  <c r="F1905" i="4" s="1"/>
  <c r="G1904" i="4"/>
  <c r="F1904" i="4"/>
  <c r="E1904" i="4"/>
  <c r="G1903" i="4"/>
  <c r="F1903" i="4"/>
  <c r="E1903" i="4"/>
  <c r="G1902" i="4"/>
  <c r="E1902" i="4"/>
  <c r="F1902" i="4" s="1"/>
  <c r="G1901" i="4"/>
  <c r="E1901" i="4"/>
  <c r="F1901" i="4" s="1"/>
  <c r="G1900" i="4"/>
  <c r="E1900" i="4"/>
  <c r="F1900" i="4" s="1"/>
  <c r="G1899" i="4"/>
  <c r="E1899" i="4"/>
  <c r="F1899" i="4" s="1"/>
  <c r="G1898" i="4"/>
  <c r="E1898" i="4"/>
  <c r="F1898" i="4" s="1"/>
  <c r="G1897" i="4"/>
  <c r="E1897" i="4"/>
  <c r="F1897" i="4" s="1"/>
  <c r="G1896" i="4"/>
  <c r="E1896" i="4"/>
  <c r="F1896" i="4" s="1"/>
  <c r="G1895" i="4"/>
  <c r="E1895" i="4"/>
  <c r="F1895" i="4" s="1"/>
  <c r="G1894" i="4"/>
  <c r="E1894" i="4"/>
  <c r="F1894" i="4" s="1"/>
  <c r="G1893" i="4"/>
  <c r="E1893" i="4"/>
  <c r="F1893" i="4" s="1"/>
  <c r="G1892" i="4"/>
  <c r="F1892" i="4"/>
  <c r="E1892" i="4"/>
  <c r="G1891" i="4"/>
  <c r="E1891" i="4"/>
  <c r="F1891" i="4" s="1"/>
  <c r="G1890" i="4"/>
  <c r="E1890" i="4"/>
  <c r="F1890" i="4" s="1"/>
  <c r="G1889" i="4"/>
  <c r="E1889" i="4"/>
  <c r="F1889" i="4" s="1"/>
  <c r="G1888" i="4"/>
  <c r="E1888" i="4"/>
  <c r="F1888" i="4" s="1"/>
  <c r="G1887" i="4"/>
  <c r="E1887" i="4"/>
  <c r="F1887" i="4" s="1"/>
  <c r="G1886" i="4"/>
  <c r="E1886" i="4"/>
  <c r="F1886" i="4" s="1"/>
  <c r="G1885" i="4"/>
  <c r="E1885" i="4"/>
  <c r="F1885" i="4" s="1"/>
  <c r="G1884" i="4"/>
  <c r="E1884" i="4"/>
  <c r="F1884" i="4" s="1"/>
  <c r="G1883" i="4"/>
  <c r="E1883" i="4"/>
  <c r="F1883" i="4" s="1"/>
  <c r="G1882" i="4"/>
  <c r="E1882" i="4"/>
  <c r="F1882" i="4" s="1"/>
  <c r="G1881" i="4"/>
  <c r="E1881" i="4"/>
  <c r="F1881" i="4" s="1"/>
  <c r="G1880" i="4"/>
  <c r="E1880" i="4"/>
  <c r="F1880" i="4" s="1"/>
  <c r="G1879" i="4"/>
  <c r="E1879" i="4"/>
  <c r="F1879" i="4" s="1"/>
  <c r="G1878" i="4"/>
  <c r="E1878" i="4"/>
  <c r="F1878" i="4" s="1"/>
  <c r="G1877" i="4"/>
  <c r="E1877" i="4"/>
  <c r="F1877" i="4" s="1"/>
  <c r="G1876" i="4"/>
  <c r="F1876" i="4"/>
  <c r="E1876" i="4"/>
  <c r="G1875" i="4"/>
  <c r="F1875" i="4"/>
  <c r="E1875" i="4"/>
  <c r="G1874" i="4"/>
  <c r="E1874" i="4"/>
  <c r="F1874" i="4" s="1"/>
  <c r="G1873" i="4"/>
  <c r="E1873" i="4"/>
  <c r="F1873" i="4" s="1"/>
  <c r="G1872" i="4"/>
  <c r="E1872" i="4"/>
  <c r="F1872" i="4" s="1"/>
  <c r="G1871" i="4"/>
  <c r="E1871" i="4"/>
  <c r="F1871" i="4" s="1"/>
  <c r="G1870" i="4"/>
  <c r="E1870" i="4"/>
  <c r="F1870" i="4" s="1"/>
  <c r="G1869" i="4"/>
  <c r="F1869" i="4"/>
  <c r="E1869" i="4"/>
  <c r="G1868" i="4"/>
  <c r="E1868" i="4"/>
  <c r="F1868" i="4" s="1"/>
  <c r="G1867" i="4"/>
  <c r="E1867" i="4"/>
  <c r="F1867" i="4" s="1"/>
  <c r="G1866" i="4"/>
  <c r="E1866" i="4"/>
  <c r="F1866" i="4" s="1"/>
  <c r="G1865" i="4"/>
  <c r="E1865" i="4"/>
  <c r="F1865" i="4" s="1"/>
  <c r="G1864" i="4"/>
  <c r="F1864" i="4"/>
  <c r="E1864" i="4"/>
  <c r="G1863" i="4"/>
  <c r="F1863" i="4"/>
  <c r="E1863" i="4"/>
  <c r="G1862" i="4"/>
  <c r="E1862" i="4"/>
  <c r="F1862" i="4" s="1"/>
  <c r="G1861" i="4"/>
  <c r="F1861" i="4"/>
  <c r="E1861" i="4"/>
  <c r="G1860" i="4"/>
  <c r="F1860" i="4"/>
  <c r="E1860" i="4"/>
  <c r="G1859" i="4"/>
  <c r="E1859" i="4"/>
  <c r="F1859" i="4" s="1"/>
  <c r="G1858" i="4"/>
  <c r="E1858" i="4"/>
  <c r="F1858" i="4" s="1"/>
  <c r="G1857" i="4"/>
  <c r="E1857" i="4"/>
  <c r="F1857" i="4" s="1"/>
  <c r="G1856" i="4"/>
  <c r="E1856" i="4"/>
  <c r="F1856" i="4" s="1"/>
  <c r="G1855" i="4"/>
  <c r="F1855" i="4"/>
  <c r="E1855" i="4"/>
  <c r="G1854" i="4"/>
  <c r="E1854" i="4"/>
  <c r="F1854" i="4" s="1"/>
  <c r="G1853" i="4"/>
  <c r="F1853" i="4"/>
  <c r="E1853" i="4"/>
  <c r="G1852" i="4"/>
  <c r="F1852" i="4"/>
  <c r="E1852" i="4"/>
  <c r="G1851" i="4"/>
  <c r="E1851" i="4"/>
  <c r="F1851" i="4" s="1"/>
  <c r="G1850" i="4"/>
  <c r="E1850" i="4"/>
  <c r="F1850" i="4" s="1"/>
  <c r="G1849" i="4"/>
  <c r="F1849" i="4"/>
  <c r="E1849" i="4"/>
  <c r="G1848" i="4"/>
  <c r="E1848" i="4"/>
  <c r="F1848" i="4" s="1"/>
  <c r="G1847" i="4"/>
  <c r="E1847" i="4"/>
  <c r="F1847" i="4" s="1"/>
  <c r="G1846" i="4"/>
  <c r="E1846" i="4"/>
  <c r="F1846" i="4" s="1"/>
  <c r="G1845" i="4"/>
  <c r="E1845" i="4"/>
  <c r="F1845" i="4" s="1"/>
  <c r="G1844" i="4"/>
  <c r="E1844" i="4"/>
  <c r="F1844" i="4" s="1"/>
  <c r="G1843" i="4"/>
  <c r="E1843" i="4"/>
  <c r="F1843" i="4" s="1"/>
  <c r="G1842" i="4"/>
  <c r="E1842" i="4"/>
  <c r="F1842" i="4" s="1"/>
  <c r="G1841" i="4"/>
  <c r="E1841" i="4"/>
  <c r="F1841" i="4" s="1"/>
  <c r="G1840" i="4"/>
  <c r="F1840" i="4"/>
  <c r="E1840" i="4"/>
  <c r="G1839" i="4"/>
  <c r="F1839" i="4"/>
  <c r="E1839" i="4"/>
  <c r="G1838" i="4"/>
  <c r="E1838" i="4"/>
  <c r="F1838" i="4" s="1"/>
  <c r="G1837" i="4"/>
  <c r="E1837" i="4"/>
  <c r="F1837" i="4" s="1"/>
  <c r="G1836" i="4"/>
  <c r="E1836" i="4"/>
  <c r="F1836" i="4" s="1"/>
  <c r="G1835" i="4"/>
  <c r="E1835" i="4"/>
  <c r="F1835" i="4" s="1"/>
  <c r="G1834" i="4"/>
  <c r="E1834" i="4"/>
  <c r="F1834" i="4" s="1"/>
  <c r="G1833" i="4"/>
  <c r="F1833" i="4"/>
  <c r="E1833" i="4"/>
  <c r="G1832" i="4"/>
  <c r="F1832" i="4"/>
  <c r="E1832" i="4"/>
  <c r="G1831" i="4"/>
  <c r="E1831" i="4"/>
  <c r="F1831" i="4" s="1"/>
  <c r="G1830" i="4"/>
  <c r="E1830" i="4"/>
  <c r="F1830" i="4" s="1"/>
  <c r="G1829" i="4"/>
  <c r="E1829" i="4"/>
  <c r="F1829" i="4" s="1"/>
  <c r="G1828" i="4"/>
  <c r="E1828" i="4"/>
  <c r="F1828" i="4" s="1"/>
  <c r="G1827" i="4"/>
  <c r="F1827" i="4"/>
  <c r="E1827" i="4"/>
  <c r="G1826" i="4"/>
  <c r="E1826" i="4"/>
  <c r="F1826" i="4" s="1"/>
  <c r="G1825" i="4"/>
  <c r="F1825" i="4"/>
  <c r="E1825" i="4"/>
  <c r="G1824" i="4"/>
  <c r="F1824" i="4"/>
  <c r="E1824" i="4"/>
  <c r="G1823" i="4"/>
  <c r="E1823" i="4"/>
  <c r="F1823" i="4" s="1"/>
  <c r="G1822" i="4"/>
  <c r="E1822" i="4"/>
  <c r="F1822" i="4" s="1"/>
  <c r="G1821" i="4"/>
  <c r="F1821" i="4"/>
  <c r="E1821" i="4"/>
  <c r="G1820" i="4"/>
  <c r="E1820" i="4"/>
  <c r="F1820" i="4" s="1"/>
  <c r="G1819" i="4"/>
  <c r="E1819" i="4"/>
  <c r="F1819" i="4" s="1"/>
  <c r="G1818" i="4"/>
  <c r="E1818" i="4"/>
  <c r="F1818" i="4" s="1"/>
  <c r="G1817" i="4"/>
  <c r="E1817" i="4"/>
  <c r="F1817" i="4" s="1"/>
  <c r="G1816" i="4"/>
  <c r="E1816" i="4"/>
  <c r="F1816" i="4" s="1"/>
  <c r="G1815" i="4"/>
  <c r="E1815" i="4"/>
  <c r="F1815" i="4" s="1"/>
  <c r="G1814" i="4"/>
  <c r="E1814" i="4"/>
  <c r="F1814" i="4" s="1"/>
  <c r="G1813" i="4"/>
  <c r="F1813" i="4"/>
  <c r="E1813" i="4"/>
  <c r="G1812" i="4"/>
  <c r="F1812" i="4"/>
  <c r="E1812" i="4"/>
  <c r="G1811" i="4"/>
  <c r="E1811" i="4"/>
  <c r="F1811" i="4" s="1"/>
  <c r="G1810" i="4"/>
  <c r="E1810" i="4"/>
  <c r="F1810" i="4" s="1"/>
  <c r="G1809" i="4"/>
  <c r="E1809" i="4"/>
  <c r="F1809" i="4" s="1"/>
  <c r="G1808" i="4"/>
  <c r="E1808" i="4"/>
  <c r="F1808" i="4" s="1"/>
  <c r="G1807" i="4"/>
  <c r="E1807" i="4"/>
  <c r="F1807" i="4" s="1"/>
  <c r="G1806" i="4"/>
  <c r="E1806" i="4"/>
  <c r="F1806" i="4" s="1"/>
  <c r="G1805" i="4"/>
  <c r="E1805" i="4"/>
  <c r="F1805" i="4" s="1"/>
  <c r="G1804" i="4"/>
  <c r="F1804" i="4"/>
  <c r="E1804" i="4"/>
  <c r="G1803" i="4"/>
  <c r="E1803" i="4"/>
  <c r="F1803" i="4" s="1"/>
  <c r="G1802" i="4"/>
  <c r="E1802" i="4"/>
  <c r="F1802" i="4" s="1"/>
  <c r="G1801" i="4"/>
  <c r="E1801" i="4"/>
  <c r="F1801" i="4" s="1"/>
  <c r="G1800" i="4"/>
  <c r="E1800" i="4"/>
  <c r="F1800" i="4" s="1"/>
  <c r="G1799" i="4"/>
  <c r="E1799" i="4"/>
  <c r="F1799" i="4" s="1"/>
  <c r="G1798" i="4"/>
  <c r="E1798" i="4"/>
  <c r="F1798" i="4" s="1"/>
  <c r="G1797" i="4"/>
  <c r="F1797" i="4"/>
  <c r="E1797" i="4"/>
  <c r="G1796" i="4"/>
  <c r="F1796" i="4"/>
  <c r="E1796" i="4"/>
  <c r="G1795" i="4"/>
  <c r="E1795" i="4"/>
  <c r="F1795" i="4" s="1"/>
  <c r="G1794" i="4"/>
  <c r="E1794" i="4"/>
  <c r="F1794" i="4" s="1"/>
  <c r="G1793" i="4"/>
  <c r="F1793" i="4"/>
  <c r="E1793" i="4"/>
  <c r="G1792" i="4"/>
  <c r="E1792" i="4"/>
  <c r="F1792" i="4" s="1"/>
  <c r="G1791" i="4"/>
  <c r="E1791" i="4"/>
  <c r="F1791" i="4" s="1"/>
  <c r="G1790" i="4"/>
  <c r="E1790" i="4"/>
  <c r="F1790" i="4" s="1"/>
  <c r="G1789" i="4"/>
  <c r="E1789" i="4"/>
  <c r="F1789" i="4" s="1"/>
  <c r="G1788" i="4"/>
  <c r="F1788" i="4"/>
  <c r="E1788" i="4"/>
  <c r="G1787" i="4"/>
  <c r="E1787" i="4"/>
  <c r="F1787" i="4" s="1"/>
  <c r="G1786" i="4"/>
  <c r="E1786" i="4"/>
  <c r="F1786" i="4" s="1"/>
  <c r="G1785" i="4"/>
  <c r="F1785" i="4"/>
  <c r="E1785" i="4"/>
  <c r="G1784" i="4"/>
  <c r="F1784" i="4"/>
  <c r="E1784" i="4"/>
  <c r="G1783" i="4"/>
  <c r="E1783" i="4"/>
  <c r="F1783" i="4" s="1"/>
  <c r="G1782" i="4"/>
  <c r="E1782" i="4"/>
  <c r="F1782" i="4" s="1"/>
  <c r="G1781" i="4"/>
  <c r="E1781" i="4"/>
  <c r="F1781" i="4" s="1"/>
  <c r="G1780" i="4"/>
  <c r="E1780" i="4"/>
  <c r="F1780" i="4" s="1"/>
  <c r="G1779" i="4"/>
  <c r="E1779" i="4"/>
  <c r="F1779" i="4" s="1"/>
  <c r="G1778" i="4"/>
  <c r="E1778" i="4"/>
  <c r="F1778" i="4" s="1"/>
  <c r="G1777" i="4"/>
  <c r="E1777" i="4"/>
  <c r="F1777" i="4" s="1"/>
  <c r="G1776" i="4"/>
  <c r="F1776" i="4"/>
  <c r="E1776" i="4"/>
  <c r="G1775" i="4"/>
  <c r="E1775" i="4"/>
  <c r="F1775" i="4" s="1"/>
  <c r="G1774" i="4"/>
  <c r="E1774" i="4"/>
  <c r="F1774" i="4" s="1"/>
  <c r="G1773" i="4"/>
  <c r="E1773" i="4"/>
  <c r="F1773" i="4" s="1"/>
  <c r="G1772" i="4"/>
  <c r="F1772" i="4"/>
  <c r="E1772" i="4"/>
  <c r="G1771" i="4"/>
  <c r="E1771" i="4"/>
  <c r="F1771" i="4" s="1"/>
  <c r="G1770" i="4"/>
  <c r="E1770" i="4"/>
  <c r="F1770" i="4" s="1"/>
  <c r="G1769" i="4"/>
  <c r="F1769" i="4"/>
  <c r="E1769" i="4"/>
  <c r="G1768" i="4"/>
  <c r="F1768" i="4"/>
  <c r="E1768" i="4"/>
  <c r="G1767" i="4"/>
  <c r="E1767" i="4"/>
  <c r="F1767" i="4" s="1"/>
  <c r="G1766" i="4"/>
  <c r="E1766" i="4"/>
  <c r="F1766" i="4" s="1"/>
  <c r="G1765" i="4"/>
  <c r="E1765" i="4"/>
  <c r="F1765" i="4" s="1"/>
  <c r="G1764" i="4"/>
  <c r="E1764" i="4"/>
  <c r="F1764" i="4" s="1"/>
  <c r="G1763" i="4"/>
  <c r="E1763" i="4"/>
  <c r="F1763" i="4" s="1"/>
  <c r="G1762" i="4"/>
  <c r="E1762" i="4"/>
  <c r="F1762" i="4" s="1"/>
  <c r="G1761" i="4"/>
  <c r="E1761" i="4"/>
  <c r="F1761" i="4" s="1"/>
  <c r="G1760" i="4"/>
  <c r="F1760" i="4"/>
  <c r="E1760" i="4"/>
  <c r="G1759" i="4"/>
  <c r="F1759" i="4"/>
  <c r="E1759" i="4"/>
  <c r="G1758" i="4"/>
  <c r="E1758" i="4"/>
  <c r="F1758" i="4" s="1"/>
  <c r="G1757" i="4"/>
  <c r="E1757" i="4"/>
  <c r="F1757" i="4" s="1"/>
  <c r="G1756" i="4"/>
  <c r="E1756" i="4"/>
  <c r="F1756" i="4" s="1"/>
  <c r="G1755" i="4"/>
  <c r="E1755" i="4"/>
  <c r="F1755" i="4" s="1"/>
  <c r="G1754" i="4"/>
  <c r="E1754" i="4"/>
  <c r="F1754" i="4" s="1"/>
  <c r="G1753" i="4"/>
  <c r="E1753" i="4"/>
  <c r="F1753" i="4" s="1"/>
  <c r="G1752" i="4"/>
  <c r="F1752" i="4"/>
  <c r="E1752" i="4"/>
  <c r="G1751" i="4"/>
  <c r="E1751" i="4"/>
  <c r="F1751" i="4" s="1"/>
  <c r="G1750" i="4"/>
  <c r="E1750" i="4"/>
  <c r="F1750" i="4" s="1"/>
  <c r="G1749" i="4"/>
  <c r="E1749" i="4"/>
  <c r="F1749" i="4" s="1"/>
  <c r="G1748" i="4"/>
  <c r="F1748" i="4"/>
  <c r="E1748" i="4"/>
  <c r="G1747" i="4"/>
  <c r="E1747" i="4"/>
  <c r="F1747" i="4" s="1"/>
  <c r="G1746" i="4"/>
  <c r="E1746" i="4"/>
  <c r="F1746" i="4" s="1"/>
  <c r="G1745" i="4"/>
  <c r="E1745" i="4"/>
  <c r="F1745" i="4" s="1"/>
  <c r="G1744" i="4"/>
  <c r="E1744" i="4"/>
  <c r="F1744" i="4" s="1"/>
  <c r="G1743" i="4"/>
  <c r="E1743" i="4"/>
  <c r="F1743" i="4" s="1"/>
  <c r="G1742" i="4"/>
  <c r="E1742" i="4"/>
  <c r="F1742" i="4" s="1"/>
  <c r="G1741" i="4"/>
  <c r="E1741" i="4"/>
  <c r="F1741" i="4" s="1"/>
  <c r="G1740" i="4"/>
  <c r="E1740" i="4"/>
  <c r="F1740" i="4" s="1"/>
  <c r="G1739" i="4"/>
  <c r="E1739" i="4"/>
  <c r="F1739" i="4" s="1"/>
  <c r="G1738" i="4"/>
  <c r="E1738" i="4"/>
  <c r="F1738" i="4" s="1"/>
  <c r="G1737" i="4"/>
  <c r="E1737" i="4"/>
  <c r="F1737" i="4" s="1"/>
  <c r="G1736" i="4"/>
  <c r="E1736" i="4"/>
  <c r="F1736" i="4" s="1"/>
  <c r="G1735" i="4"/>
  <c r="E1735" i="4"/>
  <c r="F1735" i="4" s="1"/>
  <c r="G1734" i="4"/>
  <c r="E1734" i="4"/>
  <c r="F1734" i="4" s="1"/>
  <c r="G1733" i="4"/>
  <c r="F1733" i="4"/>
  <c r="E1733" i="4"/>
  <c r="G1732" i="4"/>
  <c r="F1732" i="4"/>
  <c r="E1732" i="4"/>
  <c r="G1731" i="4"/>
  <c r="F1731" i="4"/>
  <c r="E1731" i="4"/>
  <c r="G1730" i="4"/>
  <c r="E1730" i="4"/>
  <c r="F1730" i="4" s="1"/>
  <c r="G1729" i="4"/>
  <c r="E1729" i="4"/>
  <c r="F1729" i="4" s="1"/>
  <c r="G1728" i="4"/>
  <c r="E1728" i="4"/>
  <c r="F1728" i="4" s="1"/>
  <c r="G1727" i="4"/>
  <c r="E1727" i="4"/>
  <c r="F1727" i="4" s="1"/>
  <c r="G1726" i="4"/>
  <c r="E1726" i="4"/>
  <c r="F1726" i="4" s="1"/>
  <c r="G1725" i="4"/>
  <c r="F1725" i="4"/>
  <c r="E1725" i="4"/>
  <c r="G1724" i="4"/>
  <c r="F1724" i="4"/>
  <c r="E1724" i="4"/>
  <c r="G1723" i="4"/>
  <c r="E1723" i="4"/>
  <c r="F1723" i="4" s="1"/>
  <c r="G1722" i="4"/>
  <c r="E1722" i="4"/>
  <c r="F1722" i="4" s="1"/>
  <c r="G1721" i="4"/>
  <c r="E1721" i="4"/>
  <c r="F1721" i="4" s="1"/>
  <c r="G1720" i="4"/>
  <c r="F1720" i="4"/>
  <c r="E1720" i="4"/>
  <c r="G1719" i="4"/>
  <c r="F1719" i="4"/>
  <c r="E1719" i="4"/>
  <c r="G1718" i="4"/>
  <c r="E1718" i="4"/>
  <c r="F1718" i="4" s="1"/>
  <c r="G1717" i="4"/>
  <c r="F1717" i="4"/>
  <c r="E1717" i="4"/>
  <c r="G1716" i="4"/>
  <c r="E1716" i="4"/>
  <c r="F1716" i="4" s="1"/>
  <c r="G1715" i="4"/>
  <c r="E1715" i="4"/>
  <c r="F1715" i="4" s="1"/>
  <c r="G1714" i="4"/>
  <c r="E1714" i="4"/>
  <c r="F1714" i="4" s="1"/>
  <c r="G1713" i="4"/>
  <c r="E1713" i="4"/>
  <c r="F1713" i="4" s="1"/>
  <c r="G1712" i="4"/>
  <c r="E1712" i="4"/>
  <c r="F1712" i="4" s="1"/>
  <c r="G1711" i="4"/>
  <c r="F1711" i="4"/>
  <c r="E1711" i="4"/>
  <c r="G1710" i="4"/>
  <c r="E1710" i="4"/>
  <c r="F1710" i="4" s="1"/>
  <c r="G1709" i="4"/>
  <c r="F1709" i="4"/>
  <c r="E1709" i="4"/>
  <c r="G1708" i="4"/>
  <c r="F1708" i="4"/>
  <c r="E1708" i="4"/>
  <c r="G1707" i="4"/>
  <c r="E1707" i="4"/>
  <c r="F1707" i="4" s="1"/>
  <c r="G1706" i="4"/>
  <c r="E1706" i="4"/>
  <c r="F1706" i="4" s="1"/>
  <c r="G1705" i="4"/>
  <c r="F1705" i="4"/>
  <c r="E1705" i="4"/>
  <c r="G1704" i="4"/>
  <c r="E1704" i="4"/>
  <c r="F1704" i="4" s="1"/>
  <c r="G1703" i="4"/>
  <c r="E1703" i="4"/>
  <c r="F1703" i="4" s="1"/>
  <c r="G1702" i="4"/>
  <c r="E1702" i="4"/>
  <c r="F1702" i="4" s="1"/>
  <c r="G1701" i="4"/>
  <c r="E1701" i="4"/>
  <c r="F1701" i="4" s="1"/>
  <c r="G1700" i="4"/>
  <c r="E1700" i="4"/>
  <c r="F1700" i="4" s="1"/>
  <c r="G1699" i="4"/>
  <c r="E1699" i="4"/>
  <c r="F1699" i="4" s="1"/>
  <c r="G1698" i="4"/>
  <c r="E1698" i="4"/>
  <c r="F1698" i="4" s="1"/>
  <c r="G1697" i="4"/>
  <c r="E1697" i="4"/>
  <c r="F1697" i="4" s="1"/>
  <c r="G1696" i="4"/>
  <c r="E1696" i="4"/>
  <c r="F1696" i="4" s="1"/>
  <c r="G1695" i="4"/>
  <c r="F1695" i="4"/>
  <c r="E1695" i="4"/>
  <c r="G1694" i="4"/>
  <c r="E1694" i="4"/>
  <c r="F1694" i="4" s="1"/>
  <c r="G1693" i="4"/>
  <c r="F1693" i="4"/>
  <c r="E1693" i="4"/>
  <c r="G1692" i="4"/>
  <c r="E1692" i="4"/>
  <c r="F1692" i="4" s="1"/>
  <c r="G1691" i="4"/>
  <c r="E1691" i="4"/>
  <c r="F1691" i="4" s="1"/>
  <c r="G1690" i="4"/>
  <c r="E1690" i="4"/>
  <c r="F1690" i="4" s="1"/>
  <c r="G1689" i="4"/>
  <c r="F1689" i="4"/>
  <c r="E1689" i="4"/>
  <c r="G1688" i="4"/>
  <c r="F1688" i="4"/>
  <c r="E1688" i="4"/>
  <c r="G1687" i="4"/>
  <c r="E1687" i="4"/>
  <c r="F1687" i="4" s="1"/>
  <c r="G1686" i="4"/>
  <c r="E1686" i="4"/>
  <c r="F1686" i="4" s="1"/>
  <c r="G1685" i="4"/>
  <c r="E1685" i="4"/>
  <c r="F1685" i="4" s="1"/>
  <c r="G1684" i="4"/>
  <c r="E1684" i="4"/>
  <c r="F1684" i="4" s="1"/>
  <c r="G1683" i="4"/>
  <c r="F1683" i="4"/>
  <c r="E1683" i="4"/>
  <c r="G1682" i="4"/>
  <c r="E1682" i="4"/>
  <c r="F1682" i="4" s="1"/>
  <c r="G1681" i="4"/>
  <c r="F1681" i="4"/>
  <c r="E1681" i="4"/>
  <c r="G1680" i="4"/>
  <c r="F1680" i="4"/>
  <c r="E1680" i="4"/>
  <c r="G1679" i="4"/>
  <c r="E1679" i="4"/>
  <c r="F1679" i="4" s="1"/>
  <c r="G1678" i="4"/>
  <c r="E1678" i="4"/>
  <c r="F1678" i="4" s="1"/>
  <c r="G1677" i="4"/>
  <c r="F1677" i="4"/>
  <c r="E1677" i="4"/>
  <c r="G1676" i="4"/>
  <c r="E1676" i="4"/>
  <c r="F1676" i="4" s="1"/>
  <c r="G1675" i="4"/>
  <c r="E1675" i="4"/>
  <c r="F1675" i="4" s="1"/>
  <c r="G1674" i="4"/>
  <c r="E1674" i="4"/>
  <c r="F1674" i="4" s="1"/>
  <c r="G1673" i="4"/>
  <c r="E1673" i="4"/>
  <c r="F1673" i="4" s="1"/>
  <c r="G1672" i="4"/>
  <c r="E1672" i="4"/>
  <c r="F1672" i="4" s="1"/>
  <c r="G1671" i="4"/>
  <c r="E1671" i="4"/>
  <c r="F1671" i="4" s="1"/>
  <c r="G1670" i="4"/>
  <c r="E1670" i="4"/>
  <c r="F1670" i="4" s="1"/>
  <c r="G1669" i="4"/>
  <c r="F1669" i="4"/>
  <c r="E1669" i="4"/>
  <c r="G1668" i="4"/>
  <c r="F1668" i="4"/>
  <c r="E1668" i="4"/>
  <c r="G1667" i="4"/>
  <c r="E1667" i="4"/>
  <c r="F1667" i="4" s="1"/>
  <c r="G1666" i="4"/>
  <c r="E1666" i="4"/>
  <c r="F1666" i="4" s="1"/>
  <c r="G1665" i="4"/>
  <c r="F1665" i="4"/>
  <c r="E1665" i="4"/>
  <c r="G1664" i="4"/>
  <c r="E1664" i="4"/>
  <c r="F1664" i="4" s="1"/>
  <c r="G1663" i="4"/>
  <c r="E1663" i="4"/>
  <c r="F1663" i="4" s="1"/>
  <c r="G1662" i="4"/>
  <c r="E1662" i="4"/>
  <c r="F1662" i="4" s="1"/>
  <c r="G1661" i="4"/>
  <c r="E1661" i="4"/>
  <c r="F1661" i="4" s="1"/>
  <c r="G1660" i="4"/>
  <c r="F1660" i="4"/>
  <c r="E1660" i="4"/>
  <c r="G1659" i="4"/>
  <c r="E1659" i="4"/>
  <c r="F1659" i="4" s="1"/>
  <c r="G1658" i="4"/>
  <c r="E1658" i="4"/>
  <c r="F1658" i="4" s="1"/>
  <c r="G1657" i="4"/>
  <c r="E1657" i="4"/>
  <c r="F1657" i="4" s="1"/>
  <c r="G1656" i="4"/>
  <c r="E1656" i="4"/>
  <c r="F1656" i="4" s="1"/>
  <c r="G1655" i="4"/>
  <c r="E1655" i="4"/>
  <c r="F1655" i="4" s="1"/>
  <c r="G1654" i="4"/>
  <c r="E1654" i="4"/>
  <c r="F1654" i="4" s="1"/>
  <c r="G1653" i="4"/>
  <c r="F1653" i="4"/>
  <c r="E1653" i="4"/>
  <c r="G1652" i="4"/>
  <c r="F1652" i="4"/>
  <c r="E1652" i="4"/>
  <c r="G1651" i="4"/>
  <c r="E1651" i="4"/>
  <c r="F1651" i="4" s="1"/>
  <c r="G1650" i="4"/>
  <c r="E1650" i="4"/>
  <c r="F1650" i="4" s="1"/>
  <c r="G1649" i="4"/>
  <c r="F1649" i="4"/>
  <c r="E1649" i="4"/>
  <c r="G1648" i="4"/>
  <c r="E1648" i="4"/>
  <c r="F1648" i="4" s="1"/>
  <c r="G1647" i="4"/>
  <c r="E1647" i="4"/>
  <c r="F1647" i="4" s="1"/>
  <c r="G1646" i="4"/>
  <c r="E1646" i="4"/>
  <c r="F1646" i="4" s="1"/>
  <c r="G1645" i="4"/>
  <c r="E1645" i="4"/>
  <c r="F1645" i="4" s="1"/>
  <c r="G1644" i="4"/>
  <c r="F1644" i="4"/>
  <c r="E1644" i="4"/>
  <c r="G1643" i="4"/>
  <c r="E1643" i="4"/>
  <c r="F1643" i="4" s="1"/>
  <c r="G1642" i="4"/>
  <c r="E1642" i="4"/>
  <c r="F1642" i="4" s="1"/>
  <c r="G1641" i="4"/>
  <c r="F1641" i="4"/>
  <c r="E1641" i="4"/>
  <c r="G1640" i="4"/>
  <c r="F1640" i="4"/>
  <c r="E1640" i="4"/>
  <c r="G1639" i="4"/>
  <c r="E1639" i="4"/>
  <c r="F1639" i="4" s="1"/>
  <c r="G1638" i="4"/>
  <c r="E1638" i="4"/>
  <c r="F1638" i="4" s="1"/>
  <c r="G1637" i="4"/>
  <c r="E1637" i="4"/>
  <c r="F1637" i="4" s="1"/>
  <c r="G1636" i="4"/>
  <c r="E1636" i="4"/>
  <c r="F1636" i="4" s="1"/>
  <c r="G1635" i="4"/>
  <c r="E1635" i="4"/>
  <c r="F1635" i="4" s="1"/>
  <c r="G1634" i="4"/>
  <c r="E1634" i="4"/>
  <c r="F1634" i="4" s="1"/>
  <c r="G1633" i="4"/>
  <c r="E1633" i="4"/>
  <c r="F1633" i="4" s="1"/>
  <c r="G1632" i="4"/>
  <c r="F1632" i="4"/>
  <c r="E1632" i="4"/>
  <c r="G1631" i="4"/>
  <c r="E1631" i="4"/>
  <c r="F1631" i="4" s="1"/>
  <c r="G1630" i="4"/>
  <c r="E1630" i="4"/>
  <c r="F1630" i="4" s="1"/>
  <c r="G1629" i="4"/>
  <c r="E1629" i="4"/>
  <c r="F1629" i="4" s="1"/>
  <c r="G1628" i="4"/>
  <c r="F1628" i="4"/>
  <c r="E1628" i="4"/>
  <c r="G1627" i="4"/>
  <c r="E1627" i="4"/>
  <c r="F1627" i="4" s="1"/>
  <c r="G1626" i="4"/>
  <c r="E1626" i="4"/>
  <c r="F1626" i="4" s="1"/>
  <c r="G1625" i="4"/>
  <c r="F1625" i="4"/>
  <c r="E1625" i="4"/>
  <c r="G1624" i="4"/>
  <c r="F1624" i="4"/>
  <c r="E1624" i="4"/>
  <c r="G1623" i="4"/>
  <c r="E1623" i="4"/>
  <c r="F1623" i="4" s="1"/>
  <c r="G1622" i="4"/>
  <c r="E1622" i="4"/>
  <c r="F1622" i="4" s="1"/>
  <c r="G1621" i="4"/>
  <c r="E1621" i="4"/>
  <c r="F1621" i="4" s="1"/>
  <c r="G1620" i="4"/>
  <c r="E1620" i="4"/>
  <c r="F1620" i="4" s="1"/>
  <c r="G1619" i="4"/>
  <c r="E1619" i="4"/>
  <c r="F1619" i="4" s="1"/>
  <c r="G1618" i="4"/>
  <c r="E1618" i="4"/>
  <c r="F1618" i="4" s="1"/>
  <c r="G1617" i="4"/>
  <c r="E1617" i="4"/>
  <c r="F1617" i="4" s="1"/>
  <c r="G1616" i="4"/>
  <c r="F1616" i="4"/>
  <c r="E1616" i="4"/>
  <c r="G1615" i="4"/>
  <c r="F1615" i="4"/>
  <c r="E1615" i="4"/>
  <c r="G1614" i="4"/>
  <c r="E1614" i="4"/>
  <c r="F1614" i="4" s="1"/>
  <c r="G1613" i="4"/>
  <c r="E1613" i="4"/>
  <c r="F1613" i="4" s="1"/>
  <c r="G1612" i="4"/>
  <c r="E1612" i="4"/>
  <c r="F1612" i="4" s="1"/>
  <c r="G1611" i="4"/>
  <c r="E1611" i="4"/>
  <c r="F1611" i="4" s="1"/>
  <c r="G1610" i="4"/>
  <c r="E1610" i="4"/>
  <c r="F1610" i="4" s="1"/>
  <c r="G1609" i="4"/>
  <c r="E1609" i="4"/>
  <c r="F1609" i="4" s="1"/>
  <c r="G1608" i="4"/>
  <c r="F1608" i="4"/>
  <c r="E1608" i="4"/>
  <c r="G1607" i="4"/>
  <c r="E1607" i="4"/>
  <c r="F1607" i="4" s="1"/>
  <c r="G1606" i="4"/>
  <c r="E1606" i="4"/>
  <c r="F1606" i="4" s="1"/>
  <c r="G1605" i="4"/>
  <c r="E1605" i="4"/>
  <c r="F1605" i="4" s="1"/>
  <c r="G1604" i="4"/>
  <c r="F1604" i="4"/>
  <c r="E1604" i="4"/>
  <c r="G1603" i="4"/>
  <c r="E1603" i="4"/>
  <c r="F1603" i="4" s="1"/>
  <c r="G1602" i="4"/>
  <c r="E1602" i="4"/>
  <c r="F1602" i="4" s="1"/>
  <c r="G1601" i="4"/>
  <c r="E1601" i="4"/>
  <c r="F1601" i="4" s="1"/>
  <c r="G1600" i="4"/>
  <c r="E1600" i="4"/>
  <c r="F1600" i="4" s="1"/>
  <c r="G1599" i="4"/>
  <c r="E1599" i="4"/>
  <c r="F1599" i="4" s="1"/>
  <c r="G1598" i="4"/>
  <c r="E1598" i="4"/>
  <c r="F1598" i="4" s="1"/>
  <c r="G1597" i="4"/>
  <c r="E1597" i="4"/>
  <c r="F1597" i="4" s="1"/>
  <c r="G1596" i="4"/>
  <c r="E1596" i="4"/>
  <c r="F1596" i="4" s="1"/>
  <c r="G1595" i="4"/>
  <c r="E1595" i="4"/>
  <c r="F1595" i="4" s="1"/>
  <c r="G1594" i="4"/>
  <c r="E1594" i="4"/>
  <c r="F1594" i="4" s="1"/>
  <c r="G1593" i="4"/>
  <c r="E1593" i="4"/>
  <c r="F1593" i="4" s="1"/>
  <c r="G1592" i="4"/>
  <c r="E1592" i="4"/>
  <c r="F1592" i="4" s="1"/>
  <c r="G1591" i="4"/>
  <c r="E1591" i="4"/>
  <c r="F1591" i="4" s="1"/>
  <c r="G1590" i="4"/>
  <c r="E1590" i="4"/>
  <c r="F1590" i="4" s="1"/>
  <c r="G1589" i="4"/>
  <c r="F1589" i="4"/>
  <c r="E1589" i="4"/>
  <c r="G1588" i="4"/>
  <c r="F1588" i="4"/>
  <c r="E1588" i="4"/>
  <c r="G1587" i="4"/>
  <c r="F1587" i="4"/>
  <c r="E1587" i="4"/>
  <c r="G1586" i="4"/>
  <c r="E1586" i="4"/>
  <c r="F1586" i="4" s="1"/>
  <c r="G1585" i="4"/>
  <c r="E1585" i="4"/>
  <c r="F1585" i="4" s="1"/>
  <c r="G1584" i="4"/>
  <c r="E1584" i="4"/>
  <c r="F1584" i="4" s="1"/>
  <c r="G1583" i="4"/>
  <c r="E1583" i="4"/>
  <c r="F1583" i="4" s="1"/>
  <c r="G1582" i="4"/>
  <c r="E1582" i="4"/>
  <c r="F1582" i="4" s="1"/>
  <c r="G1581" i="4"/>
  <c r="F1581" i="4"/>
  <c r="E1581" i="4"/>
  <c r="G1580" i="4"/>
  <c r="F1580" i="4"/>
  <c r="E1580" i="4"/>
  <c r="G1579" i="4"/>
  <c r="E1579" i="4"/>
  <c r="F1579" i="4" s="1"/>
  <c r="G1578" i="4"/>
  <c r="E1578" i="4"/>
  <c r="F1578" i="4" s="1"/>
  <c r="G1577" i="4"/>
  <c r="E1577" i="4"/>
  <c r="F1577" i="4" s="1"/>
  <c r="G1576" i="4"/>
  <c r="F1576" i="4"/>
  <c r="E1576" i="4"/>
  <c r="G1575" i="4"/>
  <c r="F1575" i="4"/>
  <c r="E1575" i="4"/>
  <c r="G1574" i="4"/>
  <c r="E1574" i="4"/>
  <c r="F1574" i="4" s="1"/>
  <c r="G1573" i="4"/>
  <c r="F1573" i="4"/>
  <c r="E1573" i="4"/>
  <c r="G1572" i="4"/>
  <c r="E1572" i="4"/>
  <c r="F1572" i="4" s="1"/>
  <c r="G1571" i="4"/>
  <c r="E1571" i="4"/>
  <c r="F1571" i="4" s="1"/>
  <c r="G1570" i="4"/>
  <c r="E1570" i="4"/>
  <c r="F1570" i="4" s="1"/>
  <c r="G1569" i="4"/>
  <c r="E1569" i="4"/>
  <c r="F1569" i="4" s="1"/>
  <c r="G1568" i="4"/>
  <c r="E1568" i="4"/>
  <c r="F1568" i="4" s="1"/>
  <c r="G1567" i="4"/>
  <c r="F1567" i="4"/>
  <c r="E1567" i="4"/>
  <c r="G1566" i="4"/>
  <c r="E1566" i="4"/>
  <c r="F1566" i="4" s="1"/>
  <c r="G1565" i="4"/>
  <c r="F1565" i="4"/>
  <c r="E1565" i="4"/>
  <c r="G1564" i="4"/>
  <c r="F1564" i="4"/>
  <c r="E1564" i="4"/>
  <c r="G1563" i="4"/>
  <c r="E1563" i="4"/>
  <c r="F1563" i="4" s="1"/>
  <c r="G1562" i="4"/>
  <c r="E1562" i="4"/>
  <c r="F1562" i="4" s="1"/>
  <c r="G1561" i="4"/>
  <c r="F1561" i="4"/>
  <c r="E1561" i="4"/>
  <c r="G1560" i="4"/>
  <c r="E1560" i="4"/>
  <c r="F1560" i="4" s="1"/>
  <c r="G1559" i="4"/>
  <c r="E1559" i="4"/>
  <c r="F1559" i="4" s="1"/>
  <c r="G1558" i="4"/>
  <c r="E1558" i="4"/>
  <c r="F1558" i="4" s="1"/>
  <c r="G1557" i="4"/>
  <c r="E1557" i="4"/>
  <c r="F1557" i="4" s="1"/>
  <c r="G1556" i="4"/>
  <c r="E1556" i="4"/>
  <c r="F1556" i="4" s="1"/>
  <c r="G1555" i="4"/>
  <c r="E1555" i="4"/>
  <c r="F1555" i="4" s="1"/>
  <c r="G1554" i="4"/>
  <c r="E1554" i="4"/>
  <c r="F1554" i="4" s="1"/>
  <c r="G1553" i="4"/>
  <c r="E1553" i="4"/>
  <c r="F1553" i="4" s="1"/>
  <c r="G1552" i="4"/>
  <c r="F1552" i="4"/>
  <c r="E1552" i="4"/>
  <c r="G1551" i="4"/>
  <c r="F1551" i="4"/>
  <c r="E1551" i="4"/>
  <c r="G1550" i="4"/>
  <c r="E1550" i="4"/>
  <c r="F1550" i="4" s="1"/>
  <c r="G1549" i="4"/>
  <c r="F1549" i="4"/>
  <c r="E1549" i="4"/>
  <c r="G1548" i="4"/>
  <c r="E1548" i="4"/>
  <c r="F1548" i="4" s="1"/>
  <c r="G1547" i="4"/>
  <c r="E1547" i="4"/>
  <c r="F1547" i="4" s="1"/>
  <c r="G1546" i="4"/>
  <c r="E1546" i="4"/>
  <c r="F1546" i="4" s="1"/>
  <c r="G1545" i="4"/>
  <c r="F1545" i="4"/>
  <c r="E1545" i="4"/>
  <c r="G1544" i="4"/>
  <c r="F1544" i="4"/>
  <c r="E1544" i="4"/>
  <c r="G1543" i="4"/>
  <c r="E1543" i="4"/>
  <c r="F1543" i="4" s="1"/>
  <c r="G1542" i="4"/>
  <c r="E1542" i="4"/>
  <c r="F1542" i="4" s="1"/>
  <c r="G1541" i="4"/>
  <c r="E1541" i="4"/>
  <c r="F1541" i="4" s="1"/>
  <c r="G1540" i="4"/>
  <c r="E1540" i="4"/>
  <c r="F1540" i="4" s="1"/>
  <c r="G1539" i="4"/>
  <c r="F1539" i="4"/>
  <c r="E1539" i="4"/>
  <c r="G1538" i="4"/>
  <c r="E1538" i="4"/>
  <c r="F1538" i="4" s="1"/>
  <c r="G1537" i="4"/>
  <c r="F1537" i="4"/>
  <c r="E1537" i="4"/>
  <c r="G1536" i="4"/>
  <c r="F1536" i="4"/>
  <c r="E1536" i="4"/>
  <c r="G1535" i="4"/>
  <c r="E1535" i="4"/>
  <c r="F1535" i="4" s="1"/>
  <c r="G1534" i="4"/>
  <c r="E1534" i="4"/>
  <c r="F1534" i="4" s="1"/>
  <c r="G1533" i="4"/>
  <c r="F1533" i="4"/>
  <c r="E1533" i="4"/>
  <c r="G1532" i="4"/>
  <c r="E1532" i="4"/>
  <c r="F1532" i="4" s="1"/>
  <c r="G1531" i="4"/>
  <c r="E1531" i="4"/>
  <c r="F1531" i="4" s="1"/>
  <c r="G1530" i="4"/>
  <c r="E1530" i="4"/>
  <c r="F1530" i="4" s="1"/>
  <c r="G1529" i="4"/>
  <c r="E1529" i="4"/>
  <c r="F1529" i="4" s="1"/>
  <c r="G1528" i="4"/>
  <c r="E1528" i="4"/>
  <c r="F1528" i="4" s="1"/>
  <c r="G1527" i="4"/>
  <c r="E1527" i="4"/>
  <c r="F1527" i="4" s="1"/>
  <c r="G1526" i="4"/>
  <c r="E1526" i="4"/>
  <c r="F1526" i="4" s="1"/>
  <c r="G1525" i="4"/>
  <c r="F1525" i="4"/>
  <c r="E1525" i="4"/>
  <c r="G1524" i="4"/>
  <c r="F1524" i="4"/>
  <c r="E1524" i="4"/>
  <c r="G1523" i="4"/>
  <c r="E1523" i="4"/>
  <c r="F1523" i="4" s="1"/>
  <c r="G1522" i="4"/>
  <c r="E1522" i="4"/>
  <c r="F1522" i="4" s="1"/>
  <c r="G1521" i="4"/>
  <c r="F1521" i="4"/>
  <c r="E1521" i="4"/>
  <c r="G1520" i="4"/>
  <c r="E1520" i="4"/>
  <c r="F1520" i="4" s="1"/>
  <c r="G1519" i="4"/>
  <c r="E1519" i="4"/>
  <c r="F1519" i="4" s="1"/>
  <c r="G1518" i="4"/>
  <c r="E1518" i="4"/>
  <c r="F1518" i="4" s="1"/>
  <c r="G1517" i="4"/>
  <c r="E1517" i="4"/>
  <c r="F1517" i="4" s="1"/>
  <c r="G1516" i="4"/>
  <c r="F1516" i="4"/>
  <c r="E1516" i="4"/>
  <c r="G1515" i="4"/>
  <c r="E1515" i="4"/>
  <c r="F1515" i="4" s="1"/>
  <c r="G1514" i="4"/>
  <c r="E1514" i="4"/>
  <c r="F1514" i="4" s="1"/>
  <c r="G1513" i="4"/>
  <c r="E1513" i="4"/>
  <c r="F1513" i="4" s="1"/>
  <c r="G1512" i="4"/>
  <c r="E1512" i="4"/>
  <c r="F1512" i="4" s="1"/>
  <c r="G1511" i="4"/>
  <c r="E1511" i="4"/>
  <c r="F1511" i="4" s="1"/>
  <c r="G1510" i="4"/>
  <c r="E1510" i="4"/>
  <c r="F1510" i="4" s="1"/>
  <c r="G1509" i="4"/>
  <c r="F1509" i="4"/>
  <c r="E1509" i="4"/>
  <c r="G1508" i="4"/>
  <c r="F1508" i="4"/>
  <c r="E1508" i="4"/>
  <c r="G1507" i="4"/>
  <c r="E1507" i="4"/>
  <c r="F1507" i="4" s="1"/>
  <c r="G1506" i="4"/>
  <c r="E1506" i="4"/>
  <c r="F1506" i="4" s="1"/>
  <c r="G1505" i="4"/>
  <c r="F1505" i="4"/>
  <c r="E1505" i="4"/>
  <c r="G1504" i="4"/>
  <c r="E1504" i="4"/>
  <c r="F1504" i="4" s="1"/>
  <c r="G1503" i="4"/>
  <c r="E1503" i="4"/>
  <c r="F1503" i="4" s="1"/>
  <c r="G1502" i="4"/>
  <c r="E1502" i="4"/>
  <c r="F1502" i="4" s="1"/>
  <c r="G1501" i="4"/>
  <c r="E1501" i="4"/>
  <c r="F1501" i="4" s="1"/>
  <c r="G1500" i="4"/>
  <c r="F1500" i="4"/>
  <c r="E1500" i="4"/>
  <c r="G1499" i="4"/>
  <c r="E1499" i="4"/>
  <c r="F1499" i="4" s="1"/>
  <c r="G1498" i="4"/>
  <c r="E1498" i="4"/>
  <c r="F1498" i="4" s="1"/>
  <c r="G1497" i="4"/>
  <c r="F1497" i="4"/>
  <c r="E1497" i="4"/>
  <c r="G1496" i="4"/>
  <c r="F1496" i="4"/>
  <c r="E1496" i="4"/>
  <c r="G1495" i="4"/>
  <c r="E1495" i="4"/>
  <c r="F1495" i="4" s="1"/>
  <c r="G1494" i="4"/>
  <c r="E1494" i="4"/>
  <c r="F1494" i="4" s="1"/>
  <c r="G1493" i="4"/>
  <c r="E1493" i="4"/>
  <c r="F1493" i="4" s="1"/>
  <c r="G1492" i="4"/>
  <c r="E1492" i="4"/>
  <c r="F1492" i="4" s="1"/>
  <c r="G1491" i="4"/>
  <c r="E1491" i="4"/>
  <c r="F1491" i="4" s="1"/>
  <c r="G1490" i="4"/>
  <c r="E1490" i="4"/>
  <c r="F1490" i="4" s="1"/>
  <c r="G1489" i="4"/>
  <c r="E1489" i="4"/>
  <c r="F1489" i="4" s="1"/>
  <c r="G1488" i="4"/>
  <c r="F1488" i="4"/>
  <c r="E1488" i="4"/>
  <c r="G1487" i="4"/>
  <c r="E1487" i="4"/>
  <c r="F1487" i="4" s="1"/>
  <c r="G1486" i="4"/>
  <c r="E1486" i="4"/>
  <c r="F1486" i="4" s="1"/>
  <c r="G1485" i="4"/>
  <c r="E1485" i="4"/>
  <c r="F1485" i="4" s="1"/>
  <c r="G1484" i="4"/>
  <c r="F1484" i="4"/>
  <c r="E1484" i="4"/>
  <c r="G1483" i="4"/>
  <c r="E1483" i="4"/>
  <c r="F1483" i="4" s="1"/>
  <c r="G1482" i="4"/>
  <c r="E1482" i="4"/>
  <c r="F1482" i="4" s="1"/>
  <c r="G1481" i="4"/>
  <c r="F1481" i="4"/>
  <c r="E1481" i="4"/>
  <c r="G1480" i="4"/>
  <c r="F1480" i="4"/>
  <c r="E1480" i="4"/>
  <c r="G1479" i="4"/>
  <c r="E1479" i="4"/>
  <c r="F1479" i="4" s="1"/>
  <c r="G1478" i="4"/>
  <c r="E1478" i="4"/>
  <c r="F1478" i="4" s="1"/>
  <c r="G1477" i="4"/>
  <c r="E1477" i="4"/>
  <c r="F1477" i="4" s="1"/>
  <c r="G1476" i="4"/>
  <c r="E1476" i="4"/>
  <c r="F1476" i="4" s="1"/>
  <c r="G1475" i="4"/>
  <c r="E1475" i="4"/>
  <c r="F1475" i="4" s="1"/>
  <c r="G1474" i="4"/>
  <c r="E1474" i="4"/>
  <c r="F1474" i="4" s="1"/>
  <c r="G1473" i="4"/>
  <c r="E1473" i="4"/>
  <c r="F1473" i="4" s="1"/>
  <c r="G1472" i="4"/>
  <c r="F1472" i="4"/>
  <c r="E1472" i="4"/>
  <c r="G1471" i="4"/>
  <c r="F1471" i="4"/>
  <c r="E1471" i="4"/>
  <c r="G1470" i="4"/>
  <c r="E1470" i="4"/>
  <c r="F1470" i="4" s="1"/>
  <c r="G1469" i="4"/>
  <c r="E1469" i="4"/>
  <c r="F1469" i="4" s="1"/>
  <c r="G1468" i="4"/>
  <c r="E1468" i="4"/>
  <c r="F1468" i="4" s="1"/>
  <c r="G1467" i="4"/>
  <c r="E1467" i="4"/>
  <c r="F1467" i="4" s="1"/>
  <c r="G1466" i="4"/>
  <c r="E1466" i="4"/>
  <c r="F1466" i="4" s="1"/>
  <c r="G1465" i="4"/>
  <c r="E1465" i="4"/>
  <c r="F1465" i="4" s="1"/>
  <c r="G1464" i="4"/>
  <c r="F1464" i="4"/>
  <c r="E1464" i="4"/>
  <c r="G1463" i="4"/>
  <c r="E1463" i="4"/>
  <c r="F1463" i="4" s="1"/>
  <c r="G1462" i="4"/>
  <c r="E1462" i="4"/>
  <c r="F1462" i="4" s="1"/>
  <c r="G1461" i="4"/>
  <c r="E1461" i="4"/>
  <c r="F1461" i="4" s="1"/>
  <c r="G1460" i="4"/>
  <c r="F1460" i="4"/>
  <c r="E1460" i="4"/>
  <c r="G1459" i="4"/>
  <c r="E1459" i="4"/>
  <c r="F1459" i="4" s="1"/>
  <c r="G1458" i="4"/>
  <c r="E1458" i="4"/>
  <c r="F1458" i="4" s="1"/>
  <c r="G1457" i="4"/>
  <c r="E1457" i="4"/>
  <c r="F1457" i="4" s="1"/>
  <c r="G1456" i="4"/>
  <c r="E1456" i="4"/>
  <c r="F1456" i="4" s="1"/>
  <c r="G1455" i="4"/>
  <c r="E1455" i="4"/>
  <c r="F1455" i="4" s="1"/>
  <c r="G1454" i="4"/>
  <c r="E1454" i="4"/>
  <c r="F1454" i="4" s="1"/>
  <c r="G1453" i="4"/>
  <c r="E1453" i="4"/>
  <c r="F1453" i="4" s="1"/>
  <c r="G1452" i="4"/>
  <c r="E1452" i="4"/>
  <c r="F1452" i="4" s="1"/>
  <c r="G1451" i="4"/>
  <c r="E1451" i="4"/>
  <c r="F1451" i="4" s="1"/>
  <c r="G1450" i="4"/>
  <c r="E1450" i="4"/>
  <c r="F1450" i="4" s="1"/>
  <c r="G1449" i="4"/>
  <c r="E1449" i="4"/>
  <c r="F1449" i="4" s="1"/>
  <c r="G1448" i="4"/>
  <c r="E1448" i="4"/>
  <c r="F1448" i="4" s="1"/>
  <c r="G1447" i="4"/>
  <c r="E1447" i="4"/>
  <c r="F1447" i="4" s="1"/>
  <c r="G1446" i="4"/>
  <c r="E1446" i="4"/>
  <c r="F1446" i="4" s="1"/>
  <c r="G1445" i="4"/>
  <c r="F1445" i="4"/>
  <c r="E1445" i="4"/>
  <c r="G1444" i="4"/>
  <c r="F1444" i="4"/>
  <c r="E1444" i="4"/>
  <c r="G1443" i="4"/>
  <c r="F1443" i="4"/>
  <c r="E1443" i="4"/>
  <c r="G1442" i="4"/>
  <c r="E1442" i="4"/>
  <c r="F1442" i="4" s="1"/>
  <c r="G1441" i="4"/>
  <c r="E1441" i="4"/>
  <c r="F1441" i="4" s="1"/>
  <c r="G1440" i="4"/>
  <c r="E1440" i="4"/>
  <c r="F1440" i="4" s="1"/>
  <c r="G1439" i="4"/>
  <c r="E1439" i="4"/>
  <c r="F1439" i="4" s="1"/>
  <c r="G1438" i="4"/>
  <c r="E1438" i="4"/>
  <c r="F1438" i="4" s="1"/>
  <c r="G1437" i="4"/>
  <c r="F1437" i="4"/>
  <c r="E1437" i="4"/>
  <c r="G1436" i="4"/>
  <c r="F1436" i="4"/>
  <c r="E1436" i="4"/>
  <c r="G1435" i="4"/>
  <c r="E1435" i="4"/>
  <c r="F1435" i="4" s="1"/>
  <c r="G1434" i="4"/>
  <c r="E1434" i="4"/>
  <c r="F1434" i="4" s="1"/>
  <c r="G1433" i="4"/>
  <c r="E1433" i="4"/>
  <c r="F1433" i="4" s="1"/>
  <c r="G1432" i="4"/>
  <c r="F1432" i="4"/>
  <c r="E1432" i="4"/>
  <c r="G1431" i="4"/>
  <c r="F1431" i="4"/>
  <c r="E1431" i="4"/>
  <c r="G1430" i="4"/>
  <c r="E1430" i="4"/>
  <c r="F1430" i="4" s="1"/>
  <c r="G1429" i="4"/>
  <c r="F1429" i="4"/>
  <c r="E1429" i="4"/>
  <c r="G1428" i="4"/>
  <c r="E1428" i="4"/>
  <c r="F1428" i="4" s="1"/>
  <c r="G1427" i="4"/>
  <c r="E1427" i="4"/>
  <c r="F1427" i="4" s="1"/>
  <c r="G1426" i="4"/>
  <c r="E1426" i="4"/>
  <c r="F1426" i="4" s="1"/>
  <c r="G1425" i="4"/>
  <c r="E1425" i="4"/>
  <c r="F1425" i="4" s="1"/>
  <c r="G1424" i="4"/>
  <c r="E1424" i="4"/>
  <c r="F1424" i="4" s="1"/>
  <c r="G1423" i="4"/>
  <c r="F1423" i="4"/>
  <c r="E1423" i="4"/>
  <c r="G1422" i="4"/>
  <c r="E1422" i="4"/>
  <c r="F1422" i="4" s="1"/>
  <c r="G1421" i="4"/>
  <c r="F1421" i="4"/>
  <c r="E1421" i="4"/>
  <c r="G1420" i="4"/>
  <c r="F1420" i="4"/>
  <c r="E1420" i="4"/>
  <c r="G1419" i="4"/>
  <c r="E1419" i="4"/>
  <c r="F1419" i="4" s="1"/>
  <c r="G1418" i="4"/>
  <c r="E1418" i="4"/>
  <c r="F1418" i="4" s="1"/>
  <c r="G1417" i="4"/>
  <c r="F1417" i="4"/>
  <c r="E1417" i="4"/>
  <c r="G1416" i="4"/>
  <c r="E1416" i="4"/>
  <c r="F1416" i="4" s="1"/>
  <c r="G1415" i="4"/>
  <c r="E1415" i="4"/>
  <c r="F1415" i="4" s="1"/>
  <c r="G1414" i="4"/>
  <c r="E1414" i="4"/>
  <c r="F1414" i="4" s="1"/>
  <c r="G1413" i="4"/>
  <c r="E1413" i="4"/>
  <c r="F1413" i="4" s="1"/>
  <c r="G1412" i="4"/>
  <c r="E1412" i="4"/>
  <c r="F1412" i="4" s="1"/>
  <c r="G1411" i="4"/>
  <c r="E1411" i="4"/>
  <c r="F1411" i="4" s="1"/>
  <c r="G1410" i="4"/>
  <c r="E1410" i="4"/>
  <c r="F1410" i="4" s="1"/>
  <c r="G1409" i="4"/>
  <c r="E1409" i="4"/>
  <c r="F1409" i="4" s="1"/>
  <c r="G1408" i="4"/>
  <c r="F1408" i="4"/>
  <c r="E1408" i="4"/>
  <c r="G1407" i="4"/>
  <c r="F1407" i="4"/>
  <c r="E1407" i="4"/>
  <c r="G1406" i="4"/>
  <c r="E1406" i="4"/>
  <c r="F1406" i="4" s="1"/>
  <c r="G1405" i="4"/>
  <c r="F1405" i="4"/>
  <c r="E1405" i="4"/>
  <c r="G1404" i="4"/>
  <c r="E1404" i="4"/>
  <c r="F1404" i="4" s="1"/>
  <c r="G1403" i="4"/>
  <c r="E1403" i="4"/>
  <c r="F1403" i="4" s="1"/>
  <c r="G1402" i="4"/>
  <c r="E1402" i="4"/>
  <c r="F1402" i="4" s="1"/>
  <c r="G1401" i="4"/>
  <c r="F1401" i="4"/>
  <c r="E1401" i="4"/>
  <c r="G1400" i="4"/>
  <c r="F1400" i="4"/>
  <c r="E1400" i="4"/>
  <c r="G1399" i="4"/>
  <c r="E1399" i="4"/>
  <c r="F1399" i="4" s="1"/>
  <c r="G1398" i="4"/>
  <c r="E1398" i="4"/>
  <c r="F1398" i="4" s="1"/>
  <c r="G1397" i="4"/>
  <c r="E1397" i="4"/>
  <c r="F1397" i="4" s="1"/>
  <c r="G1396" i="4"/>
  <c r="E1396" i="4"/>
  <c r="F1396" i="4" s="1"/>
  <c r="G1395" i="4"/>
  <c r="F1395" i="4"/>
  <c r="E1395" i="4"/>
  <c r="G1394" i="4"/>
  <c r="F1394" i="4"/>
  <c r="E1394" i="4"/>
  <c r="G1393" i="4"/>
  <c r="E1393" i="4"/>
  <c r="F1393" i="4" s="1"/>
  <c r="G1392" i="4"/>
  <c r="E1392" i="4"/>
  <c r="F1392" i="4" s="1"/>
  <c r="G1391" i="4"/>
  <c r="F1391" i="4"/>
  <c r="E1391" i="4"/>
  <c r="G1390" i="4"/>
  <c r="F1390" i="4"/>
  <c r="E1390" i="4"/>
  <c r="G1389" i="4"/>
  <c r="E1389" i="4"/>
  <c r="F1389" i="4" s="1"/>
  <c r="G1388" i="4"/>
  <c r="E1388" i="4"/>
  <c r="F1388" i="4" s="1"/>
  <c r="G1387" i="4"/>
  <c r="F1387" i="4"/>
  <c r="E1387" i="4"/>
  <c r="G1386" i="4"/>
  <c r="F1386" i="4"/>
  <c r="E1386" i="4"/>
  <c r="G1385" i="4"/>
  <c r="E1385" i="4"/>
  <c r="F1385" i="4" s="1"/>
  <c r="G1384" i="4"/>
  <c r="E1384" i="4"/>
  <c r="F1384" i="4" s="1"/>
  <c r="G1383" i="4"/>
  <c r="F1383" i="4"/>
  <c r="E1383" i="4"/>
  <c r="G1382" i="4"/>
  <c r="F1382" i="4"/>
  <c r="E1382" i="4"/>
  <c r="G1381" i="4"/>
  <c r="E1381" i="4"/>
  <c r="F1381" i="4" s="1"/>
  <c r="G1380" i="4"/>
  <c r="E1380" i="4"/>
  <c r="F1380" i="4" s="1"/>
  <c r="G1379" i="4"/>
  <c r="F1379" i="4"/>
  <c r="E1379" i="4"/>
  <c r="G1378" i="4"/>
  <c r="F1378" i="4"/>
  <c r="E1378" i="4"/>
  <c r="G1377" i="4"/>
  <c r="E1377" i="4"/>
  <c r="F1377" i="4" s="1"/>
  <c r="G1376" i="4"/>
  <c r="E1376" i="4"/>
  <c r="F1376" i="4" s="1"/>
  <c r="G1375" i="4"/>
  <c r="F1375" i="4"/>
  <c r="E1375" i="4"/>
  <c r="G1374" i="4"/>
  <c r="F1374" i="4"/>
  <c r="E1374" i="4"/>
  <c r="G1373" i="4"/>
  <c r="E1373" i="4"/>
  <c r="F1373" i="4" s="1"/>
  <c r="G1372" i="4"/>
  <c r="E1372" i="4"/>
  <c r="F1372" i="4" s="1"/>
  <c r="G1371" i="4"/>
  <c r="F1371" i="4"/>
  <c r="E1371" i="4"/>
  <c r="G1370" i="4"/>
  <c r="F1370" i="4"/>
  <c r="E1370" i="4"/>
  <c r="G1369" i="4"/>
  <c r="E1369" i="4"/>
  <c r="F1369" i="4" s="1"/>
  <c r="G1368" i="4"/>
  <c r="E1368" i="4"/>
  <c r="F1368" i="4" s="1"/>
  <c r="G1367" i="4"/>
  <c r="F1367" i="4"/>
  <c r="E1367" i="4"/>
  <c r="G1366" i="4"/>
  <c r="F1366" i="4"/>
  <c r="E1366" i="4"/>
  <c r="G1365" i="4"/>
  <c r="E1365" i="4"/>
  <c r="F1365" i="4" s="1"/>
  <c r="G1364" i="4"/>
  <c r="E1364" i="4"/>
  <c r="F1364" i="4" s="1"/>
  <c r="G1363" i="4"/>
  <c r="F1363" i="4"/>
  <c r="E1363" i="4"/>
  <c r="G1362" i="4"/>
  <c r="F1362" i="4"/>
  <c r="E1362" i="4"/>
  <c r="G1361" i="4"/>
  <c r="E1361" i="4"/>
  <c r="F1361" i="4" s="1"/>
  <c r="G1360" i="4"/>
  <c r="E1360" i="4"/>
  <c r="F1360" i="4" s="1"/>
  <c r="G1359" i="4"/>
  <c r="F1359" i="4"/>
  <c r="E1359" i="4"/>
  <c r="G1358" i="4"/>
  <c r="F1358" i="4"/>
  <c r="E1358" i="4"/>
  <c r="G1357" i="4"/>
  <c r="E1357" i="4"/>
  <c r="F1357" i="4" s="1"/>
  <c r="G1356" i="4"/>
  <c r="E1356" i="4"/>
  <c r="F1356" i="4" s="1"/>
  <c r="G1355" i="4"/>
  <c r="F1355" i="4"/>
  <c r="E1355" i="4"/>
  <c r="G1354" i="4"/>
  <c r="F1354" i="4"/>
  <c r="E1354" i="4"/>
  <c r="G1353" i="4"/>
  <c r="E1353" i="4"/>
  <c r="F1353" i="4" s="1"/>
  <c r="G1352" i="4"/>
  <c r="E1352" i="4"/>
  <c r="F1352" i="4" s="1"/>
  <c r="G1351" i="4"/>
  <c r="F1351" i="4"/>
  <c r="E1351" i="4"/>
  <c r="G1350" i="4"/>
  <c r="F1350" i="4"/>
  <c r="E1350" i="4"/>
  <c r="G1349" i="4"/>
  <c r="E1349" i="4"/>
  <c r="F1349" i="4" s="1"/>
  <c r="G1348" i="4"/>
  <c r="E1348" i="4"/>
  <c r="F1348" i="4" s="1"/>
  <c r="G1347" i="4"/>
  <c r="F1347" i="4"/>
  <c r="E1347" i="4"/>
  <c r="G1346" i="4"/>
  <c r="F1346" i="4"/>
  <c r="E1346" i="4"/>
  <c r="G1345" i="4"/>
  <c r="E1345" i="4"/>
  <c r="F1345" i="4" s="1"/>
  <c r="G1344" i="4"/>
  <c r="E1344" i="4"/>
  <c r="F1344" i="4" s="1"/>
  <c r="G1343" i="4"/>
  <c r="F1343" i="4"/>
  <c r="E1343" i="4"/>
  <c r="G1342" i="4"/>
  <c r="F1342" i="4"/>
  <c r="E1342" i="4"/>
  <c r="G1341" i="4"/>
  <c r="E1341" i="4"/>
  <c r="F1341" i="4" s="1"/>
  <c r="G1340" i="4"/>
  <c r="E1340" i="4"/>
  <c r="F1340" i="4" s="1"/>
  <c r="G1339" i="4"/>
  <c r="F1339" i="4"/>
  <c r="E1339" i="4"/>
  <c r="G1338" i="4"/>
  <c r="F1338" i="4"/>
  <c r="E1338" i="4"/>
  <c r="G1337" i="4"/>
  <c r="E1337" i="4"/>
  <c r="F1337" i="4" s="1"/>
  <c r="G1336" i="4"/>
  <c r="E1336" i="4"/>
  <c r="F1336" i="4" s="1"/>
  <c r="G1335" i="4"/>
  <c r="F1335" i="4"/>
  <c r="E1335" i="4"/>
  <c r="G1334" i="4"/>
  <c r="F1334" i="4"/>
  <c r="E1334" i="4"/>
  <c r="G1333" i="4"/>
  <c r="E1333" i="4"/>
  <c r="F1333" i="4" s="1"/>
  <c r="G1332" i="4"/>
  <c r="E1332" i="4"/>
  <c r="F1332" i="4" s="1"/>
  <c r="G1331" i="4"/>
  <c r="F1331" i="4"/>
  <c r="E1331" i="4"/>
  <c r="G1330" i="4"/>
  <c r="F1330" i="4"/>
  <c r="E1330" i="4"/>
  <c r="G1329" i="4"/>
  <c r="E1329" i="4"/>
  <c r="F1329" i="4" s="1"/>
  <c r="G1328" i="4"/>
  <c r="E1328" i="4"/>
  <c r="F1328" i="4" s="1"/>
  <c r="G1327" i="4"/>
  <c r="F1327" i="4"/>
  <c r="E1327" i="4"/>
  <c r="G1326" i="4"/>
  <c r="F1326" i="4"/>
  <c r="E1326" i="4"/>
  <c r="G1325" i="4"/>
  <c r="E1325" i="4"/>
  <c r="F1325" i="4" s="1"/>
  <c r="G1324" i="4"/>
  <c r="E1324" i="4"/>
  <c r="F1324" i="4" s="1"/>
  <c r="G1323" i="4"/>
  <c r="F1323" i="4"/>
  <c r="E1323" i="4"/>
  <c r="G1322" i="4"/>
  <c r="F1322" i="4"/>
  <c r="E1322" i="4"/>
  <c r="G1321" i="4"/>
  <c r="E1321" i="4"/>
  <c r="F1321" i="4" s="1"/>
  <c r="G1320" i="4"/>
  <c r="E1320" i="4"/>
  <c r="F1320" i="4" s="1"/>
  <c r="G1319" i="4"/>
  <c r="F1319" i="4"/>
  <c r="E1319" i="4"/>
  <c r="G1318" i="4"/>
  <c r="F1318" i="4"/>
  <c r="E1318" i="4"/>
  <c r="G1317" i="4"/>
  <c r="E1317" i="4"/>
  <c r="F1317" i="4" s="1"/>
  <c r="G1316" i="4"/>
  <c r="E1316" i="4"/>
  <c r="F1316" i="4" s="1"/>
  <c r="G1315" i="4"/>
  <c r="F1315" i="4"/>
  <c r="E1315" i="4"/>
  <c r="G1314" i="4"/>
  <c r="F1314" i="4"/>
  <c r="E1314" i="4"/>
  <c r="G1313" i="4"/>
  <c r="E1313" i="4"/>
  <c r="F1313" i="4" s="1"/>
  <c r="G1312" i="4"/>
  <c r="E1312" i="4"/>
  <c r="F1312" i="4" s="1"/>
  <c r="G1311" i="4"/>
  <c r="F1311" i="4"/>
  <c r="E1311" i="4"/>
  <c r="G1310" i="4"/>
  <c r="F1310" i="4"/>
  <c r="E1310" i="4"/>
  <c r="G1309" i="4"/>
  <c r="E1309" i="4"/>
  <c r="F1309" i="4" s="1"/>
  <c r="G1308" i="4"/>
  <c r="E1308" i="4"/>
  <c r="F1308" i="4" s="1"/>
  <c r="G1307" i="4"/>
  <c r="F1307" i="4"/>
  <c r="E1307" i="4"/>
  <c r="G1306" i="4"/>
  <c r="F1306" i="4"/>
  <c r="E1306" i="4"/>
  <c r="G1305" i="4"/>
  <c r="E1305" i="4"/>
  <c r="F1305" i="4" s="1"/>
  <c r="G1304" i="4"/>
  <c r="E1304" i="4"/>
  <c r="F1304" i="4" s="1"/>
  <c r="G1303" i="4"/>
  <c r="F1303" i="4"/>
  <c r="E1303" i="4"/>
  <c r="G1302" i="4"/>
  <c r="F1302" i="4"/>
  <c r="E1302" i="4"/>
  <c r="G1301" i="4"/>
  <c r="E1301" i="4"/>
  <c r="F1301" i="4" s="1"/>
  <c r="G1300" i="4"/>
  <c r="E1300" i="4"/>
  <c r="F1300" i="4" s="1"/>
  <c r="G1299" i="4"/>
  <c r="F1299" i="4"/>
  <c r="E1299" i="4"/>
  <c r="G1298" i="4"/>
  <c r="F1298" i="4"/>
  <c r="E1298" i="4"/>
  <c r="G1297" i="4"/>
  <c r="E1297" i="4"/>
  <c r="F1297" i="4" s="1"/>
  <c r="G1296" i="4"/>
  <c r="F1296" i="4"/>
  <c r="E1296" i="4"/>
  <c r="G1295" i="4"/>
  <c r="F1295" i="4"/>
  <c r="E1295" i="4"/>
  <c r="G1294" i="4"/>
  <c r="F1294" i="4"/>
  <c r="E1294" i="4"/>
  <c r="G1293" i="4"/>
  <c r="E1293" i="4"/>
  <c r="F1293" i="4" s="1"/>
  <c r="G1292" i="4"/>
  <c r="E1292" i="4"/>
  <c r="F1292" i="4" s="1"/>
  <c r="G1291" i="4"/>
  <c r="F1291" i="4"/>
  <c r="E1291" i="4"/>
  <c r="G1290" i="4"/>
  <c r="F1290" i="4"/>
  <c r="E1290" i="4"/>
  <c r="G1289" i="4"/>
  <c r="E1289" i="4"/>
  <c r="F1289" i="4" s="1"/>
  <c r="G1288" i="4"/>
  <c r="F1288" i="4"/>
  <c r="E1288" i="4"/>
  <c r="G1287" i="4"/>
  <c r="F1287" i="4"/>
  <c r="E1287" i="4"/>
  <c r="G1286" i="4"/>
  <c r="F1286" i="4"/>
  <c r="E1286" i="4"/>
  <c r="G1285" i="4"/>
  <c r="E1285" i="4"/>
  <c r="F1285" i="4" s="1"/>
  <c r="G1284" i="4"/>
  <c r="F1284" i="4"/>
  <c r="E1284" i="4"/>
  <c r="G1283" i="4"/>
  <c r="F1283" i="4"/>
  <c r="E1283" i="4"/>
  <c r="G1282" i="4"/>
  <c r="F1282" i="4"/>
  <c r="E1282" i="4"/>
  <c r="G1281" i="4"/>
  <c r="E1281" i="4"/>
  <c r="F1281" i="4" s="1"/>
  <c r="G1280" i="4"/>
  <c r="E1280" i="4"/>
  <c r="F1280" i="4" s="1"/>
  <c r="G1279" i="4"/>
  <c r="F1279" i="4"/>
  <c r="E1279" i="4"/>
  <c r="G1278" i="4"/>
  <c r="F1278" i="4"/>
  <c r="E1278" i="4"/>
  <c r="G1277" i="4"/>
  <c r="E1277" i="4"/>
  <c r="F1277" i="4" s="1"/>
  <c r="G1276" i="4"/>
  <c r="F1276" i="4"/>
  <c r="E1276" i="4"/>
  <c r="G1275" i="4"/>
  <c r="F1275" i="4"/>
  <c r="E1275" i="4"/>
  <c r="G1274" i="4"/>
  <c r="F1274" i="4"/>
  <c r="E1274" i="4"/>
  <c r="G1273" i="4"/>
  <c r="E1273" i="4"/>
  <c r="F1273" i="4" s="1"/>
  <c r="G1272" i="4"/>
  <c r="E1272" i="4"/>
  <c r="F1272" i="4" s="1"/>
  <c r="G1271" i="4"/>
  <c r="F1271" i="4"/>
  <c r="E1271" i="4"/>
  <c r="G1270" i="4"/>
  <c r="F1270" i="4"/>
  <c r="E1270" i="4"/>
  <c r="G1269" i="4"/>
  <c r="E1269" i="4"/>
  <c r="F1269" i="4" s="1"/>
  <c r="G1268" i="4"/>
  <c r="F1268" i="4"/>
  <c r="E1268" i="4"/>
  <c r="G1267" i="4"/>
  <c r="F1267" i="4"/>
  <c r="E1267" i="4"/>
  <c r="G1266" i="4"/>
  <c r="F1266" i="4"/>
  <c r="E1266" i="4"/>
  <c r="G1265" i="4"/>
  <c r="E1265" i="4"/>
  <c r="F1265" i="4" s="1"/>
  <c r="G1264" i="4"/>
  <c r="E1264" i="4"/>
  <c r="F1264" i="4" s="1"/>
  <c r="G1263" i="4"/>
  <c r="F1263" i="4"/>
  <c r="E1263" i="4"/>
  <c r="G1262" i="4"/>
  <c r="F1262" i="4"/>
  <c r="E1262" i="4"/>
  <c r="G1261" i="4"/>
  <c r="E1261" i="4"/>
  <c r="F1261" i="4" s="1"/>
  <c r="G1260" i="4"/>
  <c r="F1260" i="4"/>
  <c r="E1260" i="4"/>
  <c r="G1259" i="4"/>
  <c r="F1259" i="4"/>
  <c r="E1259" i="4"/>
  <c r="G1258" i="4"/>
  <c r="F1258" i="4"/>
  <c r="E1258" i="4"/>
  <c r="G1257" i="4"/>
  <c r="E1257" i="4"/>
  <c r="F1257" i="4" s="1"/>
  <c r="G1256" i="4"/>
  <c r="F1256" i="4"/>
  <c r="E1256" i="4"/>
  <c r="G1255" i="4"/>
  <c r="F1255" i="4"/>
  <c r="E1255" i="4"/>
  <c r="G1254" i="4"/>
  <c r="F1254" i="4"/>
  <c r="E1254" i="4"/>
  <c r="G1253" i="4"/>
  <c r="E1253" i="4"/>
  <c r="F1253" i="4" s="1"/>
  <c r="G1252" i="4"/>
  <c r="E1252" i="4"/>
  <c r="F1252" i="4" s="1"/>
  <c r="G1251" i="4"/>
  <c r="F1251" i="4"/>
  <c r="E1251" i="4"/>
  <c r="G1250" i="4"/>
  <c r="F1250" i="4"/>
  <c r="E1250" i="4"/>
  <c r="G1249" i="4"/>
  <c r="E1249" i="4"/>
  <c r="F1249" i="4" s="1"/>
  <c r="G1248" i="4"/>
  <c r="F1248" i="4"/>
  <c r="E1248" i="4"/>
  <c r="G1247" i="4"/>
  <c r="F1247" i="4"/>
  <c r="E1247" i="4"/>
  <c r="G1246" i="4"/>
  <c r="F1246" i="4"/>
  <c r="E1246" i="4"/>
  <c r="G1245" i="4"/>
  <c r="E1245" i="4"/>
  <c r="F1245" i="4" s="1"/>
  <c r="G1244" i="4"/>
  <c r="E1244" i="4"/>
  <c r="F1244" i="4" s="1"/>
  <c r="G1243" i="4"/>
  <c r="F1243" i="4"/>
  <c r="E1243" i="4"/>
  <c r="G1242" i="4"/>
  <c r="F1242" i="4"/>
  <c r="E1242" i="4"/>
  <c r="G1241" i="4"/>
  <c r="E1241" i="4"/>
  <c r="F1241" i="4" s="1"/>
  <c r="G1240" i="4"/>
  <c r="F1240" i="4"/>
  <c r="E1240" i="4"/>
  <c r="G1239" i="4"/>
  <c r="F1239" i="4"/>
  <c r="E1239" i="4"/>
  <c r="G1238" i="4"/>
  <c r="F1238" i="4"/>
  <c r="E1238" i="4"/>
  <c r="G1237" i="4"/>
  <c r="E1237" i="4"/>
  <c r="F1237" i="4" s="1"/>
  <c r="G1236" i="4"/>
  <c r="E1236" i="4"/>
  <c r="F1236" i="4" s="1"/>
  <c r="G1235" i="4"/>
  <c r="F1235" i="4"/>
  <c r="E1235" i="4"/>
  <c r="G1234" i="4"/>
  <c r="F1234" i="4"/>
  <c r="E1234" i="4"/>
  <c r="G1233" i="4"/>
  <c r="E1233" i="4"/>
  <c r="F1233" i="4" s="1"/>
  <c r="G1232" i="4"/>
  <c r="E1232" i="4"/>
  <c r="F1232" i="4" s="1"/>
  <c r="G1231" i="4"/>
  <c r="F1231" i="4"/>
  <c r="E1231" i="4"/>
  <c r="G1230" i="4"/>
  <c r="F1230" i="4"/>
  <c r="E1230" i="4"/>
  <c r="G1229" i="4"/>
  <c r="E1229" i="4"/>
  <c r="F1229" i="4" s="1"/>
  <c r="G1228" i="4"/>
  <c r="F1228" i="4"/>
  <c r="E1228" i="4"/>
  <c r="G1227" i="4"/>
  <c r="F1227" i="4"/>
  <c r="E1227" i="4"/>
  <c r="G1226" i="4"/>
  <c r="F1226" i="4"/>
  <c r="E1226" i="4"/>
  <c r="G1225" i="4"/>
  <c r="E1225" i="4"/>
  <c r="F1225" i="4" s="1"/>
  <c r="G1224" i="4"/>
  <c r="E1224" i="4"/>
  <c r="F1224" i="4" s="1"/>
  <c r="G1223" i="4"/>
  <c r="F1223" i="4"/>
  <c r="E1223" i="4"/>
  <c r="G1222" i="4"/>
  <c r="F1222" i="4"/>
  <c r="E1222" i="4"/>
  <c r="G1221" i="4"/>
  <c r="E1221" i="4"/>
  <c r="F1221" i="4" s="1"/>
  <c r="G1220" i="4"/>
  <c r="F1220" i="4"/>
  <c r="E1220" i="4"/>
  <c r="G1219" i="4"/>
  <c r="F1219" i="4"/>
  <c r="E1219" i="4"/>
  <c r="G1218" i="4"/>
  <c r="F1218" i="4"/>
  <c r="E1218" i="4"/>
  <c r="G1217" i="4"/>
  <c r="E1217" i="4"/>
  <c r="F1217" i="4" s="1"/>
  <c r="G1216" i="4"/>
  <c r="E1216" i="4"/>
  <c r="F1216" i="4" s="1"/>
  <c r="G1215" i="4"/>
  <c r="F1215" i="4"/>
  <c r="E1215" i="4"/>
  <c r="G1214" i="4"/>
  <c r="F1214" i="4"/>
  <c r="E1214" i="4"/>
  <c r="G1213" i="4"/>
  <c r="E1213" i="4"/>
  <c r="F1213" i="4" s="1"/>
  <c r="G1212" i="4"/>
  <c r="F1212" i="4"/>
  <c r="E1212" i="4"/>
  <c r="G1211" i="4"/>
  <c r="F1211" i="4"/>
  <c r="E1211" i="4"/>
  <c r="G1210" i="4"/>
  <c r="F1210" i="4"/>
  <c r="E1210" i="4"/>
  <c r="G1209" i="4"/>
  <c r="E1209" i="4"/>
  <c r="F1209" i="4" s="1"/>
  <c r="G1208" i="4"/>
  <c r="F1208" i="4"/>
  <c r="E1208" i="4"/>
  <c r="G1207" i="4"/>
  <c r="F1207" i="4"/>
  <c r="E1207" i="4"/>
  <c r="G1206" i="4"/>
  <c r="F1206" i="4"/>
  <c r="E1206" i="4"/>
  <c r="G1205" i="4"/>
  <c r="E1205" i="4"/>
  <c r="F1205" i="4" s="1"/>
  <c r="G1204" i="4"/>
  <c r="E1204" i="4"/>
  <c r="F1204" i="4" s="1"/>
  <c r="G1203" i="4"/>
  <c r="F1203" i="4"/>
  <c r="E1203" i="4"/>
  <c r="G1202" i="4"/>
  <c r="F1202" i="4"/>
  <c r="E1202" i="4"/>
  <c r="G1201" i="4"/>
  <c r="E1201" i="4"/>
  <c r="F1201" i="4" s="1"/>
  <c r="G1200" i="4"/>
  <c r="F1200" i="4"/>
  <c r="E1200" i="4"/>
  <c r="G1199" i="4"/>
  <c r="F1199" i="4"/>
  <c r="E1199" i="4"/>
  <c r="G1198" i="4"/>
  <c r="F1198" i="4"/>
  <c r="E1198" i="4"/>
  <c r="G1197" i="4"/>
  <c r="E1197" i="4"/>
  <c r="F1197" i="4" s="1"/>
  <c r="G1196" i="4"/>
  <c r="E1196" i="4"/>
  <c r="F1196" i="4" s="1"/>
  <c r="G1195" i="4"/>
  <c r="F1195" i="4"/>
  <c r="E1195" i="4"/>
  <c r="G1194" i="4"/>
  <c r="F1194" i="4"/>
  <c r="E1194" i="4"/>
  <c r="G1193" i="4"/>
  <c r="E1193" i="4"/>
  <c r="F1193" i="4" s="1"/>
  <c r="G1192" i="4"/>
  <c r="F1192" i="4"/>
  <c r="E1192" i="4"/>
  <c r="G1191" i="4"/>
  <c r="F1191" i="4"/>
  <c r="E1191" i="4"/>
  <c r="G1190" i="4"/>
  <c r="F1190" i="4"/>
  <c r="E1190" i="4"/>
  <c r="G1189" i="4"/>
  <c r="E1189" i="4"/>
  <c r="F1189" i="4" s="1"/>
  <c r="G1188" i="4"/>
  <c r="F1188" i="4"/>
  <c r="E1188" i="4"/>
  <c r="G1187" i="4"/>
  <c r="F1187" i="4"/>
  <c r="E1187" i="4"/>
  <c r="G1186" i="4"/>
  <c r="F1186" i="4"/>
  <c r="E1186" i="4"/>
  <c r="G1185" i="4"/>
  <c r="E1185" i="4"/>
  <c r="F1185" i="4" s="1"/>
  <c r="G1184" i="4"/>
  <c r="E1184" i="4"/>
  <c r="F1184" i="4" s="1"/>
  <c r="G1183" i="4"/>
  <c r="F1183" i="4"/>
  <c r="E1183" i="4"/>
  <c r="G1182" i="4"/>
  <c r="F1182" i="4"/>
  <c r="E1182" i="4"/>
  <c r="G1181" i="4"/>
  <c r="E1181" i="4"/>
  <c r="F1181" i="4" s="1"/>
  <c r="G1180" i="4"/>
  <c r="F1180" i="4"/>
  <c r="E1180" i="4"/>
  <c r="G1179" i="4"/>
  <c r="F1179" i="4"/>
  <c r="E1179" i="4"/>
  <c r="G1178" i="4"/>
  <c r="F1178" i="4"/>
  <c r="E1178" i="4"/>
  <c r="G1177" i="4"/>
  <c r="E1177" i="4"/>
  <c r="F1177" i="4" s="1"/>
  <c r="G1176" i="4"/>
  <c r="E1176" i="4"/>
  <c r="F1176" i="4" s="1"/>
  <c r="G1175" i="4"/>
  <c r="F1175" i="4"/>
  <c r="E1175" i="4"/>
  <c r="G1174" i="4"/>
  <c r="F1174" i="4"/>
  <c r="E1174" i="4"/>
  <c r="G1173" i="4"/>
  <c r="E1173" i="4"/>
  <c r="F1173" i="4" s="1"/>
  <c r="G1172" i="4"/>
  <c r="F1172" i="4"/>
  <c r="E1172" i="4"/>
  <c r="G1171" i="4"/>
  <c r="F1171" i="4"/>
  <c r="E1171" i="4"/>
  <c r="G1170" i="4"/>
  <c r="F1170" i="4"/>
  <c r="E1170" i="4"/>
  <c r="G1169" i="4"/>
  <c r="E1169" i="4"/>
  <c r="F1169" i="4" s="1"/>
  <c r="G1168" i="4"/>
  <c r="E1168" i="4"/>
  <c r="F1168" i="4" s="1"/>
  <c r="G1167" i="4"/>
  <c r="F1167" i="4"/>
  <c r="E1167" i="4"/>
  <c r="G1166" i="4"/>
  <c r="F1166" i="4"/>
  <c r="E1166" i="4"/>
  <c r="G1165" i="4"/>
  <c r="E1165" i="4"/>
  <c r="F1165" i="4" s="1"/>
  <c r="G1164" i="4"/>
  <c r="F1164" i="4"/>
  <c r="E1164" i="4"/>
  <c r="G1163" i="4"/>
  <c r="F1163" i="4"/>
  <c r="E1163" i="4"/>
  <c r="G1162" i="4"/>
  <c r="F1162" i="4"/>
  <c r="E1162" i="4"/>
  <c r="G1161" i="4"/>
  <c r="E1161" i="4"/>
  <c r="F1161" i="4" s="1"/>
  <c r="G1160" i="4"/>
  <c r="E1160" i="4"/>
  <c r="F1160" i="4" s="1"/>
  <c r="G1159" i="4"/>
  <c r="F1159" i="4"/>
  <c r="E1159" i="4"/>
  <c r="G1158" i="4"/>
  <c r="F1158" i="4"/>
  <c r="E1158" i="4"/>
  <c r="G1157" i="4"/>
  <c r="E1157" i="4"/>
  <c r="F1157" i="4" s="1"/>
  <c r="G1156" i="4"/>
  <c r="E1156" i="4"/>
  <c r="F1156" i="4" s="1"/>
  <c r="G1155" i="4"/>
  <c r="F1155" i="4"/>
  <c r="E1155" i="4"/>
  <c r="G1154" i="4"/>
  <c r="F1154" i="4"/>
  <c r="E1154" i="4"/>
  <c r="G1153" i="4"/>
  <c r="E1153" i="4"/>
  <c r="F1153" i="4" s="1"/>
  <c r="G1152" i="4"/>
  <c r="F1152" i="4"/>
  <c r="E1152" i="4"/>
  <c r="G1151" i="4"/>
  <c r="F1151" i="4"/>
  <c r="E1151" i="4"/>
  <c r="G1150" i="4"/>
  <c r="E1150" i="4"/>
  <c r="F1150" i="4" s="1"/>
  <c r="G1149" i="4"/>
  <c r="E1149" i="4"/>
  <c r="F1149" i="4" s="1"/>
  <c r="G1148" i="4"/>
  <c r="E1148" i="4"/>
  <c r="F1148" i="4" s="1"/>
  <c r="G1147" i="4"/>
  <c r="F1147" i="4"/>
  <c r="E1147" i="4"/>
  <c r="G1146" i="4"/>
  <c r="F1146" i="4"/>
  <c r="E1146" i="4"/>
  <c r="G1145" i="4"/>
  <c r="E1145" i="4"/>
  <c r="F1145" i="4" s="1"/>
  <c r="G1144" i="4"/>
  <c r="F1144" i="4"/>
  <c r="E1144" i="4"/>
  <c r="G1143" i="4"/>
  <c r="F1143" i="4"/>
  <c r="E1143" i="4"/>
  <c r="G1142" i="4"/>
  <c r="E1142" i="4"/>
  <c r="F1142" i="4" s="1"/>
  <c r="G1141" i="4"/>
  <c r="E1141" i="4"/>
  <c r="F1141" i="4" s="1"/>
  <c r="G1140" i="4"/>
  <c r="E1140" i="4"/>
  <c r="F1140" i="4" s="1"/>
  <c r="G1139" i="4"/>
  <c r="F1139" i="4"/>
  <c r="E1139" i="4"/>
  <c r="G1138" i="4"/>
  <c r="F1138" i="4"/>
  <c r="E1138" i="4"/>
  <c r="G1137" i="4"/>
  <c r="E1137" i="4"/>
  <c r="F1137" i="4" s="1"/>
  <c r="G1136" i="4"/>
  <c r="E1136" i="4"/>
  <c r="F1136" i="4" s="1"/>
  <c r="G1135" i="4"/>
  <c r="F1135" i="4"/>
  <c r="E1135" i="4"/>
  <c r="G1134" i="4"/>
  <c r="E1134" i="4"/>
  <c r="F1134" i="4" s="1"/>
  <c r="G1133" i="4"/>
  <c r="E1133" i="4"/>
  <c r="F1133" i="4" s="1"/>
  <c r="G1132" i="4"/>
  <c r="F1132" i="4"/>
  <c r="E1132" i="4"/>
  <c r="G1131" i="4"/>
  <c r="F1131" i="4"/>
  <c r="E1131" i="4"/>
  <c r="G1130" i="4"/>
  <c r="E1130" i="4"/>
  <c r="F1130" i="4" s="1"/>
  <c r="G1129" i="4"/>
  <c r="E1129" i="4"/>
  <c r="F1129" i="4" s="1"/>
  <c r="G1128" i="4"/>
  <c r="E1128" i="4"/>
  <c r="F1128" i="4" s="1"/>
  <c r="G1127" i="4"/>
  <c r="F1127" i="4"/>
  <c r="E1127" i="4"/>
  <c r="G1126" i="4"/>
  <c r="F1126" i="4"/>
  <c r="E1126" i="4"/>
  <c r="G1125" i="4"/>
  <c r="F1125" i="4"/>
  <c r="E1125" i="4"/>
  <c r="G1124" i="4"/>
  <c r="E1124" i="4"/>
  <c r="F1124" i="4" s="1"/>
  <c r="G1123" i="4"/>
  <c r="F1123" i="4"/>
  <c r="E1123" i="4"/>
  <c r="G1122" i="4"/>
  <c r="F1122" i="4"/>
  <c r="E1122" i="4"/>
  <c r="G1121" i="4"/>
  <c r="F1121" i="4"/>
  <c r="E1121" i="4"/>
  <c r="G1120" i="4"/>
  <c r="E1120" i="4"/>
  <c r="F1120" i="4" s="1"/>
  <c r="G1119" i="4"/>
  <c r="F1119" i="4"/>
  <c r="E1119" i="4"/>
  <c r="G1118" i="4"/>
  <c r="F1118" i="4"/>
  <c r="E1118" i="4"/>
  <c r="G1117" i="4"/>
  <c r="F1117" i="4"/>
  <c r="E1117" i="4"/>
  <c r="G1116" i="4"/>
  <c r="E1116" i="4"/>
  <c r="F1116" i="4" s="1"/>
  <c r="G1115" i="4"/>
  <c r="F1115" i="4"/>
  <c r="E1115" i="4"/>
  <c r="G1114" i="4"/>
  <c r="F1114" i="4"/>
  <c r="E1114" i="4"/>
  <c r="G1113" i="4"/>
  <c r="F1113" i="4"/>
  <c r="E1113" i="4"/>
  <c r="G1112" i="4"/>
  <c r="E1112" i="4"/>
  <c r="F1112" i="4" s="1"/>
  <c r="G1111" i="4"/>
  <c r="F1111" i="4"/>
  <c r="E1111" i="4"/>
  <c r="G1110" i="4"/>
  <c r="F1110" i="4"/>
  <c r="E1110" i="4"/>
  <c r="G1109" i="4"/>
  <c r="F1109" i="4"/>
  <c r="E1109" i="4"/>
  <c r="G1108" i="4"/>
  <c r="E1108" i="4"/>
  <c r="F1108" i="4" s="1"/>
  <c r="G1107" i="4"/>
  <c r="F1107" i="4"/>
  <c r="E1107" i="4"/>
  <c r="G1106" i="4"/>
  <c r="F1106" i="4"/>
  <c r="E1106" i="4"/>
  <c r="G1105" i="4"/>
  <c r="F1105" i="4"/>
  <c r="E1105" i="4"/>
  <c r="G1104" i="4"/>
  <c r="E1104" i="4"/>
  <c r="F1104" i="4" s="1"/>
  <c r="G1103" i="4"/>
  <c r="F1103" i="4"/>
  <c r="E1103" i="4"/>
  <c r="G1102" i="4"/>
  <c r="F1102" i="4"/>
  <c r="E1102" i="4"/>
  <c r="G1101" i="4"/>
  <c r="F1101" i="4"/>
  <c r="E1101" i="4"/>
  <c r="G1100" i="4"/>
  <c r="E1100" i="4"/>
  <c r="F1100" i="4" s="1"/>
  <c r="G1099" i="4"/>
  <c r="F1099" i="4"/>
  <c r="E1099" i="4"/>
  <c r="G1098" i="4"/>
  <c r="F1098" i="4"/>
  <c r="E1098" i="4"/>
  <c r="G1097" i="4"/>
  <c r="F1097" i="4"/>
  <c r="E1097" i="4"/>
  <c r="G1096" i="4"/>
  <c r="E1096" i="4"/>
  <c r="F1096" i="4" s="1"/>
  <c r="G1095" i="4"/>
  <c r="F1095" i="4"/>
  <c r="E1095" i="4"/>
  <c r="G1094" i="4"/>
  <c r="F1094" i="4"/>
  <c r="E1094" i="4"/>
  <c r="G1093" i="4"/>
  <c r="F1093" i="4"/>
  <c r="E1093" i="4"/>
  <c r="G1092" i="4"/>
  <c r="E1092" i="4"/>
  <c r="F1092" i="4" s="1"/>
  <c r="G1091" i="4"/>
  <c r="F1091" i="4"/>
  <c r="E1091" i="4"/>
  <c r="G1090" i="4"/>
  <c r="F1090" i="4"/>
  <c r="E1090" i="4"/>
  <c r="G1089" i="4"/>
  <c r="F1089" i="4"/>
  <c r="E1089" i="4"/>
  <c r="G1088" i="4"/>
  <c r="E1088" i="4"/>
  <c r="F1088" i="4" s="1"/>
  <c r="G1087" i="4"/>
  <c r="F1087" i="4"/>
  <c r="E1087" i="4"/>
  <c r="G1086" i="4"/>
  <c r="F1086" i="4"/>
  <c r="E1086" i="4"/>
  <c r="G1085" i="4"/>
  <c r="F1085" i="4"/>
  <c r="E1085" i="4"/>
  <c r="G1084" i="4"/>
  <c r="E1084" i="4"/>
  <c r="F1084" i="4" s="1"/>
  <c r="G1083" i="4"/>
  <c r="F1083" i="4"/>
  <c r="E1083" i="4"/>
  <c r="G1082" i="4"/>
  <c r="F1082" i="4"/>
  <c r="E1082" i="4"/>
  <c r="G1081" i="4"/>
  <c r="F1081" i="4"/>
  <c r="E1081" i="4"/>
  <c r="G1080" i="4"/>
  <c r="E1080" i="4"/>
  <c r="F1080" i="4" s="1"/>
  <c r="G1079" i="4"/>
  <c r="F1079" i="4"/>
  <c r="E1079" i="4"/>
  <c r="G1078" i="4"/>
  <c r="F1078" i="4"/>
  <c r="E1078" i="4"/>
  <c r="G1077" i="4"/>
  <c r="F1077" i="4"/>
  <c r="E1077" i="4"/>
  <c r="G1076" i="4"/>
  <c r="E1076" i="4"/>
  <c r="F1076" i="4" s="1"/>
  <c r="G1075" i="4"/>
  <c r="F1075" i="4"/>
  <c r="E1075" i="4"/>
  <c r="G1074" i="4"/>
  <c r="F1074" i="4"/>
  <c r="E1074" i="4"/>
  <c r="G1073" i="4"/>
  <c r="F1073" i="4"/>
  <c r="E1073" i="4"/>
  <c r="G1072" i="4"/>
  <c r="E1072" i="4"/>
  <c r="F1072" i="4" s="1"/>
  <c r="G1071" i="4"/>
  <c r="F1071" i="4"/>
  <c r="E1071" i="4"/>
  <c r="G1070" i="4"/>
  <c r="F1070" i="4"/>
  <c r="E1070" i="4"/>
  <c r="G1069" i="4"/>
  <c r="F1069" i="4"/>
  <c r="E1069" i="4"/>
  <c r="G1068" i="4"/>
  <c r="E1068" i="4"/>
  <c r="F1068" i="4" s="1"/>
  <c r="G1067" i="4"/>
  <c r="F1067" i="4"/>
  <c r="E1067" i="4"/>
  <c r="G1066" i="4"/>
  <c r="F1066" i="4"/>
  <c r="E1066" i="4"/>
  <c r="G1065" i="4"/>
  <c r="F1065" i="4"/>
  <c r="E1065" i="4"/>
  <c r="G1064" i="4"/>
  <c r="E1064" i="4"/>
  <c r="F1064" i="4" s="1"/>
  <c r="G1063" i="4"/>
  <c r="F1063" i="4"/>
  <c r="E1063" i="4"/>
  <c r="G1062" i="4"/>
  <c r="F1062" i="4"/>
  <c r="E1062" i="4"/>
  <c r="G1061" i="4"/>
  <c r="F1061" i="4"/>
  <c r="E1061" i="4"/>
  <c r="G1060" i="4"/>
  <c r="E1060" i="4"/>
  <c r="F1060" i="4" s="1"/>
  <c r="G1059" i="4"/>
  <c r="F1059" i="4"/>
  <c r="E1059" i="4"/>
  <c r="G1058" i="4"/>
  <c r="F1058" i="4"/>
  <c r="E1058" i="4"/>
  <c r="G1057" i="4"/>
  <c r="F1057" i="4"/>
  <c r="E1057" i="4"/>
  <c r="G1056" i="4"/>
  <c r="E1056" i="4"/>
  <c r="F1056" i="4" s="1"/>
  <c r="G1055" i="4"/>
  <c r="F1055" i="4"/>
  <c r="E1055" i="4"/>
  <c r="G1054" i="4"/>
  <c r="F1054" i="4"/>
  <c r="E1054" i="4"/>
  <c r="G1053" i="4"/>
  <c r="F1053" i="4"/>
  <c r="E1053" i="4"/>
  <c r="G1052" i="4"/>
  <c r="E1052" i="4"/>
  <c r="F1052" i="4" s="1"/>
  <c r="G1051" i="4"/>
  <c r="F1051" i="4"/>
  <c r="E1051" i="4"/>
  <c r="G1050" i="4"/>
  <c r="F1050" i="4"/>
  <c r="E1050" i="4"/>
  <c r="G1049" i="4"/>
  <c r="F1049" i="4"/>
  <c r="E1049" i="4"/>
  <c r="G1048" i="4"/>
  <c r="E1048" i="4"/>
  <c r="F1048" i="4" s="1"/>
  <c r="G1047" i="4"/>
  <c r="F1047" i="4"/>
  <c r="E1047" i="4"/>
  <c r="G1046" i="4"/>
  <c r="F1046" i="4"/>
  <c r="E1046" i="4"/>
  <c r="G1045" i="4"/>
  <c r="F1045" i="4"/>
  <c r="E1045" i="4"/>
  <c r="G1044" i="4"/>
  <c r="E1044" i="4"/>
  <c r="F1044" i="4" s="1"/>
  <c r="G1043" i="4"/>
  <c r="F1043" i="4"/>
  <c r="E1043" i="4"/>
  <c r="G1042" i="4"/>
  <c r="F1042" i="4"/>
  <c r="E1042" i="4"/>
  <c r="G1041" i="4"/>
  <c r="F1041" i="4"/>
  <c r="E1041" i="4"/>
  <c r="G1040" i="4"/>
  <c r="E1040" i="4"/>
  <c r="F1040" i="4" s="1"/>
  <c r="G1039" i="4"/>
  <c r="F1039" i="4"/>
  <c r="E1039" i="4"/>
  <c r="G1038" i="4"/>
  <c r="F1038" i="4"/>
  <c r="E1038" i="4"/>
  <c r="G1037" i="4"/>
  <c r="F1037" i="4"/>
  <c r="E1037" i="4"/>
  <c r="G1036" i="4"/>
  <c r="E1036" i="4"/>
  <c r="F1036" i="4" s="1"/>
  <c r="G1035" i="4"/>
  <c r="F1035" i="4"/>
  <c r="E1035" i="4"/>
  <c r="G1034" i="4"/>
  <c r="F1034" i="4"/>
  <c r="E1034" i="4"/>
  <c r="G1033" i="4"/>
  <c r="F1033" i="4"/>
  <c r="E1033" i="4"/>
  <c r="G1032" i="4"/>
  <c r="E1032" i="4"/>
  <c r="F1032" i="4" s="1"/>
  <c r="G1031" i="4"/>
  <c r="F1031" i="4"/>
  <c r="E1031" i="4"/>
  <c r="G1030" i="4"/>
  <c r="F1030" i="4"/>
  <c r="E1030" i="4"/>
  <c r="G1029" i="4"/>
  <c r="F1029" i="4"/>
  <c r="E1029" i="4"/>
  <c r="G1028" i="4"/>
  <c r="E1028" i="4"/>
  <c r="F1028" i="4" s="1"/>
  <c r="G1027" i="4"/>
  <c r="F1027" i="4"/>
  <c r="E1027" i="4"/>
  <c r="G1026" i="4"/>
  <c r="E1026" i="4"/>
  <c r="F1026" i="4" s="1"/>
  <c r="G1025" i="4"/>
  <c r="F1025" i="4"/>
  <c r="E1025" i="4"/>
  <c r="G1024" i="4"/>
  <c r="E1024" i="4"/>
  <c r="F1024" i="4" s="1"/>
  <c r="G1023" i="4"/>
  <c r="F1023" i="4"/>
  <c r="E1023" i="4"/>
  <c r="G1022" i="4"/>
  <c r="F1022" i="4"/>
  <c r="E1022" i="4"/>
  <c r="G1021" i="4"/>
  <c r="F1021" i="4"/>
  <c r="E1021" i="4"/>
  <c r="G1020" i="4"/>
  <c r="E1020" i="4"/>
  <c r="F1020" i="4" s="1"/>
  <c r="G1019" i="4"/>
  <c r="F1019" i="4"/>
  <c r="E1019" i="4"/>
  <c r="G1018" i="4"/>
  <c r="E1018" i="4"/>
  <c r="F1018" i="4" s="1"/>
  <c r="G1017" i="4"/>
  <c r="F1017" i="4"/>
  <c r="E1017" i="4"/>
  <c r="G1016" i="4"/>
  <c r="E1016" i="4"/>
  <c r="F1016" i="4" s="1"/>
  <c r="G1015" i="4"/>
  <c r="F1015" i="4"/>
  <c r="E1015" i="4"/>
  <c r="G1014" i="4"/>
  <c r="E1014" i="4"/>
  <c r="F1014" i="4" s="1"/>
  <c r="G1013" i="4"/>
  <c r="F1013" i="4"/>
  <c r="E1013" i="4"/>
  <c r="G1012" i="4"/>
  <c r="E1012" i="4"/>
  <c r="F1012" i="4" s="1"/>
  <c r="G1011" i="4"/>
  <c r="F1011" i="4"/>
  <c r="E1011" i="4"/>
  <c r="G1010" i="4"/>
  <c r="F1010" i="4"/>
  <c r="E1010" i="4"/>
  <c r="G1009" i="4"/>
  <c r="F1009" i="4"/>
  <c r="E1009" i="4"/>
  <c r="G1008" i="4"/>
  <c r="E1008" i="4"/>
  <c r="F1008" i="4" s="1"/>
  <c r="G1007" i="4"/>
  <c r="F1007" i="4"/>
  <c r="E1007" i="4"/>
  <c r="G1006" i="4"/>
  <c r="F1006" i="4"/>
  <c r="E1006" i="4"/>
  <c r="G1005" i="4"/>
  <c r="F1005" i="4"/>
  <c r="E1005" i="4"/>
  <c r="G1004" i="4"/>
  <c r="E1004" i="4"/>
  <c r="F1004" i="4" s="1"/>
  <c r="G1003" i="4"/>
  <c r="F1003" i="4"/>
  <c r="E1003" i="4"/>
  <c r="G1002" i="4"/>
  <c r="E1002" i="4"/>
  <c r="F1002" i="4" s="1"/>
  <c r="G1001" i="4"/>
  <c r="F1001" i="4"/>
  <c r="E1001" i="4"/>
  <c r="G1000" i="4"/>
  <c r="E1000" i="4"/>
  <c r="F1000" i="4" s="1"/>
  <c r="G999" i="4"/>
  <c r="F999" i="4"/>
  <c r="E999" i="4"/>
  <c r="G998" i="4"/>
  <c r="E998" i="4"/>
  <c r="F998" i="4" s="1"/>
  <c r="G997" i="4"/>
  <c r="F997" i="4"/>
  <c r="E997" i="4"/>
  <c r="G996" i="4"/>
  <c r="E996" i="4"/>
  <c r="F996" i="4" s="1"/>
  <c r="G995" i="4"/>
  <c r="F995" i="4"/>
  <c r="E995" i="4"/>
  <c r="G994" i="4"/>
  <c r="E994" i="4"/>
  <c r="F994" i="4" s="1"/>
  <c r="G993" i="4"/>
  <c r="F993" i="4"/>
  <c r="E993" i="4"/>
  <c r="G992" i="4"/>
  <c r="E992" i="4"/>
  <c r="F992" i="4" s="1"/>
  <c r="G991" i="4"/>
  <c r="F991" i="4"/>
  <c r="E991" i="4"/>
  <c r="G990" i="4"/>
  <c r="E990" i="4"/>
  <c r="F990" i="4" s="1"/>
  <c r="G989" i="4"/>
  <c r="F989" i="4"/>
  <c r="E989" i="4"/>
  <c r="G988" i="4"/>
  <c r="E988" i="4"/>
  <c r="F988" i="4" s="1"/>
  <c r="G987" i="4"/>
  <c r="F987" i="4"/>
  <c r="E987" i="4"/>
  <c r="G986" i="4"/>
  <c r="F986" i="4"/>
  <c r="E986" i="4"/>
  <c r="G985" i="4"/>
  <c r="F985" i="4"/>
  <c r="E985" i="4"/>
  <c r="G984" i="4"/>
  <c r="E984" i="4"/>
  <c r="F984" i="4" s="1"/>
  <c r="G983" i="4"/>
  <c r="F983" i="4"/>
  <c r="E983" i="4"/>
  <c r="G982" i="4"/>
  <c r="F982" i="4"/>
  <c r="E982" i="4"/>
  <c r="G981" i="4"/>
  <c r="F981" i="4"/>
  <c r="E981" i="4"/>
  <c r="G980" i="4"/>
  <c r="E980" i="4"/>
  <c r="F980" i="4" s="1"/>
  <c r="G979" i="4"/>
  <c r="F979" i="4"/>
  <c r="E979" i="4"/>
  <c r="G978" i="4"/>
  <c r="E978" i="4"/>
  <c r="F978" i="4" s="1"/>
  <c r="G977" i="4"/>
  <c r="F977" i="4"/>
  <c r="E977" i="4"/>
  <c r="G976" i="4"/>
  <c r="E976" i="4"/>
  <c r="F976" i="4" s="1"/>
  <c r="G975" i="4"/>
  <c r="F975" i="4"/>
  <c r="E975" i="4"/>
  <c r="G974" i="4"/>
  <c r="F974" i="4"/>
  <c r="E974" i="4"/>
  <c r="G973" i="4"/>
  <c r="F973" i="4"/>
  <c r="E973" i="4"/>
  <c r="G972" i="4"/>
  <c r="E972" i="4"/>
  <c r="F972" i="4" s="1"/>
  <c r="G971" i="4"/>
  <c r="F971" i="4"/>
  <c r="E971" i="4"/>
  <c r="G970" i="4"/>
  <c r="E970" i="4"/>
  <c r="F970" i="4" s="1"/>
  <c r="G969" i="4"/>
  <c r="F969" i="4"/>
  <c r="E969" i="4"/>
  <c r="G968" i="4"/>
  <c r="E968" i="4"/>
  <c r="F968" i="4" s="1"/>
  <c r="G967" i="4"/>
  <c r="F967" i="4"/>
  <c r="E967" i="4"/>
  <c r="G966" i="4"/>
  <c r="E966" i="4"/>
  <c r="F966" i="4" s="1"/>
  <c r="G965" i="4"/>
  <c r="F965" i="4"/>
  <c r="E965" i="4"/>
  <c r="G964" i="4"/>
  <c r="E964" i="4"/>
  <c r="F964" i="4" s="1"/>
  <c r="G963" i="4"/>
  <c r="F963" i="4"/>
  <c r="E963" i="4"/>
  <c r="G962" i="4"/>
  <c r="F962" i="4"/>
  <c r="E962" i="4"/>
  <c r="G961" i="4"/>
  <c r="F961" i="4"/>
  <c r="E961" i="4"/>
  <c r="G960" i="4"/>
  <c r="E960" i="4"/>
  <c r="F960" i="4" s="1"/>
  <c r="G959" i="4"/>
  <c r="F959" i="4"/>
  <c r="E959" i="4"/>
  <c r="G958" i="4"/>
  <c r="F958" i="4"/>
  <c r="E958" i="4"/>
  <c r="G957" i="4"/>
  <c r="F957" i="4"/>
  <c r="E957" i="4"/>
  <c r="G956" i="4"/>
  <c r="E956" i="4"/>
  <c r="F956" i="4" s="1"/>
  <c r="G955" i="4"/>
  <c r="F955" i="4"/>
  <c r="E955" i="4"/>
  <c r="G954" i="4"/>
  <c r="F954" i="4"/>
  <c r="E954" i="4"/>
  <c r="G953" i="4"/>
  <c r="F953" i="4"/>
  <c r="E953" i="4"/>
  <c r="G952" i="4"/>
  <c r="E952" i="4"/>
  <c r="F952" i="4" s="1"/>
  <c r="G951" i="4"/>
  <c r="F951" i="4"/>
  <c r="E951" i="4"/>
  <c r="G950" i="4"/>
  <c r="E950" i="4"/>
  <c r="F950" i="4" s="1"/>
  <c r="G949" i="4"/>
  <c r="F949" i="4"/>
  <c r="E949" i="4"/>
  <c r="G948" i="4"/>
  <c r="E948" i="4"/>
  <c r="F948" i="4" s="1"/>
  <c r="G947" i="4"/>
  <c r="F947" i="4"/>
  <c r="E947" i="4"/>
  <c r="G946" i="4"/>
  <c r="E946" i="4"/>
  <c r="F946" i="4" s="1"/>
  <c r="G945" i="4"/>
  <c r="F945" i="4"/>
  <c r="E945" i="4"/>
  <c r="G944" i="4"/>
  <c r="E944" i="4"/>
  <c r="F944" i="4" s="1"/>
  <c r="G943" i="4"/>
  <c r="F943" i="4"/>
  <c r="E943" i="4"/>
  <c r="G942" i="4"/>
  <c r="E942" i="4"/>
  <c r="F942" i="4" s="1"/>
  <c r="G941" i="4"/>
  <c r="F941" i="4"/>
  <c r="E941" i="4"/>
  <c r="G940" i="4"/>
  <c r="E940" i="4"/>
  <c r="F940" i="4" s="1"/>
  <c r="G939" i="4"/>
  <c r="F939" i="4"/>
  <c r="E939" i="4"/>
  <c r="G938" i="4"/>
  <c r="F938" i="4"/>
  <c r="E938" i="4"/>
  <c r="G937" i="4"/>
  <c r="F937" i="4"/>
  <c r="E937" i="4"/>
  <c r="G936" i="4"/>
  <c r="E936" i="4"/>
  <c r="F936" i="4" s="1"/>
  <c r="G935" i="4"/>
  <c r="F935" i="4"/>
  <c r="E935" i="4"/>
  <c r="G934" i="4"/>
  <c r="F934" i="4"/>
  <c r="E934" i="4"/>
  <c r="G933" i="4"/>
  <c r="F933" i="4"/>
  <c r="E933" i="4"/>
  <c r="G932" i="4"/>
  <c r="E932" i="4"/>
  <c r="F932" i="4" s="1"/>
  <c r="G931" i="4"/>
  <c r="F931" i="4"/>
  <c r="E931" i="4"/>
  <c r="G930" i="4"/>
  <c r="E930" i="4"/>
  <c r="F930" i="4" s="1"/>
  <c r="G929" i="4"/>
  <c r="F929" i="4"/>
  <c r="E929" i="4"/>
  <c r="G928" i="4"/>
  <c r="E928" i="4"/>
  <c r="F928" i="4" s="1"/>
  <c r="G927" i="4"/>
  <c r="F927" i="4"/>
  <c r="E927" i="4"/>
  <c r="G926" i="4"/>
  <c r="F926" i="4"/>
  <c r="E926" i="4"/>
  <c r="G925" i="4"/>
  <c r="F925" i="4"/>
  <c r="E925" i="4"/>
  <c r="G924" i="4"/>
  <c r="E924" i="4"/>
  <c r="F924" i="4" s="1"/>
  <c r="G923" i="4"/>
  <c r="F923" i="4"/>
  <c r="E923" i="4"/>
  <c r="G922" i="4"/>
  <c r="E922" i="4"/>
  <c r="F922" i="4" s="1"/>
  <c r="G921" i="4"/>
  <c r="F921" i="4"/>
  <c r="E921" i="4"/>
  <c r="G920" i="4"/>
  <c r="E920" i="4"/>
  <c r="F920" i="4" s="1"/>
  <c r="G919" i="4"/>
  <c r="F919" i="4"/>
  <c r="E919" i="4"/>
  <c r="G918" i="4"/>
  <c r="E918" i="4"/>
  <c r="F918" i="4" s="1"/>
  <c r="G917" i="4"/>
  <c r="F917" i="4"/>
  <c r="E917" i="4"/>
  <c r="G916" i="4"/>
  <c r="E916" i="4"/>
  <c r="F916" i="4" s="1"/>
  <c r="G915" i="4"/>
  <c r="F915" i="4"/>
  <c r="E915" i="4"/>
  <c r="G914" i="4"/>
  <c r="F914" i="4"/>
  <c r="E914" i="4"/>
  <c r="G913" i="4"/>
  <c r="F913" i="4"/>
  <c r="E913" i="4"/>
  <c r="G912" i="4"/>
  <c r="E912" i="4"/>
  <c r="F912" i="4" s="1"/>
  <c r="G911" i="4"/>
  <c r="F911" i="4"/>
  <c r="E911" i="4"/>
  <c r="G910" i="4"/>
  <c r="F910" i="4"/>
  <c r="E910" i="4"/>
  <c r="G909" i="4"/>
  <c r="F909" i="4"/>
  <c r="E909" i="4"/>
  <c r="G908" i="4"/>
  <c r="E908" i="4"/>
  <c r="F908" i="4" s="1"/>
  <c r="G907" i="4"/>
  <c r="F907" i="4"/>
  <c r="E907" i="4"/>
  <c r="G906" i="4"/>
  <c r="E906" i="4"/>
  <c r="F906" i="4" s="1"/>
  <c r="G905" i="4"/>
  <c r="F905" i="4"/>
  <c r="E905" i="4"/>
  <c r="G904" i="4"/>
  <c r="E904" i="4"/>
  <c r="F904" i="4" s="1"/>
  <c r="G903" i="4"/>
  <c r="F903" i="4"/>
  <c r="E903" i="4"/>
  <c r="G902" i="4"/>
  <c r="E902" i="4"/>
  <c r="F902" i="4" s="1"/>
  <c r="G901" i="4"/>
  <c r="F901" i="4"/>
  <c r="E901" i="4"/>
  <c r="G900" i="4"/>
  <c r="E900" i="4"/>
  <c r="F900" i="4" s="1"/>
  <c r="G899" i="4"/>
  <c r="F899" i="4"/>
  <c r="E899" i="4"/>
  <c r="G898" i="4"/>
  <c r="E898" i="4"/>
  <c r="F898" i="4" s="1"/>
  <c r="G897" i="4"/>
  <c r="F897" i="4"/>
  <c r="E897" i="4"/>
  <c r="G896" i="4"/>
  <c r="E896" i="4"/>
  <c r="F896" i="4" s="1"/>
  <c r="G895" i="4"/>
  <c r="F895" i="4"/>
  <c r="E895" i="4"/>
  <c r="G894" i="4"/>
  <c r="E894" i="4"/>
  <c r="F894" i="4" s="1"/>
  <c r="G893" i="4"/>
  <c r="F893" i="4"/>
  <c r="E893" i="4"/>
  <c r="G892" i="4"/>
  <c r="E892" i="4"/>
  <c r="F892" i="4" s="1"/>
  <c r="G891" i="4"/>
  <c r="F891" i="4"/>
  <c r="E891" i="4"/>
  <c r="G890" i="4"/>
  <c r="F890" i="4"/>
  <c r="E890" i="4"/>
  <c r="G889" i="4"/>
  <c r="F889" i="4"/>
  <c r="E889" i="4"/>
  <c r="G888" i="4"/>
  <c r="E888" i="4"/>
  <c r="F888" i="4" s="1"/>
  <c r="G887" i="4"/>
  <c r="F887" i="4"/>
  <c r="E887" i="4"/>
  <c r="G886" i="4"/>
  <c r="F886" i="4"/>
  <c r="E886" i="4"/>
  <c r="G885" i="4"/>
  <c r="F885" i="4"/>
  <c r="E885" i="4"/>
  <c r="G884" i="4"/>
  <c r="E884" i="4"/>
  <c r="F884" i="4" s="1"/>
  <c r="G883" i="4"/>
  <c r="F883" i="4"/>
  <c r="E883" i="4"/>
  <c r="G882" i="4"/>
  <c r="E882" i="4"/>
  <c r="F882" i="4" s="1"/>
  <c r="G881" i="4"/>
  <c r="F881" i="4"/>
  <c r="E881" i="4"/>
  <c r="G880" i="4"/>
  <c r="E880" i="4"/>
  <c r="F880" i="4" s="1"/>
  <c r="G879" i="4"/>
  <c r="F879" i="4"/>
  <c r="E879" i="4"/>
  <c r="G878" i="4"/>
  <c r="F878" i="4"/>
  <c r="E878" i="4"/>
  <c r="G877" i="4"/>
  <c r="F877" i="4"/>
  <c r="E877" i="4"/>
  <c r="G876" i="4"/>
  <c r="E876" i="4"/>
  <c r="F876" i="4" s="1"/>
  <c r="G875" i="4"/>
  <c r="F875" i="4"/>
  <c r="E875" i="4"/>
  <c r="G874" i="4"/>
  <c r="E874" i="4"/>
  <c r="F874" i="4" s="1"/>
  <c r="G873" i="4"/>
  <c r="F873" i="4"/>
  <c r="E873" i="4"/>
  <c r="G872" i="4"/>
  <c r="E872" i="4"/>
  <c r="F872" i="4" s="1"/>
  <c r="G871" i="4"/>
  <c r="F871" i="4"/>
  <c r="E871" i="4"/>
  <c r="G870" i="4"/>
  <c r="E870" i="4"/>
  <c r="F870" i="4" s="1"/>
  <c r="G869" i="4"/>
  <c r="F869" i="4"/>
  <c r="E869" i="4"/>
  <c r="G868" i="4"/>
  <c r="E868" i="4"/>
  <c r="F868" i="4" s="1"/>
  <c r="G867" i="4"/>
  <c r="F867" i="4"/>
  <c r="E867" i="4"/>
  <c r="G866" i="4"/>
  <c r="F866" i="4"/>
  <c r="E866" i="4"/>
  <c r="G865" i="4"/>
  <c r="F865" i="4"/>
  <c r="E865" i="4"/>
  <c r="G864" i="4"/>
  <c r="E864" i="4"/>
  <c r="F864" i="4" s="1"/>
  <c r="G863" i="4"/>
  <c r="F863" i="4"/>
  <c r="E863" i="4"/>
  <c r="G862" i="4"/>
  <c r="F862" i="4"/>
  <c r="E862" i="4"/>
  <c r="G861" i="4"/>
  <c r="F861" i="4"/>
  <c r="E861" i="4"/>
  <c r="G860" i="4"/>
  <c r="E860" i="4"/>
  <c r="F860" i="4" s="1"/>
  <c r="G859" i="4"/>
  <c r="F859" i="4"/>
  <c r="E859" i="4"/>
  <c r="G858" i="4"/>
  <c r="F858" i="4"/>
  <c r="E858" i="4"/>
  <c r="G857" i="4"/>
  <c r="F857" i="4"/>
  <c r="E857" i="4"/>
  <c r="G856" i="4"/>
  <c r="E856" i="4"/>
  <c r="F856" i="4" s="1"/>
  <c r="G855" i="4"/>
  <c r="F855" i="4"/>
  <c r="E855" i="4"/>
  <c r="G854" i="4"/>
  <c r="E854" i="4"/>
  <c r="F854" i="4" s="1"/>
  <c r="G853" i="4"/>
  <c r="F853" i="4"/>
  <c r="E853" i="4"/>
  <c r="G852" i="4"/>
  <c r="E852" i="4"/>
  <c r="F852" i="4" s="1"/>
  <c r="G851" i="4"/>
  <c r="F851" i="4"/>
  <c r="E851" i="4"/>
  <c r="G850" i="4"/>
  <c r="E850" i="4"/>
  <c r="F850" i="4" s="1"/>
  <c r="G849" i="4"/>
  <c r="F849" i="4"/>
  <c r="E849" i="4"/>
  <c r="G848" i="4"/>
  <c r="E848" i="4"/>
  <c r="F848" i="4" s="1"/>
  <c r="G847" i="4"/>
  <c r="F847" i="4"/>
  <c r="E847" i="4"/>
  <c r="G846" i="4"/>
  <c r="E846" i="4"/>
  <c r="F846" i="4" s="1"/>
  <c r="G845" i="4"/>
  <c r="F845" i="4"/>
  <c r="E845" i="4"/>
  <c r="G844" i="4"/>
  <c r="E844" i="4"/>
  <c r="F844" i="4" s="1"/>
  <c r="G843" i="4"/>
  <c r="F843" i="4"/>
  <c r="E843" i="4"/>
  <c r="G842" i="4"/>
  <c r="F842" i="4"/>
  <c r="E842" i="4"/>
  <c r="G841" i="4"/>
  <c r="F841" i="4"/>
  <c r="E841" i="4"/>
  <c r="G840" i="4"/>
  <c r="E840" i="4"/>
  <c r="F840" i="4" s="1"/>
  <c r="G839" i="4"/>
  <c r="F839" i="4"/>
  <c r="E839" i="4"/>
  <c r="G838" i="4"/>
  <c r="F838" i="4"/>
  <c r="E838" i="4"/>
  <c r="G837" i="4"/>
  <c r="F837" i="4"/>
  <c r="E837" i="4"/>
  <c r="G836" i="4"/>
  <c r="E836" i="4"/>
  <c r="F836" i="4" s="1"/>
  <c r="G835" i="4"/>
  <c r="F835" i="4"/>
  <c r="E835" i="4"/>
  <c r="G834" i="4"/>
  <c r="E834" i="4"/>
  <c r="F834" i="4" s="1"/>
  <c r="G833" i="4"/>
  <c r="F833" i="4"/>
  <c r="E833" i="4"/>
  <c r="G832" i="4"/>
  <c r="E832" i="4"/>
  <c r="F832" i="4" s="1"/>
  <c r="G831" i="4"/>
  <c r="F831" i="4"/>
  <c r="E831" i="4"/>
  <c r="G830" i="4"/>
  <c r="F830" i="4"/>
  <c r="E830" i="4"/>
  <c r="G829" i="4"/>
  <c r="F829" i="4"/>
  <c r="E829" i="4"/>
  <c r="G828" i="4"/>
  <c r="E828" i="4"/>
  <c r="F828" i="4" s="1"/>
  <c r="G827" i="4"/>
  <c r="F827" i="4"/>
  <c r="E827" i="4"/>
  <c r="G826" i="4"/>
  <c r="E826" i="4"/>
  <c r="F826" i="4" s="1"/>
  <c r="G825" i="4"/>
  <c r="F825" i="4"/>
  <c r="E825" i="4"/>
  <c r="G824" i="4"/>
  <c r="E824" i="4"/>
  <c r="F824" i="4" s="1"/>
  <c r="G823" i="4"/>
  <c r="E823" i="4"/>
  <c r="F823" i="4" s="1"/>
  <c r="G822" i="4"/>
  <c r="E822" i="4"/>
  <c r="F822" i="4" s="1"/>
  <c r="G821" i="4"/>
  <c r="F821" i="4"/>
  <c r="E821" i="4"/>
  <c r="G820" i="4"/>
  <c r="E820" i="4"/>
  <c r="F820" i="4" s="1"/>
  <c r="G819" i="4"/>
  <c r="E819" i="4"/>
  <c r="F819" i="4" s="1"/>
  <c r="G818" i="4"/>
  <c r="F818" i="4"/>
  <c r="E818" i="4"/>
  <c r="G817" i="4"/>
  <c r="F817" i="4"/>
  <c r="E817" i="4"/>
  <c r="G816" i="4"/>
  <c r="E816" i="4"/>
  <c r="F816" i="4" s="1"/>
  <c r="G815" i="4"/>
  <c r="E815" i="4"/>
  <c r="F815" i="4" s="1"/>
  <c r="G814" i="4"/>
  <c r="F814" i="4"/>
  <c r="E814" i="4"/>
  <c r="G813" i="4"/>
  <c r="F813" i="4"/>
  <c r="E813" i="4"/>
  <c r="G812" i="4"/>
  <c r="E812" i="4"/>
  <c r="F812" i="4" s="1"/>
  <c r="G811" i="4"/>
  <c r="E811" i="4"/>
  <c r="F811" i="4" s="1"/>
  <c r="G810" i="4"/>
  <c r="F810" i="4"/>
  <c r="E810" i="4"/>
  <c r="G809" i="4"/>
  <c r="F809" i="4"/>
  <c r="E809" i="4"/>
  <c r="G808" i="4"/>
  <c r="E808" i="4"/>
  <c r="F808" i="4" s="1"/>
  <c r="G807" i="4"/>
  <c r="F807" i="4"/>
  <c r="E807" i="4"/>
  <c r="G806" i="4"/>
  <c r="E806" i="4"/>
  <c r="F806" i="4" s="1"/>
  <c r="G805" i="4"/>
  <c r="F805" i="4"/>
  <c r="E805" i="4"/>
  <c r="G804" i="4"/>
  <c r="E804" i="4"/>
  <c r="F804" i="4" s="1"/>
  <c r="G803" i="4"/>
  <c r="E803" i="4"/>
  <c r="F803" i="4" s="1"/>
  <c r="G802" i="4"/>
  <c r="E802" i="4"/>
  <c r="F802" i="4" s="1"/>
  <c r="G801" i="4"/>
  <c r="F801" i="4"/>
  <c r="E801" i="4"/>
  <c r="G800" i="4"/>
  <c r="E800" i="4"/>
  <c r="F800" i="4" s="1"/>
  <c r="G799" i="4"/>
  <c r="E799" i="4"/>
  <c r="F799" i="4" s="1"/>
  <c r="G798" i="4"/>
  <c r="E798" i="4"/>
  <c r="F798" i="4" s="1"/>
  <c r="G797" i="4"/>
  <c r="F797" i="4"/>
  <c r="E797" i="4"/>
  <c r="G796" i="4"/>
  <c r="E796" i="4"/>
  <c r="F796" i="4" s="1"/>
  <c r="G795" i="4"/>
  <c r="F795" i="4"/>
  <c r="E795" i="4"/>
  <c r="G794" i="4"/>
  <c r="F794" i="4"/>
  <c r="E794" i="4"/>
  <c r="G793" i="4"/>
  <c r="F793" i="4"/>
  <c r="E793" i="4"/>
  <c r="G792" i="4"/>
  <c r="E792" i="4"/>
  <c r="F792" i="4" s="1"/>
  <c r="G791" i="4"/>
  <c r="E791" i="4"/>
  <c r="F791" i="4" s="1"/>
  <c r="G790" i="4"/>
  <c r="E790" i="4"/>
  <c r="F790" i="4" s="1"/>
  <c r="G789" i="4"/>
  <c r="F789" i="4"/>
  <c r="E789" i="4"/>
  <c r="G788" i="4"/>
  <c r="E788" i="4"/>
  <c r="F788" i="4" s="1"/>
  <c r="G787" i="4"/>
  <c r="E787" i="4"/>
  <c r="F787" i="4" s="1"/>
  <c r="G786" i="4"/>
  <c r="E786" i="4"/>
  <c r="F786" i="4" s="1"/>
  <c r="G785" i="4"/>
  <c r="F785" i="4"/>
  <c r="E785" i="4"/>
  <c r="G784" i="4"/>
  <c r="E784" i="4"/>
  <c r="F784" i="4" s="1"/>
  <c r="G783" i="4"/>
  <c r="F783" i="4"/>
  <c r="E783" i="4"/>
  <c r="G782" i="4"/>
  <c r="F782" i="4"/>
  <c r="E782" i="4"/>
  <c r="G781" i="4"/>
  <c r="F781" i="4"/>
  <c r="E781" i="4"/>
  <c r="G780" i="4"/>
  <c r="E780" i="4"/>
  <c r="F780" i="4" s="1"/>
  <c r="G779" i="4"/>
  <c r="F779" i="4"/>
  <c r="E779" i="4"/>
  <c r="G778" i="4"/>
  <c r="E778" i="4"/>
  <c r="F778" i="4" s="1"/>
  <c r="G777" i="4"/>
  <c r="F777" i="4"/>
  <c r="E777" i="4"/>
  <c r="G776" i="4"/>
  <c r="E776" i="4"/>
  <c r="F776" i="4" s="1"/>
  <c r="G775" i="4"/>
  <c r="E775" i="4"/>
  <c r="F775" i="4" s="1"/>
  <c r="G774" i="4"/>
  <c r="E774" i="4"/>
  <c r="F774" i="4" s="1"/>
  <c r="G773" i="4"/>
  <c r="F773" i="4"/>
  <c r="E773" i="4"/>
  <c r="G772" i="4"/>
  <c r="E772" i="4"/>
  <c r="F772" i="4" s="1"/>
  <c r="G771" i="4"/>
  <c r="E771" i="4"/>
  <c r="F771" i="4" s="1"/>
  <c r="G770" i="4"/>
  <c r="F770" i="4"/>
  <c r="E770" i="4"/>
  <c r="G769" i="4"/>
  <c r="F769" i="4"/>
  <c r="E769" i="4"/>
  <c r="G768" i="4"/>
  <c r="E768" i="4"/>
  <c r="F768" i="4" s="1"/>
  <c r="G767" i="4"/>
  <c r="E767" i="4"/>
  <c r="F767" i="4" s="1"/>
  <c r="G766" i="4"/>
  <c r="F766" i="4"/>
  <c r="E766" i="4"/>
  <c r="G765" i="4"/>
  <c r="F765" i="4"/>
  <c r="E765" i="4"/>
  <c r="G764" i="4"/>
  <c r="E764" i="4"/>
  <c r="F764" i="4" s="1"/>
  <c r="G763" i="4"/>
  <c r="E763" i="4"/>
  <c r="F763" i="4" s="1"/>
  <c r="G762" i="4"/>
  <c r="F762" i="4"/>
  <c r="E762" i="4"/>
  <c r="G761" i="4"/>
  <c r="F761" i="4"/>
  <c r="E761" i="4"/>
  <c r="G760" i="4"/>
  <c r="E760" i="4"/>
  <c r="F760" i="4" s="1"/>
  <c r="G759" i="4"/>
  <c r="F759" i="4"/>
  <c r="E759" i="4"/>
  <c r="G758" i="4"/>
  <c r="F758" i="4"/>
  <c r="E758" i="4"/>
  <c r="G757" i="4"/>
  <c r="F757" i="4"/>
  <c r="E757" i="4"/>
  <c r="G756" i="4"/>
  <c r="E756" i="4"/>
  <c r="F756" i="4" s="1"/>
  <c r="G755" i="4"/>
  <c r="E755" i="4"/>
  <c r="F755" i="4" s="1"/>
  <c r="G754" i="4"/>
  <c r="E754" i="4"/>
  <c r="F754" i="4" s="1"/>
  <c r="G753" i="4"/>
  <c r="F753" i="4"/>
  <c r="E753" i="4"/>
  <c r="G752" i="4"/>
  <c r="E752" i="4"/>
  <c r="F752" i="4" s="1"/>
  <c r="G751" i="4"/>
  <c r="E751" i="4"/>
  <c r="F751" i="4" s="1"/>
  <c r="G750" i="4"/>
  <c r="E750" i="4"/>
  <c r="F750" i="4" s="1"/>
  <c r="G749" i="4"/>
  <c r="F749" i="4"/>
  <c r="E749" i="4"/>
  <c r="G748" i="4"/>
  <c r="E748" i="4"/>
  <c r="F748" i="4" s="1"/>
  <c r="G747" i="4"/>
  <c r="F747" i="4"/>
  <c r="E747" i="4"/>
  <c r="G746" i="4"/>
  <c r="F746" i="4"/>
  <c r="E746" i="4"/>
  <c r="G745" i="4"/>
  <c r="F745" i="4"/>
  <c r="E745" i="4"/>
  <c r="G744" i="4"/>
  <c r="E744" i="4"/>
  <c r="F744" i="4" s="1"/>
  <c r="G743" i="4"/>
  <c r="E743" i="4"/>
  <c r="F743" i="4" s="1"/>
  <c r="G742" i="4"/>
  <c r="E742" i="4"/>
  <c r="F742" i="4" s="1"/>
  <c r="G741" i="4"/>
  <c r="F741" i="4"/>
  <c r="E741" i="4"/>
  <c r="G740" i="4"/>
  <c r="E740" i="4"/>
  <c r="F740" i="4" s="1"/>
  <c r="G739" i="4"/>
  <c r="E739" i="4"/>
  <c r="F739" i="4" s="1"/>
  <c r="G738" i="4"/>
  <c r="E738" i="4"/>
  <c r="F738" i="4" s="1"/>
  <c r="G737" i="4"/>
  <c r="F737" i="4"/>
  <c r="E737" i="4"/>
  <c r="G736" i="4"/>
  <c r="E736" i="4"/>
  <c r="F736" i="4" s="1"/>
  <c r="G735" i="4"/>
  <c r="F735" i="4"/>
  <c r="E735" i="4"/>
  <c r="G734" i="4"/>
  <c r="F734" i="4"/>
  <c r="E734" i="4"/>
  <c r="G733" i="4"/>
  <c r="F733" i="4"/>
  <c r="E733" i="4"/>
  <c r="G732" i="4"/>
  <c r="E732" i="4"/>
  <c r="F732" i="4" s="1"/>
  <c r="G731" i="4"/>
  <c r="F731" i="4"/>
  <c r="E731" i="4"/>
  <c r="G730" i="4"/>
  <c r="E730" i="4"/>
  <c r="F730" i="4" s="1"/>
  <c r="G729" i="4"/>
  <c r="F729" i="4"/>
  <c r="E729" i="4"/>
  <c r="G728" i="4"/>
  <c r="E728" i="4"/>
  <c r="F728" i="4" s="1"/>
  <c r="G727" i="4"/>
  <c r="E727" i="4"/>
  <c r="F727" i="4" s="1"/>
  <c r="G726" i="4"/>
  <c r="E726" i="4"/>
  <c r="F726" i="4" s="1"/>
  <c r="G725" i="4"/>
  <c r="F725" i="4"/>
  <c r="E725" i="4"/>
  <c r="G724" i="4"/>
  <c r="E724" i="4"/>
  <c r="F724" i="4" s="1"/>
  <c r="G723" i="4"/>
  <c r="E723" i="4"/>
  <c r="F723" i="4" s="1"/>
  <c r="G722" i="4"/>
  <c r="F722" i="4"/>
  <c r="E722" i="4"/>
  <c r="G721" i="4"/>
  <c r="F721" i="4"/>
  <c r="E721" i="4"/>
  <c r="G720" i="4"/>
  <c r="E720" i="4"/>
  <c r="F720" i="4" s="1"/>
  <c r="G719" i="4"/>
  <c r="E719" i="4"/>
  <c r="F719" i="4" s="1"/>
  <c r="G718" i="4"/>
  <c r="F718" i="4"/>
  <c r="E718" i="4"/>
  <c r="G717" i="4"/>
  <c r="F717" i="4"/>
  <c r="E717" i="4"/>
  <c r="G716" i="4"/>
  <c r="E716" i="4"/>
  <c r="F716" i="4" s="1"/>
  <c r="G715" i="4"/>
  <c r="E715" i="4"/>
  <c r="F715" i="4" s="1"/>
  <c r="G714" i="4"/>
  <c r="E714" i="4"/>
  <c r="F714" i="4" s="1"/>
  <c r="G713" i="4"/>
  <c r="F713" i="4"/>
  <c r="E713" i="4"/>
  <c r="G712" i="4"/>
  <c r="E712" i="4"/>
  <c r="F712" i="4" s="1"/>
  <c r="G711" i="4"/>
  <c r="F711" i="4"/>
  <c r="E711" i="4"/>
  <c r="G710" i="4"/>
  <c r="E710" i="4"/>
  <c r="F710" i="4" s="1"/>
  <c r="G709" i="4"/>
  <c r="F709" i="4"/>
  <c r="E709" i="4"/>
  <c r="G708" i="4"/>
  <c r="E708" i="4"/>
  <c r="F708" i="4" s="1"/>
  <c r="G707" i="4"/>
  <c r="F707" i="4"/>
  <c r="E707" i="4"/>
  <c r="G706" i="4"/>
  <c r="E706" i="4"/>
  <c r="F706" i="4" s="1"/>
  <c r="G705" i="4"/>
  <c r="F705" i="4"/>
  <c r="E705" i="4"/>
  <c r="G704" i="4"/>
  <c r="E704" i="4"/>
  <c r="F704" i="4" s="1"/>
  <c r="G703" i="4"/>
  <c r="E703" i="4"/>
  <c r="F703" i="4" s="1"/>
  <c r="G702" i="4"/>
  <c r="E702" i="4"/>
  <c r="F702" i="4" s="1"/>
  <c r="G701" i="4"/>
  <c r="F701" i="4"/>
  <c r="E701" i="4"/>
  <c r="G700" i="4"/>
  <c r="E700" i="4"/>
  <c r="F700" i="4" s="1"/>
  <c r="G699" i="4"/>
  <c r="F699" i="4"/>
  <c r="E699" i="4"/>
  <c r="G698" i="4"/>
  <c r="F698" i="4"/>
  <c r="E698" i="4"/>
  <c r="G697" i="4"/>
  <c r="F697" i="4"/>
  <c r="E697" i="4"/>
  <c r="G696" i="4"/>
  <c r="E696" i="4"/>
  <c r="F696" i="4" s="1"/>
  <c r="G695" i="4"/>
  <c r="E695" i="4"/>
  <c r="F695" i="4" s="1"/>
  <c r="G694" i="4"/>
  <c r="E694" i="4"/>
  <c r="F694" i="4" s="1"/>
  <c r="G693" i="4"/>
  <c r="F693" i="4"/>
  <c r="E693" i="4"/>
  <c r="G692" i="4"/>
  <c r="E692" i="4"/>
  <c r="F692" i="4" s="1"/>
  <c r="G691" i="4"/>
  <c r="E691" i="4"/>
  <c r="F691" i="4" s="1"/>
  <c r="G690" i="4"/>
  <c r="E690" i="4"/>
  <c r="F690" i="4" s="1"/>
  <c r="G689" i="4"/>
  <c r="F689" i="4"/>
  <c r="E689" i="4"/>
  <c r="G688" i="4"/>
  <c r="E688" i="4"/>
  <c r="F688" i="4" s="1"/>
  <c r="G687" i="4"/>
  <c r="F687" i="4"/>
  <c r="E687" i="4"/>
  <c r="G686" i="4"/>
  <c r="F686" i="4"/>
  <c r="E686" i="4"/>
  <c r="G685" i="4"/>
  <c r="F685" i="4"/>
  <c r="E685" i="4"/>
  <c r="G684" i="4"/>
  <c r="E684" i="4"/>
  <c r="F684" i="4" s="1"/>
  <c r="G683" i="4"/>
  <c r="F683" i="4"/>
  <c r="E683" i="4"/>
  <c r="G682" i="4"/>
  <c r="E682" i="4"/>
  <c r="F682" i="4" s="1"/>
  <c r="G681" i="4"/>
  <c r="F681" i="4"/>
  <c r="E681" i="4"/>
  <c r="G680" i="4"/>
  <c r="E680" i="4"/>
  <c r="F680" i="4" s="1"/>
  <c r="G679" i="4"/>
  <c r="E679" i="4"/>
  <c r="F679" i="4" s="1"/>
  <c r="G678" i="4"/>
  <c r="E678" i="4"/>
  <c r="F678" i="4" s="1"/>
  <c r="G677" i="4"/>
  <c r="F677" i="4"/>
  <c r="E677" i="4"/>
  <c r="G676" i="4"/>
  <c r="E676" i="4"/>
  <c r="F676" i="4" s="1"/>
  <c r="G675" i="4"/>
  <c r="E675" i="4"/>
  <c r="F675" i="4" s="1"/>
  <c r="G674" i="4"/>
  <c r="F674" i="4"/>
  <c r="E674" i="4"/>
  <c r="G673" i="4"/>
  <c r="F673" i="4"/>
  <c r="E673" i="4"/>
  <c r="G672" i="4"/>
  <c r="E672" i="4"/>
  <c r="F672" i="4" s="1"/>
  <c r="G671" i="4"/>
  <c r="E671" i="4"/>
  <c r="F671" i="4" s="1"/>
  <c r="G670" i="4"/>
  <c r="F670" i="4"/>
  <c r="E670" i="4"/>
  <c r="G669" i="4"/>
  <c r="F669" i="4"/>
  <c r="E669" i="4"/>
  <c r="G668" i="4"/>
  <c r="E668" i="4"/>
  <c r="F668" i="4" s="1"/>
  <c r="G667" i="4"/>
  <c r="E667" i="4"/>
  <c r="F667" i="4" s="1"/>
  <c r="G666" i="4"/>
  <c r="F666" i="4"/>
  <c r="E666" i="4"/>
  <c r="G665" i="4"/>
  <c r="F665" i="4"/>
  <c r="E665" i="4"/>
  <c r="G664" i="4"/>
  <c r="E664" i="4"/>
  <c r="F664" i="4" s="1"/>
  <c r="G663" i="4"/>
  <c r="F663" i="4"/>
  <c r="E663" i="4"/>
  <c r="G662" i="4"/>
  <c r="E662" i="4"/>
  <c r="F662" i="4" s="1"/>
  <c r="G661" i="4"/>
  <c r="F661" i="4"/>
  <c r="E661" i="4"/>
  <c r="G660" i="4"/>
  <c r="E660" i="4"/>
  <c r="F660" i="4" s="1"/>
  <c r="G659" i="4"/>
  <c r="F659" i="4"/>
  <c r="E659" i="4"/>
  <c r="G658" i="4"/>
  <c r="E658" i="4"/>
  <c r="F658" i="4" s="1"/>
  <c r="G657" i="4"/>
  <c r="F657" i="4"/>
  <c r="E657" i="4"/>
  <c r="G656" i="4"/>
  <c r="E656" i="4"/>
  <c r="F656" i="4" s="1"/>
  <c r="G655" i="4"/>
  <c r="E655" i="4"/>
  <c r="F655" i="4" s="1"/>
  <c r="G654" i="4"/>
  <c r="E654" i="4"/>
  <c r="F654" i="4" s="1"/>
  <c r="G653" i="4"/>
  <c r="F653" i="4"/>
  <c r="E653" i="4"/>
  <c r="G652" i="4"/>
  <c r="E652" i="4"/>
  <c r="F652" i="4" s="1"/>
  <c r="G651" i="4"/>
  <c r="F651" i="4"/>
  <c r="E651" i="4"/>
  <c r="G650" i="4"/>
  <c r="F650" i="4"/>
  <c r="E650" i="4"/>
  <c r="G649" i="4"/>
  <c r="F649" i="4"/>
  <c r="E649" i="4"/>
  <c r="G648" i="4"/>
  <c r="E648" i="4"/>
  <c r="F648" i="4" s="1"/>
  <c r="G647" i="4"/>
  <c r="E647" i="4"/>
  <c r="F647" i="4" s="1"/>
  <c r="G646" i="4"/>
  <c r="E646" i="4"/>
  <c r="F646" i="4" s="1"/>
  <c r="G645" i="4"/>
  <c r="F645" i="4"/>
  <c r="E645" i="4"/>
  <c r="G644" i="4"/>
  <c r="E644" i="4"/>
  <c r="F644" i="4" s="1"/>
  <c r="G643" i="4"/>
  <c r="E643" i="4"/>
  <c r="F643" i="4" s="1"/>
  <c r="G642" i="4"/>
  <c r="E642" i="4"/>
  <c r="F642" i="4" s="1"/>
  <c r="G641" i="4"/>
  <c r="F641" i="4"/>
  <c r="E641" i="4"/>
  <c r="G640" i="4"/>
  <c r="E640" i="4"/>
  <c r="F640" i="4" s="1"/>
  <c r="G639" i="4"/>
  <c r="F639" i="4"/>
  <c r="E639" i="4"/>
  <c r="G638" i="4"/>
  <c r="F638" i="4"/>
  <c r="E638" i="4"/>
  <c r="G637" i="4"/>
  <c r="F637" i="4"/>
  <c r="E637" i="4"/>
  <c r="G636" i="4"/>
  <c r="E636" i="4"/>
  <c r="F636" i="4" s="1"/>
  <c r="G635" i="4"/>
  <c r="F635" i="4"/>
  <c r="E635" i="4"/>
  <c r="G634" i="4"/>
  <c r="E634" i="4"/>
  <c r="F634" i="4" s="1"/>
  <c r="G633" i="4"/>
  <c r="F633" i="4"/>
  <c r="E633" i="4"/>
  <c r="G632" i="4"/>
  <c r="E632" i="4"/>
  <c r="F632" i="4" s="1"/>
  <c r="G631" i="4"/>
  <c r="F631" i="4"/>
  <c r="E631" i="4"/>
  <c r="G630" i="4"/>
  <c r="E630" i="4"/>
  <c r="F630" i="4" s="1"/>
  <c r="G629" i="4"/>
  <c r="F629" i="4"/>
  <c r="E629" i="4"/>
  <c r="G628" i="4"/>
  <c r="E628" i="4"/>
  <c r="F628" i="4" s="1"/>
  <c r="G627" i="4"/>
  <c r="E627" i="4"/>
  <c r="F627" i="4" s="1"/>
  <c r="G626" i="4"/>
  <c r="F626" i="4"/>
  <c r="E626" i="4"/>
  <c r="G625" i="4"/>
  <c r="F625" i="4"/>
  <c r="E625" i="4"/>
  <c r="G624" i="4"/>
  <c r="E624" i="4"/>
  <c r="F624" i="4" s="1"/>
  <c r="G623" i="4"/>
  <c r="E623" i="4"/>
  <c r="F623" i="4" s="1"/>
  <c r="G622" i="4"/>
  <c r="F622" i="4"/>
  <c r="E622" i="4"/>
  <c r="G621" i="4"/>
  <c r="F621" i="4"/>
  <c r="E621" i="4"/>
  <c r="G620" i="4"/>
  <c r="E620" i="4"/>
  <c r="F620" i="4" s="1"/>
  <c r="G619" i="4"/>
  <c r="E619" i="4"/>
  <c r="F619" i="4" s="1"/>
  <c r="G618" i="4"/>
  <c r="E618" i="4"/>
  <c r="F618" i="4" s="1"/>
  <c r="G617" i="4"/>
  <c r="F617" i="4"/>
  <c r="E617" i="4"/>
  <c r="G616" i="4"/>
  <c r="E616" i="4"/>
  <c r="F616" i="4" s="1"/>
  <c r="G615" i="4"/>
  <c r="F615" i="4"/>
  <c r="E615" i="4"/>
  <c r="G614" i="4"/>
  <c r="E614" i="4"/>
  <c r="F614" i="4" s="1"/>
  <c r="G613" i="4"/>
  <c r="F613" i="4"/>
  <c r="E613" i="4"/>
  <c r="G612" i="4"/>
  <c r="E612" i="4"/>
  <c r="F612" i="4" s="1"/>
  <c r="G611" i="4"/>
  <c r="E611" i="4"/>
  <c r="F611" i="4" s="1"/>
  <c r="G610" i="4"/>
  <c r="E610" i="4"/>
  <c r="F610" i="4" s="1"/>
  <c r="G609" i="4"/>
  <c r="F609" i="4"/>
  <c r="E609" i="4"/>
  <c r="G608" i="4"/>
  <c r="E608" i="4"/>
  <c r="F608" i="4" s="1"/>
  <c r="G607" i="4"/>
  <c r="E607" i="4"/>
  <c r="F607" i="4" s="1"/>
  <c r="G606" i="4"/>
  <c r="E606" i="4"/>
  <c r="F606" i="4" s="1"/>
  <c r="G605" i="4"/>
  <c r="F605" i="4"/>
  <c r="E605" i="4"/>
  <c r="G604" i="4"/>
  <c r="E604" i="4"/>
  <c r="F604" i="4" s="1"/>
  <c r="G603" i="4"/>
  <c r="F603" i="4"/>
  <c r="E603" i="4"/>
  <c r="G602" i="4"/>
  <c r="F602" i="4"/>
  <c r="E602" i="4"/>
  <c r="G601" i="4"/>
  <c r="F601" i="4"/>
  <c r="E601" i="4"/>
  <c r="G600" i="4"/>
  <c r="E600" i="4"/>
  <c r="F600" i="4" s="1"/>
  <c r="G599" i="4"/>
  <c r="E599" i="4"/>
  <c r="F599" i="4" s="1"/>
  <c r="G598" i="4"/>
  <c r="F598" i="4"/>
  <c r="E598" i="4"/>
  <c r="G597" i="4"/>
  <c r="F597" i="4"/>
  <c r="E597" i="4"/>
  <c r="G596" i="4"/>
  <c r="E596" i="4"/>
  <c r="F596" i="4" s="1"/>
  <c r="G595" i="4"/>
  <c r="E595" i="4"/>
  <c r="F595" i="4" s="1"/>
  <c r="G594" i="4"/>
  <c r="E594" i="4"/>
  <c r="F594" i="4" s="1"/>
  <c r="G593" i="4"/>
  <c r="F593" i="4"/>
  <c r="E593" i="4"/>
  <c r="G592" i="4"/>
  <c r="E592" i="4"/>
  <c r="F592" i="4" s="1"/>
  <c r="G591" i="4"/>
  <c r="F591" i="4"/>
  <c r="E591" i="4"/>
  <c r="G590" i="4"/>
  <c r="F590" i="4"/>
  <c r="E590" i="4"/>
  <c r="G589" i="4"/>
  <c r="F589" i="4"/>
  <c r="E589" i="4"/>
  <c r="G588" i="4"/>
  <c r="E588" i="4"/>
  <c r="F588" i="4" s="1"/>
  <c r="G587" i="4"/>
  <c r="F587" i="4"/>
  <c r="E587" i="4"/>
  <c r="G586" i="4"/>
  <c r="E586" i="4"/>
  <c r="F586" i="4" s="1"/>
  <c r="G585" i="4"/>
  <c r="F585" i="4"/>
  <c r="E585" i="4"/>
  <c r="G584" i="4"/>
  <c r="E584" i="4"/>
  <c r="F584" i="4" s="1"/>
  <c r="G583" i="4"/>
  <c r="F583" i="4"/>
  <c r="E583" i="4"/>
  <c r="G582" i="4"/>
  <c r="E582" i="4"/>
  <c r="F582" i="4" s="1"/>
  <c r="G581" i="4"/>
  <c r="F581" i="4"/>
  <c r="E581" i="4"/>
  <c r="G580" i="4"/>
  <c r="E580" i="4"/>
  <c r="F580" i="4" s="1"/>
  <c r="G579" i="4"/>
  <c r="F579" i="4"/>
  <c r="E579" i="4"/>
  <c r="G578" i="4"/>
  <c r="F578" i="4"/>
  <c r="E578" i="4"/>
  <c r="G577" i="4"/>
  <c r="F577" i="4"/>
  <c r="E577" i="4"/>
  <c r="G576" i="4"/>
  <c r="E576" i="4"/>
  <c r="F576" i="4" s="1"/>
  <c r="G575" i="4"/>
  <c r="E575" i="4"/>
  <c r="F575" i="4" s="1"/>
  <c r="G574" i="4"/>
  <c r="F574" i="4"/>
  <c r="E574" i="4"/>
  <c r="G573" i="4"/>
  <c r="F573" i="4"/>
  <c r="E573" i="4"/>
  <c r="G572" i="4"/>
  <c r="E572" i="4"/>
  <c r="F572" i="4" s="1"/>
  <c r="G571" i="4"/>
  <c r="E571" i="4"/>
  <c r="F571" i="4" s="1"/>
  <c r="G570" i="4"/>
  <c r="F570" i="4"/>
  <c r="E570" i="4"/>
  <c r="G569" i="4"/>
  <c r="F569" i="4"/>
  <c r="E569" i="4"/>
  <c r="G568" i="4"/>
  <c r="E568" i="4"/>
  <c r="F568" i="4" s="1"/>
  <c r="G567" i="4"/>
  <c r="F567" i="4"/>
  <c r="E567" i="4"/>
  <c r="G566" i="4"/>
  <c r="E566" i="4"/>
  <c r="F566" i="4" s="1"/>
  <c r="G565" i="4"/>
  <c r="F565" i="4"/>
  <c r="E565" i="4"/>
  <c r="G564" i="4"/>
  <c r="E564" i="4"/>
  <c r="F564" i="4" s="1"/>
  <c r="G563" i="4"/>
  <c r="E563" i="4"/>
  <c r="F563" i="4" s="1"/>
  <c r="G562" i="4"/>
  <c r="E562" i="4"/>
  <c r="F562" i="4" s="1"/>
  <c r="G561" i="4"/>
  <c r="F561" i="4"/>
  <c r="E561" i="4"/>
  <c r="G560" i="4"/>
  <c r="E560" i="4"/>
  <c r="F560" i="4" s="1"/>
  <c r="G559" i="4"/>
  <c r="E559" i="4"/>
  <c r="F559" i="4" s="1"/>
  <c r="G558" i="4"/>
  <c r="E558" i="4"/>
  <c r="F558" i="4" s="1"/>
  <c r="G557" i="4"/>
  <c r="F557" i="4"/>
  <c r="E557" i="4"/>
  <c r="G556" i="4"/>
  <c r="E556" i="4"/>
  <c r="F556" i="4" s="1"/>
  <c r="G555" i="4"/>
  <c r="F555" i="4"/>
  <c r="E555" i="4"/>
  <c r="G554" i="4"/>
  <c r="F554" i="4"/>
  <c r="E554" i="4"/>
  <c r="G553" i="4"/>
  <c r="F553" i="4"/>
  <c r="E553" i="4"/>
  <c r="G552" i="4"/>
  <c r="E552" i="4"/>
  <c r="F552" i="4" s="1"/>
  <c r="G551" i="4"/>
  <c r="E551" i="4"/>
  <c r="F551" i="4" s="1"/>
  <c r="G550" i="4"/>
  <c r="F550" i="4"/>
  <c r="E550" i="4"/>
  <c r="G549" i="4"/>
  <c r="F549" i="4"/>
  <c r="E549" i="4"/>
  <c r="G548" i="4"/>
  <c r="E548" i="4"/>
  <c r="F548" i="4" s="1"/>
  <c r="G547" i="4"/>
  <c r="E547" i="4"/>
  <c r="F547" i="4" s="1"/>
  <c r="G546" i="4"/>
  <c r="E546" i="4"/>
  <c r="F546" i="4" s="1"/>
  <c r="G545" i="4"/>
  <c r="F545" i="4"/>
  <c r="E545" i="4"/>
  <c r="G544" i="4"/>
  <c r="E544" i="4"/>
  <c r="F544" i="4" s="1"/>
  <c r="G543" i="4"/>
  <c r="F543" i="4"/>
  <c r="E543" i="4"/>
  <c r="G542" i="4"/>
  <c r="F542" i="4"/>
  <c r="E542" i="4"/>
  <c r="G541" i="4"/>
  <c r="F541" i="4"/>
  <c r="E541" i="4"/>
  <c r="G540" i="4"/>
  <c r="E540" i="4"/>
  <c r="F540" i="4" s="1"/>
  <c r="G539" i="4"/>
  <c r="F539" i="4"/>
  <c r="E539" i="4"/>
  <c r="G538" i="4"/>
  <c r="E538" i="4"/>
  <c r="F538" i="4" s="1"/>
  <c r="G537" i="4"/>
  <c r="F537" i="4"/>
  <c r="E537" i="4"/>
  <c r="G536" i="4"/>
  <c r="E536" i="4"/>
  <c r="F536" i="4" s="1"/>
  <c r="G535" i="4"/>
  <c r="E535" i="4"/>
  <c r="F535" i="4" s="1"/>
  <c r="G534" i="4"/>
  <c r="E534" i="4"/>
  <c r="F534" i="4" s="1"/>
  <c r="G533" i="4"/>
  <c r="F533" i="4"/>
  <c r="E533" i="4"/>
  <c r="G532" i="4"/>
  <c r="E532" i="4"/>
  <c r="F532" i="4" s="1"/>
  <c r="G531" i="4"/>
  <c r="F531" i="4"/>
  <c r="E531" i="4"/>
  <c r="G530" i="4"/>
  <c r="F530" i="4"/>
  <c r="E530" i="4"/>
  <c r="G529" i="4"/>
  <c r="F529" i="4"/>
  <c r="E529" i="4"/>
  <c r="G528" i="4"/>
  <c r="E528" i="4"/>
  <c r="F528" i="4" s="1"/>
  <c r="G527" i="4"/>
  <c r="E527" i="4"/>
  <c r="F527" i="4" s="1"/>
  <c r="G526" i="4"/>
  <c r="F526" i="4"/>
  <c r="E526" i="4"/>
  <c r="G525" i="4"/>
  <c r="F525" i="4"/>
  <c r="E525" i="4"/>
  <c r="G524" i="4"/>
  <c r="E524" i="4"/>
  <c r="F524" i="4" s="1"/>
  <c r="G523" i="4"/>
  <c r="E523" i="4"/>
  <c r="F523" i="4" s="1"/>
  <c r="G522" i="4"/>
  <c r="E522" i="4"/>
  <c r="F522" i="4" s="1"/>
  <c r="G521" i="4"/>
  <c r="F521" i="4"/>
  <c r="E521" i="4"/>
  <c r="G520" i="4"/>
  <c r="E520" i="4"/>
  <c r="F520" i="4" s="1"/>
  <c r="G519" i="4"/>
  <c r="E519" i="4"/>
  <c r="F519" i="4" s="1"/>
  <c r="G518" i="4"/>
  <c r="F518" i="4"/>
  <c r="E518" i="4"/>
  <c r="G517" i="4"/>
  <c r="F517" i="4"/>
  <c r="E517" i="4"/>
  <c r="G516" i="4"/>
  <c r="E516" i="4"/>
  <c r="F516" i="4" s="1"/>
  <c r="G515" i="4"/>
  <c r="E515" i="4"/>
  <c r="F515" i="4" s="1"/>
  <c r="G514" i="4"/>
  <c r="F514" i="4"/>
  <c r="E514" i="4"/>
  <c r="G513" i="4"/>
  <c r="F513" i="4"/>
  <c r="E513" i="4"/>
  <c r="G512" i="4"/>
  <c r="E512" i="4"/>
  <c r="F512" i="4" s="1"/>
  <c r="G511" i="4"/>
  <c r="E511" i="4"/>
  <c r="F511" i="4" s="1"/>
  <c r="G510" i="4"/>
  <c r="F510" i="4"/>
  <c r="E510" i="4"/>
  <c r="G509" i="4"/>
  <c r="F509" i="4"/>
  <c r="E509" i="4"/>
  <c r="G508" i="4"/>
  <c r="E508" i="4"/>
  <c r="F508" i="4" s="1"/>
  <c r="G507" i="4"/>
  <c r="E507" i="4"/>
  <c r="F507" i="4" s="1"/>
  <c r="G506" i="4"/>
  <c r="E506" i="4"/>
  <c r="F506" i="4" s="1"/>
  <c r="G505" i="4"/>
  <c r="F505" i="4"/>
  <c r="E505" i="4"/>
  <c r="G504" i="4"/>
  <c r="E504" i="4"/>
  <c r="F504" i="4" s="1"/>
  <c r="G503" i="4"/>
  <c r="E503" i="4"/>
  <c r="F503" i="4" s="1"/>
  <c r="G502" i="4"/>
  <c r="F502" i="4"/>
  <c r="E502" i="4"/>
  <c r="G501" i="4"/>
  <c r="F501" i="4"/>
  <c r="E501" i="4"/>
  <c r="G500" i="4"/>
  <c r="E500" i="4"/>
  <c r="F500" i="4" s="1"/>
  <c r="G499" i="4"/>
  <c r="E499" i="4"/>
  <c r="F499" i="4" s="1"/>
  <c r="G498" i="4"/>
  <c r="E498" i="4"/>
  <c r="F498" i="4" s="1"/>
  <c r="G497" i="4"/>
  <c r="F497" i="4"/>
  <c r="E497" i="4"/>
  <c r="G496" i="4"/>
  <c r="E496" i="4"/>
  <c r="F496" i="4" s="1"/>
  <c r="G495" i="4"/>
  <c r="E495" i="4"/>
  <c r="F495" i="4" s="1"/>
  <c r="G494" i="4"/>
  <c r="F494" i="4"/>
  <c r="E494" i="4"/>
  <c r="G493" i="4"/>
  <c r="F493" i="4"/>
  <c r="E493" i="4"/>
  <c r="G492" i="4"/>
  <c r="E492" i="4"/>
  <c r="F492" i="4" s="1"/>
  <c r="G491" i="4"/>
  <c r="E491" i="4"/>
  <c r="F491" i="4" s="1"/>
  <c r="G490" i="4"/>
  <c r="F490" i="4"/>
  <c r="E490" i="4"/>
  <c r="G489" i="4"/>
  <c r="F489" i="4"/>
  <c r="E489" i="4"/>
  <c r="G488" i="4"/>
  <c r="E488" i="4"/>
  <c r="F488" i="4" s="1"/>
  <c r="G487" i="4"/>
  <c r="E487" i="4"/>
  <c r="F487" i="4" s="1"/>
  <c r="G486" i="4"/>
  <c r="F486" i="4"/>
  <c r="E486" i="4"/>
  <c r="G485" i="4"/>
  <c r="F485" i="4"/>
  <c r="E485" i="4"/>
  <c r="G484" i="4"/>
  <c r="E484" i="4"/>
  <c r="F484" i="4" s="1"/>
  <c r="G483" i="4"/>
  <c r="E483" i="4"/>
  <c r="F483" i="4" s="1"/>
  <c r="G482" i="4"/>
  <c r="E482" i="4"/>
  <c r="F482" i="4" s="1"/>
  <c r="G481" i="4"/>
  <c r="F481" i="4"/>
  <c r="E481" i="4"/>
  <c r="G480" i="4"/>
  <c r="E480" i="4"/>
  <c r="F480" i="4" s="1"/>
  <c r="G479" i="4"/>
  <c r="E479" i="4"/>
  <c r="F479" i="4" s="1"/>
  <c r="G478" i="4"/>
  <c r="F478" i="4"/>
  <c r="E478" i="4"/>
  <c r="G477" i="4"/>
  <c r="F477" i="4"/>
  <c r="E477" i="4"/>
  <c r="G476" i="4"/>
  <c r="E476" i="4"/>
  <c r="F476" i="4" s="1"/>
  <c r="G475" i="4"/>
  <c r="E475" i="4"/>
  <c r="F475" i="4" s="1"/>
  <c r="G474" i="4"/>
  <c r="E474" i="4"/>
  <c r="F474" i="4" s="1"/>
  <c r="G473" i="4"/>
  <c r="F473" i="4"/>
  <c r="E473" i="4"/>
  <c r="G472" i="4"/>
  <c r="E472" i="4"/>
  <c r="F472" i="4" s="1"/>
  <c r="G471" i="4"/>
  <c r="E471" i="4"/>
  <c r="F471" i="4" s="1"/>
  <c r="G470" i="4"/>
  <c r="F470" i="4"/>
  <c r="E470" i="4"/>
  <c r="G469" i="4"/>
  <c r="F469" i="4"/>
  <c r="E469" i="4"/>
  <c r="G468" i="4"/>
  <c r="E468" i="4"/>
  <c r="F468" i="4" s="1"/>
  <c r="G467" i="4"/>
  <c r="E467" i="4"/>
  <c r="F467" i="4" s="1"/>
  <c r="G466" i="4"/>
  <c r="F466" i="4"/>
  <c r="E466" i="4"/>
  <c r="G465" i="4"/>
  <c r="F465" i="4"/>
  <c r="E465" i="4"/>
  <c r="G464" i="4"/>
  <c r="E464" i="4"/>
  <c r="F464" i="4" s="1"/>
  <c r="G463" i="4"/>
  <c r="E463" i="4"/>
  <c r="F463" i="4" s="1"/>
  <c r="G462" i="4"/>
  <c r="F462" i="4"/>
  <c r="E462" i="4"/>
  <c r="G461" i="4"/>
  <c r="F461" i="4"/>
  <c r="E461" i="4"/>
  <c r="G460" i="4"/>
  <c r="E460" i="4"/>
  <c r="F460" i="4" s="1"/>
  <c r="G459" i="4"/>
  <c r="E459" i="4"/>
  <c r="F459" i="4" s="1"/>
  <c r="G458" i="4"/>
  <c r="E458" i="4"/>
  <c r="F458" i="4" s="1"/>
  <c r="G457" i="4"/>
  <c r="F457" i="4"/>
  <c r="E457" i="4"/>
  <c r="G456" i="4"/>
  <c r="E456" i="4"/>
  <c r="F456" i="4" s="1"/>
  <c r="G455" i="4"/>
  <c r="E455" i="4"/>
  <c r="F455" i="4" s="1"/>
  <c r="G454" i="4"/>
  <c r="F454" i="4"/>
  <c r="E454" i="4"/>
  <c r="G453" i="4"/>
  <c r="F453" i="4"/>
  <c r="E453" i="4"/>
  <c r="G452" i="4"/>
  <c r="E452" i="4"/>
  <c r="F452" i="4" s="1"/>
  <c r="G451" i="4"/>
  <c r="E451" i="4"/>
  <c r="F451" i="4" s="1"/>
  <c r="G450" i="4"/>
  <c r="E450" i="4"/>
  <c r="F450" i="4" s="1"/>
  <c r="G449" i="4"/>
  <c r="F449" i="4"/>
  <c r="E449" i="4"/>
  <c r="G448" i="4"/>
  <c r="E448" i="4"/>
  <c r="F448" i="4" s="1"/>
  <c r="G447" i="4"/>
  <c r="E447" i="4"/>
  <c r="F447" i="4" s="1"/>
  <c r="G446" i="4"/>
  <c r="F446" i="4"/>
  <c r="E446" i="4"/>
  <c r="G445" i="4"/>
  <c r="F445" i="4"/>
  <c r="E445" i="4"/>
  <c r="G444" i="4"/>
  <c r="E444" i="4"/>
  <c r="F444" i="4" s="1"/>
  <c r="G443" i="4"/>
  <c r="E443" i="4"/>
  <c r="F443" i="4" s="1"/>
  <c r="G442" i="4"/>
  <c r="F442" i="4"/>
  <c r="E442" i="4"/>
  <c r="G441" i="4"/>
  <c r="F441" i="4"/>
  <c r="E441" i="4"/>
  <c r="G440" i="4"/>
  <c r="E440" i="4"/>
  <c r="F440" i="4" s="1"/>
  <c r="G439" i="4"/>
  <c r="E439" i="4"/>
  <c r="F439" i="4" s="1"/>
  <c r="G438" i="4"/>
  <c r="F438" i="4"/>
  <c r="E438" i="4"/>
  <c r="G437" i="4"/>
  <c r="F437" i="4"/>
  <c r="E437" i="4"/>
  <c r="G436" i="4"/>
  <c r="E436" i="4"/>
  <c r="F436" i="4" s="1"/>
  <c r="G435" i="4"/>
  <c r="E435" i="4"/>
  <c r="F435" i="4" s="1"/>
  <c r="G434" i="4"/>
  <c r="E434" i="4"/>
  <c r="F434" i="4" s="1"/>
  <c r="G433" i="4"/>
  <c r="F433" i="4"/>
  <c r="E433" i="4"/>
  <c r="G432" i="4"/>
  <c r="E432" i="4"/>
  <c r="F432" i="4" s="1"/>
  <c r="G431" i="4"/>
  <c r="E431" i="4"/>
  <c r="F431" i="4" s="1"/>
  <c r="G430" i="4"/>
  <c r="F430" i="4"/>
  <c r="E430" i="4"/>
  <c r="G429" i="4"/>
  <c r="F429" i="4"/>
  <c r="E429" i="4"/>
  <c r="G428" i="4"/>
  <c r="E428" i="4"/>
  <c r="F428" i="4" s="1"/>
  <c r="G427" i="4"/>
  <c r="E427" i="4"/>
  <c r="F427" i="4" s="1"/>
  <c r="G426" i="4"/>
  <c r="E426" i="4"/>
  <c r="F426" i="4" s="1"/>
  <c r="G425" i="4"/>
  <c r="F425" i="4"/>
  <c r="E425" i="4"/>
  <c r="G424" i="4"/>
  <c r="E424" i="4"/>
  <c r="F424" i="4" s="1"/>
  <c r="G423" i="4"/>
  <c r="E423" i="4"/>
  <c r="F423" i="4" s="1"/>
  <c r="G422" i="4"/>
  <c r="F422" i="4"/>
  <c r="E422" i="4"/>
  <c r="G421" i="4"/>
  <c r="F421" i="4"/>
  <c r="E421" i="4"/>
  <c r="G420" i="4"/>
  <c r="E420" i="4"/>
  <c r="F420" i="4" s="1"/>
  <c r="G419" i="4"/>
  <c r="E419" i="4"/>
  <c r="F419" i="4" s="1"/>
  <c r="G418" i="4"/>
  <c r="F418" i="4"/>
  <c r="E418" i="4"/>
  <c r="G417" i="4"/>
  <c r="F417" i="4"/>
  <c r="E417" i="4"/>
  <c r="G416" i="4"/>
  <c r="E416" i="4"/>
  <c r="F416" i="4" s="1"/>
  <c r="G415" i="4"/>
  <c r="E415" i="4"/>
  <c r="F415" i="4" s="1"/>
  <c r="G414" i="4"/>
  <c r="F414" i="4"/>
  <c r="E414" i="4"/>
  <c r="G413" i="4"/>
  <c r="F413" i="4"/>
  <c r="E413" i="4"/>
  <c r="G412" i="4"/>
  <c r="E412" i="4"/>
  <c r="F412" i="4" s="1"/>
  <c r="G411" i="4"/>
  <c r="E411" i="4"/>
  <c r="F411" i="4" s="1"/>
  <c r="G410" i="4"/>
  <c r="E410" i="4"/>
  <c r="F410" i="4" s="1"/>
  <c r="G409" i="4"/>
  <c r="E409" i="4"/>
  <c r="F409" i="4" s="1"/>
  <c r="G408" i="4"/>
  <c r="E408" i="4"/>
  <c r="F408" i="4" s="1"/>
  <c r="G407" i="4"/>
  <c r="E407" i="4"/>
  <c r="F407" i="4" s="1"/>
  <c r="G406" i="4"/>
  <c r="F406" i="4"/>
  <c r="E406" i="4"/>
  <c r="G405" i="4"/>
  <c r="E405" i="4"/>
  <c r="F405" i="4" s="1"/>
  <c r="G404" i="4"/>
  <c r="E404" i="4"/>
  <c r="F404" i="4" s="1"/>
  <c r="G403" i="4"/>
  <c r="E403" i="4"/>
  <c r="F403" i="4" s="1"/>
  <c r="G402" i="4"/>
  <c r="E402" i="4"/>
  <c r="F402" i="4" s="1"/>
  <c r="G401" i="4"/>
  <c r="E401" i="4"/>
  <c r="F401" i="4" s="1"/>
  <c r="G400" i="4"/>
  <c r="E400" i="4"/>
  <c r="F400" i="4" s="1"/>
  <c r="G399" i="4"/>
  <c r="F399" i="4"/>
  <c r="E399" i="4"/>
  <c r="G398" i="4"/>
  <c r="F398" i="4"/>
  <c r="E398" i="4"/>
  <c r="G397" i="4"/>
  <c r="F397" i="4"/>
  <c r="E397" i="4"/>
  <c r="G396" i="4"/>
  <c r="E396" i="4"/>
  <c r="F396" i="4" s="1"/>
  <c r="G395" i="4"/>
  <c r="E395" i="4"/>
  <c r="F395" i="4" s="1"/>
  <c r="G394" i="4"/>
  <c r="F394" i="4"/>
  <c r="E394" i="4"/>
  <c r="G393" i="4"/>
  <c r="F393" i="4"/>
  <c r="E393" i="4"/>
  <c r="G392" i="4"/>
  <c r="E392" i="4"/>
  <c r="F392" i="4" s="1"/>
  <c r="G391" i="4"/>
  <c r="F391" i="4"/>
  <c r="E391" i="4"/>
  <c r="G390" i="4"/>
  <c r="E390" i="4"/>
  <c r="F390" i="4" s="1"/>
  <c r="G389" i="4"/>
  <c r="E389" i="4"/>
  <c r="F389" i="4" s="1"/>
  <c r="G388" i="4"/>
  <c r="E388" i="4"/>
  <c r="F388" i="4" s="1"/>
  <c r="G387" i="4"/>
  <c r="E387" i="4"/>
  <c r="F387" i="4" s="1"/>
  <c r="G386" i="4"/>
  <c r="F386" i="4"/>
  <c r="E386" i="4"/>
  <c r="G385" i="4"/>
  <c r="F385" i="4"/>
  <c r="E385" i="4"/>
  <c r="G384" i="4"/>
  <c r="E384" i="4"/>
  <c r="F384" i="4" s="1"/>
  <c r="G383" i="4"/>
  <c r="E383" i="4"/>
  <c r="F383" i="4" s="1"/>
  <c r="G382" i="4"/>
  <c r="E382" i="4"/>
  <c r="F382" i="4" s="1"/>
  <c r="G381" i="4"/>
  <c r="F381" i="4"/>
  <c r="E381" i="4"/>
  <c r="G380" i="4"/>
  <c r="E380" i="4"/>
  <c r="F380" i="4" s="1"/>
  <c r="G379" i="4"/>
  <c r="E379" i="4"/>
  <c r="F379" i="4" s="1"/>
  <c r="G378" i="4"/>
  <c r="F378" i="4"/>
  <c r="E378" i="4"/>
  <c r="G377" i="4"/>
  <c r="E377" i="4"/>
  <c r="F377" i="4" s="1"/>
  <c r="G376" i="4"/>
  <c r="E376" i="4"/>
  <c r="F376" i="4" s="1"/>
  <c r="G375" i="4"/>
  <c r="F375" i="4"/>
  <c r="E375" i="4"/>
  <c r="G374" i="4"/>
  <c r="E374" i="4"/>
  <c r="F374" i="4" s="1"/>
  <c r="G373" i="4"/>
  <c r="F373" i="4"/>
  <c r="E373" i="4"/>
  <c r="G372" i="4"/>
  <c r="E372" i="4"/>
  <c r="F372" i="4" s="1"/>
  <c r="G371" i="4"/>
  <c r="F371" i="4"/>
  <c r="E371" i="4"/>
  <c r="G370" i="4"/>
  <c r="E370" i="4"/>
  <c r="F370" i="4" s="1"/>
  <c r="G369" i="4"/>
  <c r="E369" i="4"/>
  <c r="F369" i="4" s="1"/>
  <c r="G368" i="4"/>
  <c r="E368" i="4"/>
  <c r="F368" i="4" s="1"/>
  <c r="G367" i="4"/>
  <c r="E367" i="4"/>
  <c r="F367" i="4" s="1"/>
  <c r="G366" i="4"/>
  <c r="E366" i="4"/>
  <c r="F366" i="4" s="1"/>
  <c r="G365" i="4"/>
  <c r="F365" i="4"/>
  <c r="E365" i="4"/>
  <c r="G364" i="4"/>
  <c r="E364" i="4"/>
  <c r="F364" i="4" s="1"/>
  <c r="G363" i="4"/>
  <c r="F363" i="4"/>
  <c r="E363" i="4"/>
  <c r="G362" i="4"/>
  <c r="F362" i="4"/>
  <c r="E362" i="4"/>
  <c r="G361" i="4"/>
  <c r="E361" i="4"/>
  <c r="F361" i="4" s="1"/>
  <c r="G360" i="4"/>
  <c r="E360" i="4"/>
  <c r="F360" i="4" s="1"/>
  <c r="G359" i="4"/>
  <c r="F359" i="4"/>
  <c r="E359" i="4"/>
  <c r="G358" i="4"/>
  <c r="F358" i="4"/>
  <c r="E358" i="4"/>
  <c r="G357" i="4"/>
  <c r="E357" i="4"/>
  <c r="F357" i="4" s="1"/>
  <c r="G356" i="4"/>
  <c r="E356" i="4"/>
  <c r="F356" i="4" s="1"/>
  <c r="G355" i="4"/>
  <c r="E355" i="4"/>
  <c r="F355" i="4" s="1"/>
  <c r="G354" i="4"/>
  <c r="E354" i="4"/>
  <c r="F354" i="4" s="1"/>
  <c r="G353" i="4"/>
  <c r="E353" i="4"/>
  <c r="F353" i="4" s="1"/>
  <c r="G352" i="4"/>
  <c r="E352" i="4"/>
  <c r="F352" i="4" s="1"/>
  <c r="G351" i="4"/>
  <c r="F351" i="4"/>
  <c r="E351" i="4"/>
  <c r="G350" i="4"/>
  <c r="F350" i="4"/>
  <c r="E350" i="4"/>
  <c r="G349" i="4"/>
  <c r="F349" i="4"/>
  <c r="E349" i="4"/>
  <c r="G348" i="4"/>
  <c r="E348" i="4"/>
  <c r="F348" i="4" s="1"/>
  <c r="G347" i="4"/>
  <c r="E347" i="4"/>
  <c r="F347" i="4" s="1"/>
  <c r="G346" i="4"/>
  <c r="F346" i="4"/>
  <c r="E346" i="4"/>
  <c r="G345" i="4"/>
  <c r="F345" i="4"/>
  <c r="E345" i="4"/>
  <c r="G344" i="4"/>
  <c r="E344" i="4"/>
  <c r="F344" i="4" s="1"/>
  <c r="G343" i="4"/>
  <c r="F343" i="4"/>
  <c r="E343" i="4"/>
  <c r="G342" i="4"/>
  <c r="E342" i="4"/>
  <c r="F342" i="4" s="1"/>
  <c r="G341" i="4"/>
  <c r="E341" i="4"/>
  <c r="F341" i="4" s="1"/>
  <c r="G340" i="4"/>
  <c r="E340" i="4"/>
  <c r="F340" i="4" s="1"/>
  <c r="G339" i="4"/>
  <c r="E339" i="4"/>
  <c r="F339" i="4" s="1"/>
  <c r="G338" i="4"/>
  <c r="F338" i="4"/>
  <c r="E338" i="4"/>
  <c r="G337" i="4"/>
  <c r="F337" i="4"/>
  <c r="E337" i="4"/>
  <c r="G336" i="4"/>
  <c r="E336" i="4"/>
  <c r="F336" i="4" s="1"/>
  <c r="G335" i="4"/>
  <c r="E335" i="4"/>
  <c r="F335" i="4" s="1"/>
  <c r="G334" i="4"/>
  <c r="E334" i="4"/>
  <c r="F334" i="4" s="1"/>
  <c r="G333" i="4"/>
  <c r="F333" i="4"/>
  <c r="E333" i="4"/>
  <c r="G332" i="4"/>
  <c r="E332" i="4"/>
  <c r="F332" i="4" s="1"/>
  <c r="G331" i="4"/>
  <c r="E331" i="4"/>
  <c r="F331" i="4" s="1"/>
  <c r="G330" i="4"/>
  <c r="F330" i="4"/>
  <c r="E330" i="4"/>
  <c r="G329" i="4"/>
  <c r="E329" i="4"/>
  <c r="F329" i="4" s="1"/>
  <c r="G328" i="4"/>
  <c r="E328" i="4"/>
  <c r="F328" i="4" s="1"/>
  <c r="G327" i="4"/>
  <c r="F327" i="4"/>
  <c r="E327" i="4"/>
  <c r="G326" i="4"/>
  <c r="E326" i="4"/>
  <c r="F326" i="4" s="1"/>
  <c r="G325" i="4"/>
  <c r="F325" i="4"/>
  <c r="E325" i="4"/>
  <c r="G324" i="4"/>
  <c r="E324" i="4"/>
  <c r="F324" i="4" s="1"/>
  <c r="G323" i="4"/>
  <c r="F323" i="4"/>
  <c r="E323" i="4"/>
  <c r="G322" i="4"/>
  <c r="E322" i="4"/>
  <c r="F322" i="4" s="1"/>
  <c r="G321" i="4"/>
  <c r="E321" i="4"/>
  <c r="F321" i="4" s="1"/>
  <c r="G320" i="4"/>
  <c r="E320" i="4"/>
  <c r="F320" i="4" s="1"/>
  <c r="G319" i="4"/>
  <c r="E319" i="4"/>
  <c r="F319" i="4" s="1"/>
  <c r="G318" i="4"/>
  <c r="E318" i="4"/>
  <c r="F318" i="4" s="1"/>
  <c r="G317" i="4"/>
  <c r="F317" i="4"/>
  <c r="E317" i="4"/>
  <c r="G316" i="4"/>
  <c r="E316" i="4"/>
  <c r="F316" i="4" s="1"/>
  <c r="G315" i="4"/>
  <c r="F315" i="4"/>
  <c r="E315" i="4"/>
  <c r="G314" i="4"/>
  <c r="F314" i="4"/>
  <c r="E314" i="4"/>
  <c r="G313" i="4"/>
  <c r="E313" i="4"/>
  <c r="F313" i="4" s="1"/>
  <c r="G312" i="4"/>
  <c r="E312" i="4"/>
  <c r="F312" i="4" s="1"/>
  <c r="G311" i="4"/>
  <c r="F311" i="4"/>
  <c r="E311" i="4"/>
  <c r="G310" i="4"/>
  <c r="F310" i="4"/>
  <c r="E310" i="4"/>
  <c r="G309" i="4"/>
  <c r="E309" i="4"/>
  <c r="F309" i="4" s="1"/>
  <c r="G308" i="4"/>
  <c r="E308" i="4"/>
  <c r="F308" i="4" s="1"/>
  <c r="G307" i="4"/>
  <c r="E307" i="4"/>
  <c r="F307" i="4" s="1"/>
  <c r="G306" i="4"/>
  <c r="E306" i="4"/>
  <c r="F306" i="4" s="1"/>
  <c r="G305" i="4"/>
  <c r="E305" i="4"/>
  <c r="F305" i="4" s="1"/>
  <c r="G304" i="4"/>
  <c r="E304" i="4"/>
  <c r="F304" i="4" s="1"/>
  <c r="G303" i="4"/>
  <c r="F303" i="4"/>
  <c r="E303" i="4"/>
  <c r="G302" i="4"/>
  <c r="F302" i="4"/>
  <c r="E302" i="4"/>
  <c r="G301" i="4"/>
  <c r="F301" i="4"/>
  <c r="E301" i="4"/>
  <c r="G300" i="4"/>
  <c r="E300" i="4"/>
  <c r="F300" i="4" s="1"/>
  <c r="G299" i="4"/>
  <c r="E299" i="4"/>
  <c r="F299" i="4" s="1"/>
  <c r="G298" i="4"/>
  <c r="F298" i="4"/>
  <c r="E298" i="4"/>
  <c r="G297" i="4"/>
  <c r="F297" i="4"/>
  <c r="E297" i="4"/>
  <c r="G296" i="4"/>
  <c r="E296" i="4"/>
  <c r="F296" i="4" s="1"/>
  <c r="G295" i="4"/>
  <c r="F295" i="4"/>
  <c r="E295" i="4"/>
  <c r="G294" i="4"/>
  <c r="E294" i="4"/>
  <c r="F294" i="4" s="1"/>
  <c r="G293" i="4"/>
  <c r="E293" i="4"/>
  <c r="F293" i="4" s="1"/>
  <c r="G292" i="4"/>
  <c r="E292" i="4"/>
  <c r="F292" i="4" s="1"/>
  <c r="G291" i="4"/>
  <c r="E291" i="4"/>
  <c r="F291" i="4" s="1"/>
  <c r="G290" i="4"/>
  <c r="F290" i="4"/>
  <c r="E290" i="4"/>
  <c r="G289" i="4"/>
  <c r="F289" i="4"/>
  <c r="E289" i="4"/>
  <c r="G288" i="4"/>
  <c r="E288" i="4"/>
  <c r="F288" i="4" s="1"/>
  <c r="G287" i="4"/>
  <c r="E287" i="4"/>
  <c r="F287" i="4" s="1"/>
  <c r="G286" i="4"/>
  <c r="E286" i="4"/>
  <c r="F286" i="4" s="1"/>
  <c r="G285" i="4"/>
  <c r="F285" i="4"/>
  <c r="E285" i="4"/>
  <c r="G284" i="4"/>
  <c r="E284" i="4"/>
  <c r="F284" i="4" s="1"/>
  <c r="G283" i="4"/>
  <c r="E283" i="4"/>
  <c r="F283" i="4" s="1"/>
  <c r="G282" i="4"/>
  <c r="F282" i="4"/>
  <c r="E282" i="4"/>
  <c r="G281" i="4"/>
  <c r="E281" i="4"/>
  <c r="F281" i="4" s="1"/>
  <c r="G280" i="4"/>
  <c r="E280" i="4"/>
  <c r="F280" i="4" s="1"/>
  <c r="G279" i="4"/>
  <c r="F279" i="4"/>
  <c r="E279" i="4"/>
  <c r="G278" i="4"/>
  <c r="E278" i="4"/>
  <c r="F278" i="4" s="1"/>
  <c r="G277" i="4"/>
  <c r="F277" i="4"/>
  <c r="E277" i="4"/>
  <c r="G276" i="4"/>
  <c r="E276" i="4"/>
  <c r="F276" i="4" s="1"/>
  <c r="G275" i="4"/>
  <c r="F275" i="4"/>
  <c r="E275" i="4"/>
  <c r="G274" i="4"/>
  <c r="E274" i="4"/>
  <c r="F274" i="4" s="1"/>
  <c r="G273" i="4"/>
  <c r="E273" i="4"/>
  <c r="F273" i="4" s="1"/>
  <c r="G272" i="4"/>
  <c r="E272" i="4"/>
  <c r="F272" i="4" s="1"/>
  <c r="G271" i="4"/>
  <c r="E271" i="4"/>
  <c r="F271" i="4" s="1"/>
  <c r="G270" i="4"/>
  <c r="E270" i="4"/>
  <c r="F270" i="4" s="1"/>
  <c r="G269" i="4"/>
  <c r="F269" i="4"/>
  <c r="E269" i="4"/>
  <c r="G268" i="4"/>
  <c r="E268" i="4"/>
  <c r="F268" i="4" s="1"/>
  <c r="G267" i="4"/>
  <c r="F267" i="4"/>
  <c r="E267" i="4"/>
  <c r="G266" i="4"/>
  <c r="F266" i="4"/>
  <c r="E266" i="4"/>
  <c r="G265" i="4"/>
  <c r="E265" i="4"/>
  <c r="F265" i="4" s="1"/>
  <c r="G264" i="4"/>
  <c r="E264" i="4"/>
  <c r="F264" i="4" s="1"/>
  <c r="G263" i="4"/>
  <c r="F263" i="4"/>
  <c r="E263" i="4"/>
  <c r="G262" i="4"/>
  <c r="F262" i="4"/>
  <c r="E262" i="4"/>
  <c r="G261" i="4"/>
  <c r="E261" i="4"/>
  <c r="F261" i="4" s="1"/>
  <c r="G260" i="4"/>
  <c r="E260" i="4"/>
  <c r="F260" i="4" s="1"/>
  <c r="G259" i="4"/>
  <c r="E259" i="4"/>
  <c r="F259" i="4" s="1"/>
  <c r="G258" i="4"/>
  <c r="E258" i="4"/>
  <c r="F258" i="4" s="1"/>
  <c r="G257" i="4"/>
  <c r="E257" i="4"/>
  <c r="F257" i="4" s="1"/>
  <c r="G256" i="4"/>
  <c r="E256" i="4"/>
  <c r="F256" i="4" s="1"/>
  <c r="G255" i="4"/>
  <c r="F255" i="4"/>
  <c r="E255" i="4"/>
  <c r="G254" i="4"/>
  <c r="F254" i="4"/>
  <c r="E254" i="4"/>
  <c r="G253" i="4"/>
  <c r="F253" i="4"/>
  <c r="E253" i="4"/>
  <c r="G252" i="4"/>
  <c r="E252" i="4"/>
  <c r="F252" i="4" s="1"/>
  <c r="G251" i="4"/>
  <c r="F251" i="4"/>
  <c r="E251" i="4"/>
  <c r="G250" i="4"/>
  <c r="F250" i="4"/>
  <c r="E250" i="4"/>
  <c r="G249" i="4"/>
  <c r="F249" i="4"/>
  <c r="E249" i="4"/>
  <c r="G248" i="4"/>
  <c r="E248" i="4"/>
  <c r="F248" i="4" s="1"/>
  <c r="G247" i="4"/>
  <c r="F247" i="4"/>
  <c r="E247" i="4"/>
  <c r="G246" i="4"/>
  <c r="F246" i="4"/>
  <c r="E246" i="4"/>
  <c r="G245" i="4"/>
  <c r="F245" i="4"/>
  <c r="E245" i="4"/>
  <c r="G244" i="4"/>
  <c r="E244" i="4"/>
  <c r="F244" i="4" s="1"/>
  <c r="G243" i="4"/>
  <c r="F243" i="4"/>
  <c r="E243" i="4"/>
  <c r="G242" i="4"/>
  <c r="F242" i="4"/>
  <c r="E242" i="4"/>
  <c r="G241" i="4"/>
  <c r="F241" i="4"/>
  <c r="E241" i="4"/>
  <c r="G240" i="4"/>
  <c r="E240" i="4"/>
  <c r="F240" i="4" s="1"/>
  <c r="G239" i="4"/>
  <c r="F239" i="4"/>
  <c r="E239" i="4"/>
  <c r="G238" i="4"/>
  <c r="F238" i="4"/>
  <c r="E238" i="4"/>
  <c r="G237" i="4"/>
  <c r="F237" i="4"/>
  <c r="E237" i="4"/>
  <c r="G236" i="4"/>
  <c r="E236" i="4"/>
  <c r="F236" i="4" s="1"/>
  <c r="G235" i="4"/>
  <c r="F235" i="4"/>
  <c r="E235" i="4"/>
  <c r="G234" i="4"/>
  <c r="F234" i="4"/>
  <c r="E234" i="4"/>
  <c r="G233" i="4"/>
  <c r="F233" i="4"/>
  <c r="E233" i="4"/>
  <c r="G232" i="4"/>
  <c r="E232" i="4"/>
  <c r="F232" i="4" s="1"/>
  <c r="G231" i="4"/>
  <c r="F231" i="4"/>
  <c r="E231" i="4"/>
  <c r="G230" i="4"/>
  <c r="F230" i="4"/>
  <c r="E230" i="4"/>
  <c r="G229" i="4"/>
  <c r="F229" i="4"/>
  <c r="E229" i="4"/>
  <c r="G228" i="4"/>
  <c r="E228" i="4"/>
  <c r="F228" i="4" s="1"/>
  <c r="G227" i="4"/>
  <c r="F227" i="4"/>
  <c r="E227" i="4"/>
  <c r="G226" i="4"/>
  <c r="F226" i="4"/>
  <c r="E226" i="4"/>
  <c r="G225" i="4"/>
  <c r="F225" i="4"/>
  <c r="E225" i="4"/>
  <c r="G224" i="4"/>
  <c r="E224" i="4"/>
  <c r="F224" i="4" s="1"/>
  <c r="G223" i="4"/>
  <c r="F223" i="4"/>
  <c r="E223" i="4"/>
  <c r="G222" i="4"/>
  <c r="F222" i="4"/>
  <c r="E222" i="4"/>
  <c r="G221" i="4"/>
  <c r="F221" i="4"/>
  <c r="E221" i="4"/>
  <c r="G220" i="4"/>
  <c r="E220" i="4"/>
  <c r="F220" i="4" s="1"/>
  <c r="G219" i="4"/>
  <c r="F219" i="4"/>
  <c r="E219" i="4"/>
  <c r="G218" i="4"/>
  <c r="F218" i="4"/>
  <c r="E218" i="4"/>
  <c r="G217" i="4"/>
  <c r="F217" i="4"/>
  <c r="E217" i="4"/>
  <c r="G216" i="4"/>
  <c r="E216" i="4"/>
  <c r="F216" i="4" s="1"/>
  <c r="G215" i="4"/>
  <c r="F215" i="4"/>
  <c r="E215" i="4"/>
  <c r="G214" i="4"/>
  <c r="F214" i="4"/>
  <c r="E214" i="4"/>
  <c r="G213" i="4"/>
  <c r="F213" i="4"/>
  <c r="E213" i="4"/>
  <c r="G212" i="4"/>
  <c r="E212" i="4"/>
  <c r="F212" i="4" s="1"/>
  <c r="G211" i="4"/>
  <c r="F211" i="4"/>
  <c r="E211" i="4"/>
  <c r="G210" i="4"/>
  <c r="F210" i="4"/>
  <c r="E210" i="4"/>
  <c r="G209" i="4"/>
  <c r="F209" i="4"/>
  <c r="E209" i="4"/>
  <c r="G208" i="4"/>
  <c r="E208" i="4"/>
  <c r="F208" i="4" s="1"/>
  <c r="G207" i="4"/>
  <c r="F207" i="4"/>
  <c r="E207" i="4"/>
  <c r="G206" i="4"/>
  <c r="F206" i="4"/>
  <c r="E206" i="4"/>
  <c r="G205" i="4"/>
  <c r="F205" i="4"/>
  <c r="E205" i="4"/>
  <c r="G204" i="4"/>
  <c r="E204" i="4"/>
  <c r="F204" i="4" s="1"/>
  <c r="G203" i="4"/>
  <c r="F203" i="4"/>
  <c r="E203" i="4"/>
  <c r="G202" i="4"/>
  <c r="F202" i="4"/>
  <c r="E202" i="4"/>
  <c r="G201" i="4"/>
  <c r="F201" i="4"/>
  <c r="E201" i="4"/>
  <c r="G200" i="4"/>
  <c r="E200" i="4"/>
  <c r="F200" i="4" s="1"/>
  <c r="G199" i="4"/>
  <c r="F199" i="4"/>
  <c r="E199" i="4"/>
  <c r="G198" i="4"/>
  <c r="F198" i="4"/>
  <c r="E198" i="4"/>
  <c r="G197" i="4"/>
  <c r="F197" i="4"/>
  <c r="E197" i="4"/>
  <c r="G196" i="4"/>
  <c r="E196" i="4"/>
  <c r="F196" i="4" s="1"/>
  <c r="G195" i="4"/>
  <c r="F195" i="4"/>
  <c r="E195" i="4"/>
  <c r="G194" i="4"/>
  <c r="F194" i="4"/>
  <c r="E194" i="4"/>
  <c r="G193" i="4"/>
  <c r="F193" i="4"/>
  <c r="E193" i="4"/>
  <c r="G192" i="4"/>
  <c r="E192" i="4"/>
  <c r="F192" i="4" s="1"/>
  <c r="G191" i="4"/>
  <c r="F191" i="4"/>
  <c r="E191" i="4"/>
  <c r="G190" i="4"/>
  <c r="F190" i="4"/>
  <c r="E190" i="4"/>
  <c r="G189" i="4"/>
  <c r="F189" i="4"/>
  <c r="E189" i="4"/>
  <c r="G188" i="4"/>
  <c r="E188" i="4"/>
  <c r="F188" i="4" s="1"/>
  <c r="G187" i="4"/>
  <c r="F187" i="4"/>
  <c r="E187" i="4"/>
  <c r="G186" i="4"/>
  <c r="F186" i="4"/>
  <c r="E186" i="4"/>
  <c r="G185" i="4"/>
  <c r="F185" i="4"/>
  <c r="E185" i="4"/>
  <c r="G184" i="4"/>
  <c r="E184" i="4"/>
  <c r="F184" i="4" s="1"/>
  <c r="G183" i="4"/>
  <c r="E183" i="4"/>
  <c r="F183" i="4" s="1"/>
  <c r="G182" i="4"/>
  <c r="F182" i="4"/>
  <c r="E182" i="4"/>
  <c r="G181" i="4"/>
  <c r="F181" i="4"/>
  <c r="E181" i="4"/>
  <c r="G180" i="4"/>
  <c r="E180" i="4"/>
  <c r="F180" i="4" s="1"/>
  <c r="G179" i="4"/>
  <c r="E179" i="4"/>
  <c r="F179" i="4" s="1"/>
  <c r="G178" i="4"/>
  <c r="F178" i="4"/>
  <c r="E178" i="4"/>
  <c r="G177" i="4"/>
  <c r="F177" i="4"/>
  <c r="E177" i="4"/>
  <c r="G176" i="4"/>
  <c r="E176" i="4"/>
  <c r="F176" i="4" s="1"/>
  <c r="G175" i="4"/>
  <c r="E175" i="4"/>
  <c r="F175" i="4" s="1"/>
  <c r="G174" i="4"/>
  <c r="F174" i="4"/>
  <c r="E174" i="4"/>
  <c r="G173" i="4"/>
  <c r="F173" i="4"/>
  <c r="E173" i="4"/>
  <c r="G172" i="4"/>
  <c r="E172" i="4"/>
  <c r="F172" i="4" s="1"/>
  <c r="G171" i="4"/>
  <c r="E171" i="4"/>
  <c r="F171" i="4" s="1"/>
  <c r="G170" i="4"/>
  <c r="F170" i="4"/>
  <c r="E170" i="4"/>
  <c r="G169" i="4"/>
  <c r="F169" i="4"/>
  <c r="E169" i="4"/>
  <c r="G168" i="4"/>
  <c r="E168" i="4"/>
  <c r="F168" i="4" s="1"/>
  <c r="G167" i="4"/>
  <c r="E167" i="4"/>
  <c r="F167" i="4" s="1"/>
  <c r="G166" i="4"/>
  <c r="F166" i="4"/>
  <c r="E166" i="4"/>
  <c r="G165" i="4"/>
  <c r="F165" i="4"/>
  <c r="E165" i="4"/>
  <c r="G164" i="4"/>
  <c r="E164" i="4"/>
  <c r="F164" i="4" s="1"/>
  <c r="G163" i="4"/>
  <c r="E163" i="4"/>
  <c r="F163" i="4" s="1"/>
  <c r="G162" i="4"/>
  <c r="F162" i="4"/>
  <c r="E162" i="4"/>
  <c r="G161" i="4"/>
  <c r="F161" i="4"/>
  <c r="E161" i="4"/>
  <c r="G160" i="4"/>
  <c r="E160" i="4"/>
  <c r="F160" i="4" s="1"/>
  <c r="G159" i="4"/>
  <c r="E159" i="4"/>
  <c r="F159" i="4" s="1"/>
  <c r="G158" i="4"/>
  <c r="F158" i="4"/>
  <c r="E158" i="4"/>
  <c r="G157" i="4"/>
  <c r="F157" i="4"/>
  <c r="E157" i="4"/>
  <c r="G156" i="4"/>
  <c r="E156" i="4"/>
  <c r="F156" i="4" s="1"/>
  <c r="G155" i="4"/>
  <c r="E155" i="4"/>
  <c r="F155" i="4" s="1"/>
  <c r="G154" i="4"/>
  <c r="F154" i="4"/>
  <c r="E154" i="4"/>
  <c r="G153" i="4"/>
  <c r="F153" i="4"/>
  <c r="E153" i="4"/>
  <c r="G152" i="4"/>
  <c r="E152" i="4"/>
  <c r="F152" i="4" s="1"/>
  <c r="G151" i="4"/>
  <c r="E151" i="4"/>
  <c r="F151" i="4" s="1"/>
  <c r="G150" i="4"/>
  <c r="F150" i="4"/>
  <c r="E150" i="4"/>
  <c r="G149" i="4"/>
  <c r="F149" i="4"/>
  <c r="E149" i="4"/>
  <c r="G148" i="4"/>
  <c r="E148" i="4"/>
  <c r="F148" i="4" s="1"/>
  <c r="G147" i="4"/>
  <c r="E147" i="4"/>
  <c r="F147" i="4" s="1"/>
  <c r="G146" i="4"/>
  <c r="F146" i="4"/>
  <c r="E146" i="4"/>
  <c r="G145" i="4"/>
  <c r="F145" i="4"/>
  <c r="E145" i="4"/>
  <c r="G144" i="4"/>
  <c r="E144" i="4"/>
  <c r="F144" i="4" s="1"/>
  <c r="G143" i="4"/>
  <c r="E143" i="4"/>
  <c r="F143" i="4" s="1"/>
  <c r="G142" i="4"/>
  <c r="F142" i="4"/>
  <c r="E142" i="4"/>
  <c r="G141" i="4"/>
  <c r="F141" i="4"/>
  <c r="E141" i="4"/>
  <c r="G140" i="4"/>
  <c r="E140" i="4"/>
  <c r="F140" i="4" s="1"/>
  <c r="G139" i="4"/>
  <c r="E139" i="4"/>
  <c r="F139" i="4" s="1"/>
  <c r="G138" i="4"/>
  <c r="F138" i="4"/>
  <c r="E138" i="4"/>
  <c r="G137" i="4"/>
  <c r="F137" i="4"/>
  <c r="E137" i="4"/>
  <c r="G136" i="4"/>
  <c r="E136" i="4"/>
  <c r="F136" i="4" s="1"/>
  <c r="G135" i="4"/>
  <c r="E135" i="4"/>
  <c r="F135" i="4" s="1"/>
  <c r="G134" i="4"/>
  <c r="F134" i="4"/>
  <c r="E134" i="4"/>
  <c r="G133" i="4"/>
  <c r="F133" i="4"/>
  <c r="E133" i="4"/>
  <c r="G132" i="4"/>
  <c r="E132" i="4"/>
  <c r="F132" i="4" s="1"/>
  <c r="G131" i="4"/>
  <c r="E131" i="4"/>
  <c r="F131" i="4" s="1"/>
  <c r="G130" i="4"/>
  <c r="F130" i="4"/>
  <c r="E130" i="4"/>
  <c r="G129" i="4"/>
  <c r="F129" i="4"/>
  <c r="E129" i="4"/>
  <c r="G128" i="4"/>
  <c r="E128" i="4"/>
  <c r="F128" i="4" s="1"/>
  <c r="G127" i="4"/>
  <c r="E127" i="4"/>
  <c r="F127" i="4" s="1"/>
  <c r="G126" i="4"/>
  <c r="F126" i="4"/>
  <c r="E126" i="4"/>
  <c r="G125" i="4"/>
  <c r="F125" i="4"/>
  <c r="E125" i="4"/>
  <c r="G124" i="4"/>
  <c r="E124" i="4"/>
  <c r="F124" i="4" s="1"/>
  <c r="G123" i="4"/>
  <c r="E123" i="4"/>
  <c r="F123" i="4" s="1"/>
  <c r="G122" i="4"/>
  <c r="F122" i="4"/>
  <c r="E122" i="4"/>
  <c r="G121" i="4"/>
  <c r="F121" i="4"/>
  <c r="E121" i="4"/>
  <c r="G120" i="4"/>
  <c r="E120" i="4"/>
  <c r="F120" i="4" s="1"/>
  <c r="G119" i="4"/>
  <c r="E119" i="4"/>
  <c r="F119" i="4" s="1"/>
  <c r="G118" i="4"/>
  <c r="F118" i="4"/>
  <c r="E118" i="4"/>
  <c r="G117" i="4"/>
  <c r="F117" i="4"/>
  <c r="E117" i="4"/>
  <c r="G116" i="4"/>
  <c r="E116" i="4"/>
  <c r="F116" i="4" s="1"/>
  <c r="G115" i="4"/>
  <c r="E115" i="4"/>
  <c r="F115" i="4" s="1"/>
  <c r="G114" i="4"/>
  <c r="F114" i="4"/>
  <c r="E114" i="4"/>
  <c r="G113" i="4"/>
  <c r="F113" i="4"/>
  <c r="E113" i="4"/>
  <c r="G112" i="4"/>
  <c r="E112" i="4"/>
  <c r="F112" i="4" s="1"/>
  <c r="G111" i="4"/>
  <c r="E111" i="4"/>
  <c r="F111" i="4" s="1"/>
  <c r="G110" i="4"/>
  <c r="F110" i="4"/>
  <c r="E110" i="4"/>
  <c r="G109" i="4"/>
  <c r="F109" i="4"/>
  <c r="E109" i="4"/>
  <c r="G108" i="4"/>
  <c r="E108" i="4"/>
  <c r="F108" i="4" s="1"/>
  <c r="G107" i="4"/>
  <c r="E107" i="4"/>
  <c r="F107" i="4" s="1"/>
  <c r="G106" i="4"/>
  <c r="F106" i="4"/>
  <c r="E106" i="4"/>
  <c r="G105" i="4"/>
  <c r="F105" i="4"/>
  <c r="E105" i="4"/>
  <c r="G104" i="4"/>
  <c r="E104" i="4"/>
  <c r="F104" i="4" s="1"/>
  <c r="G103" i="4"/>
  <c r="E103" i="4"/>
  <c r="F103" i="4" s="1"/>
  <c r="G102" i="4"/>
  <c r="F102" i="4"/>
  <c r="E102" i="4"/>
  <c r="G101" i="4"/>
  <c r="F101" i="4"/>
  <c r="E101" i="4"/>
  <c r="G100" i="4"/>
  <c r="E100" i="4"/>
  <c r="F100" i="4" s="1"/>
  <c r="G99" i="4"/>
  <c r="E99" i="4"/>
  <c r="F99" i="4" s="1"/>
  <c r="G98" i="4"/>
  <c r="F98" i="4"/>
  <c r="E98" i="4"/>
  <c r="G97" i="4"/>
  <c r="F97" i="4"/>
  <c r="E97" i="4"/>
  <c r="G96" i="4"/>
  <c r="E96" i="4"/>
  <c r="F96" i="4" s="1"/>
  <c r="G95" i="4"/>
  <c r="F95" i="4"/>
  <c r="E95" i="4"/>
  <c r="G94" i="4"/>
  <c r="F94" i="4"/>
  <c r="E94" i="4"/>
  <c r="G93" i="4"/>
  <c r="F93" i="4"/>
  <c r="E93" i="4"/>
  <c r="G92" i="4"/>
  <c r="E92" i="4"/>
  <c r="F92" i="4" s="1"/>
  <c r="G91" i="4"/>
  <c r="E91" i="4"/>
  <c r="F91" i="4" s="1"/>
  <c r="G90" i="4"/>
  <c r="F90" i="4"/>
  <c r="E90" i="4"/>
  <c r="G89" i="4"/>
  <c r="F89" i="4"/>
  <c r="E89" i="4"/>
  <c r="G88" i="4"/>
  <c r="E88" i="4"/>
  <c r="F88" i="4" s="1"/>
  <c r="G87" i="4"/>
  <c r="F87" i="4"/>
  <c r="E87" i="4"/>
  <c r="G86" i="4"/>
  <c r="F86" i="4"/>
  <c r="E86" i="4"/>
  <c r="G85" i="4"/>
  <c r="F85" i="4"/>
  <c r="E85" i="4"/>
  <c r="G84" i="4"/>
  <c r="E84" i="4"/>
  <c r="F84" i="4" s="1"/>
  <c r="G83" i="4"/>
  <c r="E83" i="4"/>
  <c r="F83" i="4" s="1"/>
  <c r="G82" i="4"/>
  <c r="F82" i="4"/>
  <c r="E82" i="4"/>
  <c r="G81" i="4"/>
  <c r="F81" i="4"/>
  <c r="E81" i="4"/>
  <c r="G80" i="4"/>
  <c r="E80" i="4"/>
  <c r="F80" i="4" s="1"/>
  <c r="G79" i="4"/>
  <c r="F79" i="4"/>
  <c r="E79" i="4"/>
  <c r="G78" i="4"/>
  <c r="F78" i="4"/>
  <c r="E78" i="4"/>
  <c r="G77" i="4"/>
  <c r="F77" i="4"/>
  <c r="E77" i="4"/>
  <c r="G76" i="4"/>
  <c r="E76" i="4"/>
  <c r="F76" i="4" s="1"/>
  <c r="G75" i="4"/>
  <c r="E75" i="4"/>
  <c r="F75" i="4" s="1"/>
  <c r="G74" i="4"/>
  <c r="F74" i="4"/>
  <c r="E74" i="4"/>
  <c r="G73" i="4"/>
  <c r="F73" i="4"/>
  <c r="E73" i="4"/>
  <c r="G72" i="4"/>
  <c r="E72" i="4"/>
  <c r="F72" i="4" s="1"/>
  <c r="G71" i="4"/>
  <c r="F71" i="4"/>
  <c r="E71" i="4"/>
  <c r="G70" i="4"/>
  <c r="F70" i="4"/>
  <c r="E70" i="4"/>
  <c r="G69" i="4"/>
  <c r="F69" i="4"/>
  <c r="E69" i="4"/>
  <c r="G68" i="4"/>
  <c r="E68" i="4"/>
  <c r="F68" i="4" s="1"/>
  <c r="G67" i="4"/>
  <c r="E67" i="4"/>
  <c r="F67" i="4" s="1"/>
  <c r="G66" i="4"/>
  <c r="F66" i="4"/>
  <c r="E66" i="4"/>
  <c r="G65" i="4"/>
  <c r="F65" i="4"/>
  <c r="E65" i="4"/>
  <c r="G64" i="4"/>
  <c r="E64" i="4"/>
  <c r="F64" i="4" s="1"/>
  <c r="G63" i="4"/>
  <c r="F63" i="4"/>
  <c r="E63" i="4"/>
  <c r="G62" i="4"/>
  <c r="F62" i="4"/>
  <c r="E62" i="4"/>
  <c r="G61" i="4"/>
  <c r="F61" i="4"/>
  <c r="E61" i="4"/>
  <c r="G60" i="4"/>
  <c r="E60" i="4"/>
  <c r="F60" i="4" s="1"/>
  <c r="G59" i="4"/>
  <c r="E59" i="4"/>
  <c r="F59" i="4" s="1"/>
  <c r="G58" i="4"/>
  <c r="F58" i="4"/>
  <c r="E58" i="4"/>
  <c r="G57" i="4"/>
  <c r="F57" i="4"/>
  <c r="E57" i="4"/>
  <c r="G56" i="4"/>
  <c r="E56" i="4"/>
  <c r="F56" i="4" s="1"/>
  <c r="G55" i="4"/>
  <c r="E55" i="4"/>
  <c r="F55" i="4" s="1"/>
  <c r="G54" i="4"/>
  <c r="F54" i="4"/>
  <c r="E54" i="4"/>
  <c r="G53" i="4"/>
  <c r="F53" i="4"/>
  <c r="E53" i="4"/>
  <c r="G52" i="4"/>
  <c r="E52" i="4"/>
  <c r="F52" i="4" s="1"/>
  <c r="G51" i="4"/>
  <c r="E51" i="4"/>
  <c r="F51" i="4" s="1"/>
  <c r="G50" i="4"/>
  <c r="F50" i="4"/>
  <c r="E50" i="4"/>
  <c r="G49" i="4"/>
  <c r="F49" i="4"/>
  <c r="E49" i="4"/>
  <c r="G48" i="4"/>
  <c r="E48" i="4"/>
  <c r="F48" i="4" s="1"/>
  <c r="G47" i="4"/>
  <c r="F47" i="4"/>
  <c r="E47" i="4"/>
  <c r="G46" i="4"/>
  <c r="F46" i="4"/>
  <c r="E46" i="4"/>
  <c r="G45" i="4"/>
  <c r="F45" i="4"/>
  <c r="E45" i="4"/>
  <c r="G44" i="4"/>
  <c r="E44" i="4"/>
  <c r="F44" i="4" s="1"/>
  <c r="G43" i="4"/>
  <c r="E43" i="4"/>
  <c r="F43" i="4" s="1"/>
  <c r="G42" i="4"/>
  <c r="F42" i="4"/>
  <c r="E42" i="4"/>
  <c r="G41" i="4"/>
  <c r="F41" i="4"/>
  <c r="E41" i="4"/>
  <c r="G40" i="4"/>
  <c r="E40" i="4"/>
  <c r="F40" i="4" s="1"/>
  <c r="G39" i="4"/>
  <c r="F39" i="4"/>
  <c r="E39" i="4"/>
  <c r="G38" i="4"/>
  <c r="F38" i="4"/>
  <c r="E38" i="4"/>
  <c r="G37" i="4"/>
  <c r="F37" i="4"/>
  <c r="E37" i="4"/>
  <c r="G36" i="4"/>
  <c r="E36" i="4"/>
  <c r="F36" i="4" s="1"/>
  <c r="G35" i="4"/>
  <c r="E35" i="4"/>
  <c r="F35" i="4" s="1"/>
  <c r="G34" i="4"/>
  <c r="F34" i="4"/>
  <c r="E34" i="4"/>
  <c r="G33" i="4"/>
  <c r="F33" i="4"/>
  <c r="E33" i="4"/>
  <c r="G32" i="4"/>
  <c r="E32" i="4"/>
  <c r="F32" i="4" s="1"/>
  <c r="G31" i="4"/>
  <c r="F31" i="4"/>
  <c r="E31" i="4"/>
  <c r="G30" i="4"/>
  <c r="F30" i="4"/>
  <c r="E30" i="4"/>
  <c r="G29" i="4"/>
  <c r="F29" i="4"/>
  <c r="E29" i="4"/>
  <c r="G28" i="4"/>
  <c r="E28" i="4"/>
  <c r="F28" i="4" s="1"/>
  <c r="G27" i="4"/>
  <c r="E27" i="4"/>
  <c r="F27" i="4" s="1"/>
  <c r="G26" i="4"/>
  <c r="F26" i="4"/>
  <c r="E26" i="4"/>
  <c r="G25" i="4"/>
  <c r="F25" i="4"/>
  <c r="E25" i="4"/>
  <c r="G24" i="4"/>
  <c r="E24" i="4"/>
  <c r="F24" i="4" s="1"/>
  <c r="G23" i="4"/>
  <c r="F23" i="4"/>
  <c r="E23" i="4"/>
  <c r="G22" i="4"/>
  <c r="F22" i="4"/>
  <c r="E22" i="4"/>
  <c r="G21" i="4"/>
  <c r="F21" i="4"/>
  <c r="E21" i="4"/>
  <c r="G20" i="4"/>
  <c r="E20" i="4"/>
  <c r="F20" i="4" s="1"/>
  <c r="G19" i="4"/>
  <c r="E19" i="4"/>
  <c r="F19" i="4" s="1"/>
  <c r="G18" i="4"/>
  <c r="F18" i="4"/>
  <c r="E18" i="4"/>
  <c r="G17" i="4"/>
  <c r="F17" i="4"/>
  <c r="E17" i="4"/>
  <c r="G16" i="4"/>
  <c r="E16" i="4"/>
  <c r="F16" i="4" s="1"/>
  <c r="G15" i="4"/>
  <c r="F15" i="4"/>
  <c r="E15" i="4"/>
  <c r="G14" i="4"/>
  <c r="F14" i="4"/>
  <c r="E14" i="4"/>
  <c r="G13" i="4"/>
  <c r="F13" i="4"/>
  <c r="E13" i="4"/>
  <c r="G12" i="4"/>
  <c r="E12" i="4"/>
  <c r="F12" i="4" s="1"/>
  <c r="G11" i="4"/>
  <c r="E11" i="4"/>
  <c r="F11" i="4" s="1"/>
  <c r="G10" i="4"/>
  <c r="F10" i="4"/>
  <c r="E10" i="4"/>
  <c r="G9" i="4"/>
  <c r="F9" i="4"/>
  <c r="E9" i="4"/>
  <c r="G8" i="4"/>
  <c r="E8" i="4"/>
  <c r="F8" i="4" s="1"/>
  <c r="G7" i="4"/>
  <c r="E7" i="4"/>
  <c r="F7" i="4" s="1"/>
  <c r="G6" i="4"/>
  <c r="F6" i="4"/>
  <c r="E6" i="4"/>
  <c r="G18" i="3"/>
  <c r="E18" i="3"/>
  <c r="F18" i="3" s="1"/>
  <c r="H18" i="3" s="1"/>
  <c r="D18" i="3"/>
  <c r="C18" i="3"/>
  <c r="B18" i="3"/>
  <c r="G17" i="3"/>
  <c r="E17" i="3"/>
  <c r="D17" i="3"/>
  <c r="C17" i="3"/>
  <c r="B17" i="3"/>
  <c r="F17" i="3" s="1"/>
  <c r="G16" i="3"/>
  <c r="D16" i="3"/>
  <c r="G15" i="3"/>
  <c r="E15" i="3"/>
  <c r="D15" i="3"/>
  <c r="C15" i="3"/>
  <c r="B15" i="3"/>
  <c r="G14" i="3"/>
  <c r="E14" i="3"/>
  <c r="D14" i="3"/>
  <c r="C14" i="3"/>
  <c r="B14" i="3"/>
  <c r="F14" i="3" s="1"/>
  <c r="H14" i="3" s="1"/>
  <c r="G13" i="3"/>
  <c r="E13" i="3"/>
  <c r="D13" i="3"/>
  <c r="C13" i="3"/>
  <c r="B13" i="3"/>
  <c r="G12" i="3"/>
  <c r="E12" i="3"/>
  <c r="D12" i="3"/>
  <c r="C12" i="3"/>
  <c r="B12" i="3"/>
  <c r="F12" i="3" s="1"/>
  <c r="H12" i="3" s="1"/>
  <c r="G11" i="3"/>
  <c r="E11" i="3"/>
  <c r="D11" i="3"/>
  <c r="C11" i="3"/>
  <c r="B11" i="3"/>
  <c r="G10" i="3"/>
  <c r="E10" i="3"/>
  <c r="D10" i="3"/>
  <c r="C10" i="3"/>
  <c r="B10" i="3"/>
  <c r="G9" i="3"/>
  <c r="E9" i="3"/>
  <c r="D9" i="3"/>
  <c r="C9" i="3"/>
  <c r="B9" i="3"/>
  <c r="G8" i="3"/>
  <c r="E8" i="3"/>
  <c r="D8" i="3"/>
  <c r="C8" i="3"/>
  <c r="B8" i="3"/>
  <c r="G7" i="3"/>
  <c r="E7" i="3"/>
  <c r="D7" i="3"/>
  <c r="C7" i="3"/>
  <c r="B7" i="3"/>
  <c r="C55" i="2"/>
  <c r="B55" i="2"/>
  <c r="A55" i="2"/>
  <c r="C54" i="2"/>
  <c r="B54" i="2"/>
  <c r="A54" i="2"/>
  <c r="A53" i="2"/>
  <c r="A52" i="2"/>
  <c r="C52" i="2" s="1"/>
  <c r="C51" i="2"/>
  <c r="A51" i="2"/>
  <c r="B51" i="2" s="1"/>
  <c r="C50" i="2"/>
  <c r="B50" i="2"/>
  <c r="A50" i="2"/>
  <c r="A49" i="2"/>
  <c r="A48" i="2"/>
  <c r="C48" i="2" s="1"/>
  <c r="A47" i="2"/>
  <c r="C46" i="2"/>
  <c r="B46" i="2"/>
  <c r="A46" i="2"/>
  <c r="A45" i="2"/>
  <c r="A44" i="2"/>
  <c r="C44" i="2" s="1"/>
  <c r="C43" i="2"/>
  <c r="B43" i="2"/>
  <c r="A43" i="2"/>
  <c r="C42" i="2"/>
  <c r="B42" i="2"/>
  <c r="A42" i="2"/>
  <c r="A41" i="2"/>
  <c r="A40" i="2"/>
  <c r="C40" i="2" s="1"/>
  <c r="A39" i="2"/>
  <c r="C39" i="2" s="1"/>
  <c r="C38" i="2"/>
  <c r="B38" i="2"/>
  <c r="A38" i="2"/>
  <c r="A37" i="2"/>
  <c r="A36" i="2"/>
  <c r="C36" i="2" s="1"/>
  <c r="A35" i="2"/>
  <c r="C34" i="2"/>
  <c r="B34" i="2"/>
  <c r="A34" i="2"/>
  <c r="A33" i="2"/>
  <c r="A32" i="2"/>
  <c r="C32" i="2" s="1"/>
  <c r="C31" i="2"/>
  <c r="A31" i="2"/>
  <c r="B31" i="2" s="1"/>
  <c r="C30" i="2"/>
  <c r="B30" i="2"/>
  <c r="A30" i="2"/>
  <c r="A29" i="2"/>
  <c r="A28" i="2"/>
  <c r="C28" i="2" s="1"/>
  <c r="C27" i="2"/>
  <c r="B27" i="2"/>
  <c r="A27" i="2"/>
  <c r="C26" i="2"/>
  <c r="B26" i="2"/>
  <c r="A26" i="2"/>
  <c r="A25" i="2"/>
  <c r="A24" i="2"/>
  <c r="A23" i="2"/>
  <c r="C22" i="2"/>
  <c r="B22" i="2"/>
  <c r="A22" i="2"/>
  <c r="A21" i="2"/>
  <c r="A20" i="2"/>
  <c r="C20" i="2" s="1"/>
  <c r="A19" i="2"/>
  <c r="C19" i="2" s="1"/>
  <c r="C18" i="2"/>
  <c r="B18" i="2"/>
  <c r="A18" i="2"/>
  <c r="A17" i="2"/>
  <c r="A16" i="2"/>
  <c r="B13" i="2"/>
  <c r="B11" i="2"/>
  <c r="B8" i="2"/>
  <c r="E16" i="3" l="1"/>
  <c r="C24" i="2"/>
  <c r="F13" i="3"/>
  <c r="H13" i="3" s="1"/>
  <c r="F10" i="3"/>
  <c r="H10" i="3" s="1"/>
  <c r="F11" i="3"/>
  <c r="H11" i="3" s="1"/>
  <c r="F9" i="3"/>
  <c r="H9" i="3" s="1"/>
  <c r="E19" i="3"/>
  <c r="F8" i="3"/>
  <c r="H8" i="3" s="1"/>
  <c r="F15" i="3"/>
  <c r="H15" i="3" s="1"/>
  <c r="E12" i="7"/>
  <c r="G12" i="7" s="1"/>
  <c r="B19" i="2"/>
  <c r="B39" i="2"/>
  <c r="G19" i="3"/>
  <c r="B9" i="2"/>
  <c r="C33" i="2"/>
  <c r="B33" i="2"/>
  <c r="C53" i="2"/>
  <c r="B53" i="2"/>
  <c r="C21" i="2"/>
  <c r="B21" i="2"/>
  <c r="C41" i="2"/>
  <c r="B41" i="2"/>
  <c r="C47" i="2"/>
  <c r="B47" i="2"/>
  <c r="C29" i="2"/>
  <c r="B29" i="2"/>
  <c r="C35" i="2"/>
  <c r="B35" i="2"/>
  <c r="C49" i="2"/>
  <c r="B49" i="2"/>
  <c r="C16" i="2"/>
  <c r="H17" i="3"/>
  <c r="C17" i="2"/>
  <c r="B17" i="2"/>
  <c r="C23" i="2"/>
  <c r="B23" i="2"/>
  <c r="C37" i="2"/>
  <c r="B37" i="2"/>
  <c r="C45" i="2"/>
  <c r="B45" i="2"/>
  <c r="F7" i="3"/>
  <c r="B7" i="2"/>
  <c r="C16" i="3"/>
  <c r="C19" i="3" s="1"/>
  <c r="B6" i="2"/>
  <c r="B16" i="3"/>
  <c r="F16" i="3" s="1"/>
  <c r="H16" i="3" s="1"/>
  <c r="C25" i="2"/>
  <c r="B25" i="2"/>
  <c r="D19" i="3"/>
  <c r="G44" i="7"/>
  <c r="F44" i="7"/>
  <c r="E44" i="7"/>
  <c r="D44" i="7"/>
  <c r="C44" i="7"/>
  <c r="B44" i="7"/>
  <c r="G34" i="7"/>
  <c r="F34" i="7"/>
  <c r="E34" i="7"/>
  <c r="D34" i="7"/>
  <c r="C34" i="7"/>
  <c r="B34" i="7"/>
  <c r="G39" i="7"/>
  <c r="F39" i="7"/>
  <c r="E39" i="7"/>
  <c r="D39" i="7"/>
  <c r="C39" i="7"/>
  <c r="B39" i="7"/>
  <c r="B16" i="2"/>
  <c r="B20" i="2"/>
  <c r="B24" i="2"/>
  <c r="B28" i="2"/>
  <c r="B32" i="2"/>
  <c r="B36" i="2"/>
  <c r="B40" i="2"/>
  <c r="B44" i="2"/>
  <c r="B48" i="2"/>
  <c r="B52" i="2"/>
  <c r="E5" i="7"/>
  <c r="G5" i="7" s="1"/>
  <c r="G22" i="7"/>
  <c r="F22" i="7"/>
  <c r="E22" i="7"/>
  <c r="D22" i="7"/>
  <c r="C22" i="7"/>
  <c r="B22" i="7"/>
  <c r="G27" i="7"/>
  <c r="F27" i="7"/>
  <c r="E27" i="7"/>
  <c r="D27" i="7"/>
  <c r="C27" i="7"/>
  <c r="B27" i="7"/>
  <c r="G15" i="7"/>
  <c r="F15" i="7"/>
  <c r="E15" i="7"/>
  <c r="D15" i="7"/>
  <c r="C15" i="7"/>
  <c r="G32" i="7"/>
  <c r="F32" i="7"/>
  <c r="E32" i="7"/>
  <c r="D32" i="7"/>
  <c r="C32" i="7"/>
  <c r="B32" i="7"/>
  <c r="D10" i="7"/>
  <c r="C10" i="7"/>
  <c r="B10" i="7"/>
  <c r="B15" i="7"/>
  <c r="G20" i="7"/>
  <c r="F20" i="7"/>
  <c r="E20" i="7"/>
  <c r="D20" i="7"/>
  <c r="C20" i="7"/>
  <c r="B20" i="7"/>
  <c r="F10" i="7"/>
  <c r="E7" i="7"/>
  <c r="G7" i="7" s="1"/>
  <c r="G11" i="7"/>
  <c r="F8" i="7"/>
  <c r="D8" i="7"/>
  <c r="C8" i="7"/>
  <c r="D9" i="7"/>
  <c r="C9" i="7"/>
  <c r="B9" i="7"/>
  <c r="F6" i="7"/>
  <c r="G6" i="7" s="1"/>
  <c r="E13" i="7"/>
  <c r="G13" i="7" s="1"/>
  <c r="F18" i="7"/>
  <c r="E25" i="7"/>
  <c r="F30" i="7"/>
  <c r="E37" i="7"/>
  <c r="F42" i="7"/>
  <c r="F13" i="7"/>
  <c r="B17" i="7"/>
  <c r="F25" i="7"/>
  <c r="B29" i="7"/>
  <c r="F37" i="7"/>
  <c r="B41" i="7"/>
  <c r="G42" i="7"/>
  <c r="C41" i="7"/>
  <c r="E8" i="7" l="1"/>
  <c r="G8" i="7" s="1"/>
  <c r="B10" i="2"/>
  <c r="B12" i="2" s="1"/>
  <c r="E9" i="7"/>
  <c r="G9" i="7" s="1"/>
  <c r="E10" i="7"/>
  <c r="G10" i="7" s="1"/>
  <c r="H7" i="3"/>
  <c r="H19" i="3" s="1"/>
  <c r="F19" i="3"/>
  <c r="B19" i="3"/>
</calcChain>
</file>

<file path=xl/sharedStrings.xml><?xml version="1.0" encoding="utf-8"?>
<sst xmlns="http://schemas.openxmlformats.org/spreadsheetml/2006/main" count="127" uniqueCount="108">
  <si>
    <t>Kafe Hasabat Faýly</t>
  </si>
  <si>
    <t>NÄHILI ULANMALY?</t>
  </si>
  <si>
    <t>1. 'Harytlar' sahypasyna harytlary, satuw bahalaryny, özüne gymmatlaryny we başlangyç ammary giriziň (mysal bahalary çalşyň).</t>
  </si>
  <si>
    <t>2. Her gün 'Satuw' sahypasyna satuwlary giriziň: Sene, Haryt (sanawdan saýlanýar), Sany, Töleg görnüşi (Nagt/Kart). Baha, mukdar we özüne gymmat awtomatiki gelýär.</t>
  </si>
  <si>
    <t xml:space="preserve">   Maslahat: Gün soňunda her haryt üçin şol günüň jemi sanyny bir setirde girizmek ýeterlikdir.</t>
  </si>
  <si>
    <t>3. Kärende, elektrik, işgärler, arassalyk ýaly çykdajylary 'Çykdajylar' sahypasyna ýazyň.</t>
  </si>
  <si>
    <t>4. Üpjünçiden haryt gelende 'Haryt Gelişi' sahypasyna ýazyň.</t>
  </si>
  <si>
    <t>5. 'Ammar Ýagdaýy' sahypasynda galan ammary we sargyt bermeli harytlary görüň (awtomatiki).</t>
  </si>
  <si>
    <t>6. 'Gündelik Hasabat' we 'Aýlyk Jemleme' sahypalary awtomatiki dolýar; ýolbaşçylyga şulary görkezip bilersiňiz.</t>
  </si>
  <si>
    <t>ÖŇ KODLARY</t>
  </si>
  <si>
    <t>Sary öýjük / gök ýazgy = siziň girizýän ýeriňiz.  Ak öýjük / gara ýazgy = formula, üýtgetmäň.</t>
  </si>
  <si>
    <t>DOLANDYRYŞLAR</t>
  </si>
  <si>
    <t>• Haryt bahalary we özüne gymmatlar mysal bahalardyr; hakyky sanlar bilen täzelenmelidir.</t>
  </si>
  <si>
    <t>• Pul birligi TMT (manat) hökmünde goýuldy; başga pul birligi gerek bolsa maňa aýdyň.</t>
  </si>
  <si>
    <t>• Umumy peýda 'Harytlar' sahypasyndaky birligiň özüne gymmaty boýunça hasaplanýar. Haryt satyn almalar 'Çykdajylar'a ýazylmaýar (iki gezek hasaplanmasyn diýip).</t>
  </si>
  <si>
    <t>• Satuw, Çykdajylar we Haryt Gelişi sahypalary degişlilikde 5000 / 1000 / 1000 setire çenli taýýardyr. 6-njy setirler mysaldyr, pozup bilersiňiz.</t>
  </si>
  <si>
    <t>Gündelik Hasabat</t>
  </si>
  <si>
    <t>Sary öýjüge hasabat bermek isleýän gününiziň senesini ýazyň; gün soňy hasabaty awtomatiki döreýär.</t>
  </si>
  <si>
    <t>Hasabat Senesi</t>
  </si>
  <si>
    <t>Jemi Satuw</t>
  </si>
  <si>
    <t xml:space="preserve">   Nagt</t>
  </si>
  <si>
    <t xml:space="preserve">   Kart</t>
  </si>
  <si>
    <t>Satylan Harytlaryň Özüne Gymmaty</t>
  </si>
  <si>
    <t>Umumy Peýda</t>
  </si>
  <si>
    <t>Gündelik Çykdajy</t>
  </si>
  <si>
    <t>Arassa Netije</t>
  </si>
  <si>
    <t>Satuw Setir Sany</t>
  </si>
  <si>
    <t>Haryt</t>
  </si>
  <si>
    <t>Satylan Sany</t>
  </si>
  <si>
    <t>Mukdary (TMT)</t>
  </si>
  <si>
    <t>Aýlyk Jemleme</t>
  </si>
  <si>
    <t>Ýyl öýjügini üýtgedip başga ýylyň hasabatyny görüp bilersiňiz. Ähli bahalar awtomatiki hasaplanýar.</t>
  </si>
  <si>
    <t>Ýyl</t>
  </si>
  <si>
    <t>Aý</t>
  </si>
  <si>
    <t>Jemi Satuw (TMT)</t>
  </si>
  <si>
    <t>Nagt (TMT)</t>
  </si>
  <si>
    <t>Kart (TMT)</t>
  </si>
  <si>
    <t>Satylan Harytlaryň Özüne Gymmaty (TMT)</t>
  </si>
  <si>
    <t>Umumy Peýda (TMT)</t>
  </si>
  <si>
    <t>Çykdajylar (TMT)</t>
  </si>
  <si>
    <t>Arassa Peýda (TMT)</t>
  </si>
  <si>
    <t>Ýanwar</t>
  </si>
  <si>
    <t>Fewral</t>
  </si>
  <si>
    <t>Mart</t>
  </si>
  <si>
    <t>Aprel</t>
  </si>
  <si>
    <t>Maý</t>
  </si>
  <si>
    <t>Iýun</t>
  </si>
  <si>
    <t>Iýul</t>
  </si>
  <si>
    <t>Awgust</t>
  </si>
  <si>
    <t>Sentýabr</t>
  </si>
  <si>
    <t>Oktýabr</t>
  </si>
  <si>
    <t>Noýabr</t>
  </si>
  <si>
    <t>Dekabr</t>
  </si>
  <si>
    <t>JEMI</t>
  </si>
  <si>
    <t>Bellik: Umumy Peýda = Satuw − Satylan Harytlaryň Özüne Gymmaty; Arassa Peýda = Umumy Peýda − Çykdajylar.</t>
  </si>
  <si>
    <t>Satuw Ýazgylary</t>
  </si>
  <si>
    <t>Her satuw üçin sary ýerlere Sene, Haryt, Sany we Töleg görnüşini giriziň. Baha, mukdar we özüne gymmat awtomatiki gelýär.</t>
  </si>
  <si>
    <t>Sene</t>
  </si>
  <si>
    <t>Sany</t>
  </si>
  <si>
    <t>Töleg Görnüşi</t>
  </si>
  <si>
    <t>Birlik Bahasy (TMT)</t>
  </si>
  <si>
    <t>Özüne Gymmaty (TMT)</t>
  </si>
  <si>
    <t>← 6-njy setir MYSALDYR, pozup öz maglumatyňyzy girizip bilersiňiz.</t>
  </si>
  <si>
    <t>Çaý</t>
  </si>
  <si>
    <t>Nagt</t>
  </si>
  <si>
    <t>Çykdajy Ýazgylary</t>
  </si>
  <si>
    <t>Kärende, elektrik, işgärler, arassalyk ýaly işleriň çykdajylary. (Haryt satyn almak bu ýere ýazylmaýar; satylan harytyň özüne gymmaty Satuw sahypasyndan awtomatiki hasaplanýar.)</t>
  </si>
  <si>
    <t>Kategoriýa</t>
  </si>
  <si>
    <t>Düşündiriş</t>
  </si>
  <si>
    <t>← 6-njy setir MYSALDYR, pozup bilersiňiz.</t>
  </si>
  <si>
    <t>Arassalyk/Material</t>
  </si>
  <si>
    <t>Käse, salfetka, ýuwujy serişde</t>
  </si>
  <si>
    <t>Haryt Gelişi (Satyn Alnan Harytlar)</t>
  </si>
  <si>
    <t>Üpjünçiden gelen harytlary şu ýere giriziň. Ammar Ýagdaýy sahypasy awtomatiki täzelenýär.</t>
  </si>
  <si>
    <t>Gelen Sany</t>
  </si>
  <si>
    <t>Alyş Bahasy (TMT)</t>
  </si>
  <si>
    <t>Jemi (TMT)</t>
  </si>
  <si>
    <t>Üpjünçi / Bellik</t>
  </si>
  <si>
    <t>Suw 0,5L</t>
  </si>
  <si>
    <t>Mysal üpjünçi</t>
  </si>
  <si>
    <t>Ammar Ýagdaýy</t>
  </si>
  <si>
    <t>Doly awtomatiki. Galan ammar = Başlangyç + Gelen − Satylan. Iň az mukdara düşen harytlar gyzyl görünýär.</t>
  </si>
  <si>
    <t>Başlangyç Ammar</t>
  </si>
  <si>
    <t>Gelen</t>
  </si>
  <si>
    <t>Satylan</t>
  </si>
  <si>
    <t>Galan Ammar</t>
  </si>
  <si>
    <t>Iň Az Ammar</t>
  </si>
  <si>
    <t>Ýagdaý</t>
  </si>
  <si>
    <t>Haryt Sanawy we Bahalar</t>
  </si>
  <si>
    <t>Sary öýjükler doldurylmaly ýerlerdir. Bahalar we özüne gymmatlar MYSALDYR, öz bahalaryňyz bilen çalşyň.</t>
  </si>
  <si>
    <t>Satuw Bahasy (TMT)</t>
  </si>
  <si>
    <t>Birligiň Özüne Gymmaty (TMT)</t>
  </si>
  <si>
    <t>Birlik Peýda (TMT)</t>
  </si>
  <si>
    <t>Peýda Marjasy</t>
  </si>
  <si>
    <t>Başlangyç Ammar (sany)</t>
  </si>
  <si>
    <t>Iň Az Ammar (sany)</t>
  </si>
  <si>
    <t>Gyzgyn içgi</t>
  </si>
  <si>
    <t>Türk kofesi</t>
  </si>
  <si>
    <t>Filtr kofe</t>
  </si>
  <si>
    <t>Nescafe</t>
  </si>
  <si>
    <t>Sowuk içgi</t>
  </si>
  <si>
    <t>Soda</t>
  </si>
  <si>
    <t>Miwe suwy</t>
  </si>
  <si>
    <t>Peçenye</t>
  </si>
  <si>
    <t>Iýmit</t>
  </si>
  <si>
    <t>Şokolad</t>
  </si>
  <si>
    <t>Bellik: Täze haryt goşmak üçin ilkinji boş sary setire ýazmak ýeterlikdir (iň köp 40 haryt). Çaý/kofe ýaly harytlar üçin ammary 'käse/porsiýa' hasabynda girizse bolýar.</t>
  </si>
  <si>
    <t>Syýahatçylyk Ofisiniň Kafesi – satuw, çykdaýjy we ammar yzarlamasy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</si>
</sst>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&quot; TMT&quot;"/>
    <numFmt numFmtId="166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7F7F7F"/>
      <name val="Arial"/>
      <charset val="1"/>
    </font>
    <font>
      <b/>
      <sz val="11"/>
      <color rgb="FF1F4E78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10"/>
      <color rgb="FFC00000"/>
      <name val="Arial"/>
      <charset val="1"/>
    </font>
    <font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164" fontId="6" fillId="2" borderId="0" xfId="0" applyNumberFormat="1" applyFont="1" applyFill="1"/>
    <xf numFmtId="0" fontId="5" fillId="0" borderId="1" xfId="0" applyFont="1" applyBorder="1"/>
    <xf numFmtId="165" fontId="5" fillId="0" borderId="1" xfId="0" applyNumberFormat="1" applyFont="1" applyBorder="1"/>
    <xf numFmtId="0" fontId="7" fillId="0" borderId="1" xfId="0" applyFont="1" applyBorder="1"/>
    <xf numFmtId="165" fontId="7" fillId="0" borderId="1" xfId="0" applyNumberFormat="1" applyFont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0" fontId="7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9" fillId="0" borderId="0" xfId="0" applyFont="1"/>
    <xf numFmtId="164" fontId="10" fillId="2" borderId="1" xfId="0" applyNumberFormat="1" applyFont="1" applyFill="1" applyBorder="1"/>
    <xf numFmtId="0" fontId="10" fillId="2" borderId="1" xfId="0" applyFont="1" applyFill="1" applyBorder="1"/>
    <xf numFmtId="165" fontId="10" fillId="2" borderId="1" xfId="0" applyNumberFormat="1" applyFont="1" applyFill="1" applyBorder="1"/>
    <xf numFmtId="166" fontId="7" fillId="0" borderId="1" xfId="0" applyNumberFormat="1" applyFont="1" applyBorder="1"/>
  </cellXfs>
  <cellStyles count="1">
    <cellStyle name="Normal" xfId="0" builtinId="0"/>
  </cellStyles>
  <dxfs count="1">
    <dxf>
      <font>
        <b/>
        <color rgb="FF9C0006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Aýlyk Satuw we Çykdajy (TMT)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'Aýlyk Jemleme'!$B$6</c:f>
              <c:strCache>
                <c:ptCount val="1"/>
                <c:pt idx="0">
                  <c:v>Jemi Satuw (TMT)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'Aýlyk Jemleme'!$A$7:$A$18</c:f>
              <c:strCache>
                <c:ptCount val="12"/>
                <c:pt idx="0">
                  <c:v>Ýanwar</c:v>
                </c:pt>
                <c:pt idx="1">
                  <c:v>Fewral</c:v>
                </c:pt>
                <c:pt idx="2">
                  <c:v>Mart</c:v>
                </c:pt>
                <c:pt idx="3">
                  <c:v>Aprel</c:v>
                </c:pt>
                <c:pt idx="4">
                  <c:v>Maý</c:v>
                </c:pt>
                <c:pt idx="5">
                  <c:v>Iýun</c:v>
                </c:pt>
                <c:pt idx="6">
                  <c:v>Iýul</c:v>
                </c:pt>
                <c:pt idx="7">
                  <c:v>Awgust</c:v>
                </c:pt>
                <c:pt idx="8">
                  <c:v>Sentýabr</c:v>
                </c:pt>
                <c:pt idx="9">
                  <c:v>Oktýabr</c:v>
                </c:pt>
                <c:pt idx="10">
                  <c:v>Noýabr</c:v>
                </c:pt>
                <c:pt idx="11">
                  <c:v>Dekabr</c:v>
                </c:pt>
              </c:strCache>
            </c:strRef>
          </c:cat>
          <c:val>
            <c:numRef>
              <c:f>'Aýlyk Jemleme'!$B$7:$B$18</c:f>
              <c:numCache>
                <c:formatCode>#,##0.00" TMT"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1530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E-4F4F-A290-600EF271649F}"/>
            </c:ext>
          </c:extLst>
        </c:ser>
        <c:ser>
          <c:idx val="1"/>
          <c:order val="1"/>
          <c:tx>
            <c:strRef>
              <c:f>'Aýlyk Jemleme'!$G$6</c:f>
              <c:strCache>
                <c:ptCount val="1"/>
                <c:pt idx="0">
                  <c:v>Çykdajylar (TMT)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'Aýlyk Jemleme'!$A$7:$A$18</c:f>
              <c:strCache>
                <c:ptCount val="12"/>
                <c:pt idx="0">
                  <c:v>Ýanwar</c:v>
                </c:pt>
                <c:pt idx="1">
                  <c:v>Fewral</c:v>
                </c:pt>
                <c:pt idx="2">
                  <c:v>Mart</c:v>
                </c:pt>
                <c:pt idx="3">
                  <c:v>Aprel</c:v>
                </c:pt>
                <c:pt idx="4">
                  <c:v>Maý</c:v>
                </c:pt>
                <c:pt idx="5">
                  <c:v>Iýun</c:v>
                </c:pt>
                <c:pt idx="6">
                  <c:v>Iýul</c:v>
                </c:pt>
                <c:pt idx="7">
                  <c:v>Awgust</c:v>
                </c:pt>
                <c:pt idx="8">
                  <c:v>Sentýabr</c:v>
                </c:pt>
                <c:pt idx="9">
                  <c:v>Oktýabr</c:v>
                </c:pt>
                <c:pt idx="10">
                  <c:v>Noýabr</c:v>
                </c:pt>
                <c:pt idx="11">
                  <c:v>Dekabr</c:v>
                </c:pt>
              </c:strCache>
            </c:strRef>
          </c:cat>
          <c:val>
            <c:numRef>
              <c:f>'Aýlyk Jemleme'!$G$7:$G$18</c:f>
              <c:numCache>
                <c:formatCode>#,##0.00" TMT"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E-4F4F-A290-600EF2716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49562"/>
        <c:axId val="61902147"/>
      </c:barChart>
      <c:catAx>
        <c:axId val="881495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902147"/>
        <c:crosses val="autoZero"/>
        <c:auto val="1"/>
        <c:lblAlgn val="ctr"/>
        <c:lblOffset val="100"/>
        <c:noMultiLvlLbl val="0"/>
      </c:catAx>
      <c:valAx>
        <c:axId val="61902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TMT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1495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160560</xdr:rowOff>
    </xdr:from>
    <xdr:to>
      <xdr:col>5</xdr:col>
      <xdr:colOff>291960</xdr:colOff>
      <xdr:row>36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showGridLines="0" zoomScaleNormal="100" workbookViewId="0">
      <selection activeCell="A9" sqref="A9"/>
    </sheetView>
  </sheetViews>
  <sheetFormatPr defaultColWidth="8.6640625" defaultRowHeight="14.4" x14ac:dyDescent="0.3"/>
  <cols>
    <col min="1" max="1" width="130" customWidth="1"/>
  </cols>
  <sheetData>
    <row r="1" spans="1:1" ht="17.399999999999999" x14ac:dyDescent="0.3">
      <c r="A1" s="1" t="s">
        <v>0</v>
      </c>
    </row>
    <row r="2" spans="1:1" x14ac:dyDescent="0.3">
      <c r="A2" s="2" t="s">
        <v>107</v>
      </c>
    </row>
    <row r="4" spans="1:1" x14ac:dyDescent="0.3">
      <c r="A4" s="3" t="s">
        <v>1</v>
      </c>
    </row>
    <row r="5" spans="1:1" x14ac:dyDescent="0.3">
      <c r="A5" s="4" t="s">
        <v>2</v>
      </c>
    </row>
    <row r="6" spans="1:1" ht="26.4" x14ac:dyDescent="0.3">
      <c r="A6" s="4" t="s">
        <v>3</v>
      </c>
    </row>
    <row r="7" spans="1:1" x14ac:dyDescent="0.3">
      <c r="A7" s="4" t="s">
        <v>4</v>
      </c>
    </row>
    <row r="8" spans="1:1" x14ac:dyDescent="0.3">
      <c r="A8" s="4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3" t="s">
        <v>9</v>
      </c>
    </row>
    <row r="14" spans="1:1" x14ac:dyDescent="0.3">
      <c r="A14" s="4" t="s">
        <v>10</v>
      </c>
    </row>
    <row r="15" spans="1:1" x14ac:dyDescent="0.3">
      <c r="A15" s="4"/>
    </row>
    <row r="16" spans="1:1" x14ac:dyDescent="0.3">
      <c r="A16" s="3" t="s">
        <v>11</v>
      </c>
    </row>
    <row r="17" spans="1:1" x14ac:dyDescent="0.3">
      <c r="A17" s="4" t="s">
        <v>12</v>
      </c>
    </row>
    <row r="18" spans="1:1" x14ac:dyDescent="0.3">
      <c r="A18" s="4" t="s">
        <v>13</v>
      </c>
    </row>
    <row r="19" spans="1:1" ht="26.4" x14ac:dyDescent="0.3">
      <c r="A19" s="4" t="s">
        <v>14</v>
      </c>
    </row>
    <row r="20" spans="1:1" x14ac:dyDescent="0.3">
      <c r="A20" s="4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showGridLines="0" zoomScaleNormal="100" workbookViewId="0">
      <selection activeCell="F10" sqref="F10"/>
    </sheetView>
  </sheetViews>
  <sheetFormatPr defaultColWidth="8.6640625" defaultRowHeight="14.4" x14ac:dyDescent="0.3"/>
  <cols>
    <col min="1" max="1" width="36" customWidth="1"/>
    <col min="2" max="3" width="18" customWidth="1"/>
  </cols>
  <sheetData>
    <row r="1" spans="1:3" ht="17.399999999999999" x14ac:dyDescent="0.3">
      <c r="A1" s="1" t="s">
        <v>16</v>
      </c>
    </row>
    <row r="2" spans="1:3" x14ac:dyDescent="0.3">
      <c r="A2" s="2" t="s">
        <v>17</v>
      </c>
    </row>
    <row r="4" spans="1:3" x14ac:dyDescent="0.3">
      <c r="A4" s="5" t="s">
        <v>18</v>
      </c>
      <c r="B4" s="6">
        <v>46302</v>
      </c>
    </row>
    <row r="6" spans="1:3" x14ac:dyDescent="0.3">
      <c r="A6" s="7" t="s">
        <v>19</v>
      </c>
      <c r="B6" s="8">
        <f>SUMIFS(Satuw!$F$6:$F$5005,Satuw!$A$6:$A$5005,$B$4)</f>
        <v>1530</v>
      </c>
    </row>
    <row r="7" spans="1:3" x14ac:dyDescent="0.3">
      <c r="A7" s="9" t="s">
        <v>20</v>
      </c>
      <c r="B7" s="10">
        <f>SUMIFS(Satuw!$F$6:$F$5005,Satuw!$A$6:$A$5005,$B$4,Satuw!$D$6:$D$5005,"Nagt")</f>
        <v>180</v>
      </c>
    </row>
    <row r="8" spans="1:3" x14ac:dyDescent="0.3">
      <c r="A8" s="9" t="s">
        <v>21</v>
      </c>
      <c r="B8" s="10">
        <f>SUMIFS(Satuw!$F$6:$F$5005,Satuw!$A$6:$A$5005,$B$4,Satuw!$D$6:$D$5005,"Kart")</f>
        <v>0</v>
      </c>
    </row>
    <row r="9" spans="1:3" x14ac:dyDescent="0.3">
      <c r="A9" s="7" t="s">
        <v>22</v>
      </c>
      <c r="B9" s="8">
        <f>SUMIFS(Satuw!$G$6:$G$5005,Satuw!$A$6:$A$5005,$B$4)</f>
        <v>723</v>
      </c>
    </row>
    <row r="10" spans="1:3" x14ac:dyDescent="0.3">
      <c r="A10" s="7" t="s">
        <v>23</v>
      </c>
      <c r="B10" s="8">
        <f>B6-B9</f>
        <v>807</v>
      </c>
    </row>
    <row r="11" spans="1:3" x14ac:dyDescent="0.3">
      <c r="A11" s="7" t="s">
        <v>24</v>
      </c>
      <c r="B11" s="8">
        <f>SUMIFS(Çykdajylar!$D$6:$D$1005,Çykdajylar!$A$6:$A$1005,$B$4)</f>
        <v>0</v>
      </c>
    </row>
    <row r="12" spans="1:3" x14ac:dyDescent="0.3">
      <c r="A12" s="11" t="s">
        <v>25</v>
      </c>
      <c r="B12" s="12">
        <f>B10-B11</f>
        <v>807</v>
      </c>
    </row>
    <row r="13" spans="1:3" x14ac:dyDescent="0.3">
      <c r="A13" s="13" t="s">
        <v>26</v>
      </c>
      <c r="B13" s="13">
        <f>COUNTIFS(Satuw!$A$6:$A$5005,$B$4,Satuw!$C$6:$C$5005,"&gt;0")</f>
        <v>2</v>
      </c>
    </row>
    <row r="15" spans="1:3" x14ac:dyDescent="0.3">
      <c r="A15" s="14" t="s">
        <v>27</v>
      </c>
      <c r="B15" s="14" t="s">
        <v>28</v>
      </c>
      <c r="C15" s="14" t="s">
        <v>29</v>
      </c>
    </row>
    <row r="16" spans="1:3" x14ac:dyDescent="0.3">
      <c r="A16" s="9" t="str">
        <f>IF(Harytlar!A5="","",Harytlar!A5)</f>
        <v>Çaý</v>
      </c>
      <c r="B16" s="9">
        <f>IF(A16="","",SUMIFS(Satuw!$C$6:$C$5005,Satuw!$B$6:$B$5005,A16,Satuw!$A$6:$A$5005,$B$4))</f>
        <v>12</v>
      </c>
      <c r="C16" s="10">
        <f>IF(A16="","",SUMIFS(Satuw!$F$6:$F$5005,Satuw!$B$6:$B$5005,A16,Satuw!$A$6:$A$5005,$B$4))</f>
        <v>180</v>
      </c>
    </row>
    <row r="17" spans="1:3" x14ac:dyDescent="0.3">
      <c r="A17" s="9" t="str">
        <f>IF(Harytlar!A6="","",Harytlar!A6)</f>
        <v>Türk kofesi</v>
      </c>
      <c r="B17" s="9">
        <f>IF(A17="","",SUMIFS(Satuw!$C$6:$C$5005,Satuw!$B$6:$B$5005,A17,Satuw!$A$6:$A$5005,$B$4))</f>
        <v>0</v>
      </c>
      <c r="C17" s="10">
        <f>IF(A17="","",SUMIFS(Satuw!$F$6:$F$5005,Satuw!$B$6:$B$5005,A17,Satuw!$A$6:$A$5005,$B$4))</f>
        <v>0</v>
      </c>
    </row>
    <row r="18" spans="1:3" x14ac:dyDescent="0.3">
      <c r="A18" s="9" t="str">
        <f>IF(Harytlar!A7="","",Harytlar!A7)</f>
        <v>Filtr kofe</v>
      </c>
      <c r="B18" s="9">
        <f>IF(A18="","",SUMIFS(Satuw!$C$6:$C$5005,Satuw!$B$6:$B$5005,A18,Satuw!$A$6:$A$5005,$B$4))</f>
        <v>0</v>
      </c>
      <c r="C18" s="10">
        <f>IF(A18="","",SUMIFS(Satuw!$F$6:$F$5005,Satuw!$B$6:$B$5005,A18,Satuw!$A$6:$A$5005,$B$4))</f>
        <v>0</v>
      </c>
    </row>
    <row r="19" spans="1:3" x14ac:dyDescent="0.3">
      <c r="A19" s="9" t="str">
        <f>IF(Harytlar!A8="","",Harytlar!A8)</f>
        <v>Nescafe</v>
      </c>
      <c r="B19" s="9">
        <f>IF(A19="","",SUMIFS(Satuw!$C$6:$C$5005,Satuw!$B$6:$B$5005,A19,Satuw!$A$6:$A$5005,$B$4))</f>
        <v>0</v>
      </c>
      <c r="C19" s="10">
        <f>IF(A19="","",SUMIFS(Satuw!$F$6:$F$5005,Satuw!$B$6:$B$5005,A19,Satuw!$A$6:$A$5005,$B$4))</f>
        <v>0</v>
      </c>
    </row>
    <row r="20" spans="1:3" x14ac:dyDescent="0.3">
      <c r="A20" s="9" t="str">
        <f>IF(Harytlar!A9="","",Harytlar!A9)</f>
        <v>Suw 0,5L</v>
      </c>
      <c r="B20" s="9">
        <f>IF(A20="","",SUMIFS(Satuw!$C$6:$C$5005,Satuw!$B$6:$B$5005,A20,Satuw!$A$6:$A$5005,$B$4))</f>
        <v>0</v>
      </c>
      <c r="C20" s="10">
        <f>IF(A20="","",SUMIFS(Satuw!$F$6:$F$5005,Satuw!$B$6:$B$5005,A20,Satuw!$A$6:$A$5005,$B$4))</f>
        <v>0</v>
      </c>
    </row>
    <row r="21" spans="1:3" x14ac:dyDescent="0.3">
      <c r="A21" s="9" t="str">
        <f>IF(Harytlar!A10="","",Harytlar!A10)</f>
        <v>Soda</v>
      </c>
      <c r="B21" s="9">
        <f>IF(A21="","",SUMIFS(Satuw!$C$6:$C$5005,Satuw!$B$6:$B$5005,A21,Satuw!$A$6:$A$5005,$B$4))</f>
        <v>0</v>
      </c>
      <c r="C21" s="10">
        <f>IF(A21="","",SUMIFS(Satuw!$F$6:$F$5005,Satuw!$B$6:$B$5005,A21,Satuw!$A$6:$A$5005,$B$4))</f>
        <v>0</v>
      </c>
    </row>
    <row r="22" spans="1:3" x14ac:dyDescent="0.3">
      <c r="A22" s="9" t="str">
        <f>IF(Harytlar!A11="","",Harytlar!A11)</f>
        <v>Miwe suwy</v>
      </c>
      <c r="B22" s="9">
        <f>IF(A22="","",SUMIFS(Satuw!$C$6:$C$5005,Satuw!$B$6:$B$5005,A22,Satuw!$A$6:$A$5005,$B$4))</f>
        <v>0</v>
      </c>
      <c r="C22" s="10">
        <f>IF(A22="","",SUMIFS(Satuw!$F$6:$F$5005,Satuw!$B$6:$B$5005,A22,Satuw!$A$6:$A$5005,$B$4))</f>
        <v>0</v>
      </c>
    </row>
    <row r="23" spans="1:3" x14ac:dyDescent="0.3">
      <c r="A23" s="9" t="str">
        <f>IF(Harytlar!A12="","",Harytlar!A12)</f>
        <v>Peçenye</v>
      </c>
      <c r="B23" s="9">
        <f>IF(A23="","",SUMIFS(Satuw!$C$6:$C$5005,Satuw!$B$6:$B$5005,A23,Satuw!$A$6:$A$5005,$B$4))</f>
        <v>0</v>
      </c>
      <c r="C23" s="10">
        <f>IF(A23="","",SUMIFS(Satuw!$F$6:$F$5005,Satuw!$B$6:$B$5005,A23,Satuw!$A$6:$A$5005,$B$4))</f>
        <v>0</v>
      </c>
    </row>
    <row r="24" spans="1:3" x14ac:dyDescent="0.3">
      <c r="A24" s="9" t="str">
        <f>IF(Harytlar!A13="","",Harytlar!A13)</f>
        <v>Şokolad</v>
      </c>
      <c r="B24" s="9">
        <f>IF(A24="","",SUMIFS(Satuw!$C$6:$C$5005,Satuw!$B$6:$B$5005,A24,Satuw!$A$6:$A$5005,$B$4))</f>
        <v>45</v>
      </c>
      <c r="C24" s="10">
        <f>IF(A24="","",SUMIFS(Satuw!$F$6:$F$5005,Satuw!$B$6:$B$5005,A24,Satuw!$A$6:$A$5005,$B$4))</f>
        <v>1350</v>
      </c>
    </row>
    <row r="25" spans="1:3" x14ac:dyDescent="0.3">
      <c r="A25" s="9" t="str">
        <f>IF(Harytlar!A14="","",Harytlar!A14)</f>
        <v/>
      </c>
      <c r="B25" s="9" t="str">
        <f>IF(A25="","",SUMIFS(Satuw!$C$6:$C$5005,Satuw!$B$6:$B$5005,A25,Satuw!$A$6:$A$5005,$B$4))</f>
        <v/>
      </c>
      <c r="C25" s="10" t="str">
        <f>IF(A25="","",SUMIFS(Satuw!$F$6:$F$5005,Satuw!$B$6:$B$5005,A25,Satuw!$A$6:$A$5005,$B$4))</f>
        <v/>
      </c>
    </row>
    <row r="26" spans="1:3" x14ac:dyDescent="0.3">
      <c r="A26" s="9" t="str">
        <f>IF(Harytlar!A15="","",Harytlar!A15)</f>
        <v/>
      </c>
      <c r="B26" s="9" t="str">
        <f>IF(A26="","",SUMIFS(Satuw!$C$6:$C$5005,Satuw!$B$6:$B$5005,A26,Satuw!$A$6:$A$5005,$B$4))</f>
        <v/>
      </c>
      <c r="C26" s="10" t="str">
        <f>IF(A26="","",SUMIFS(Satuw!$F$6:$F$5005,Satuw!$B$6:$B$5005,A26,Satuw!$A$6:$A$5005,$B$4))</f>
        <v/>
      </c>
    </row>
    <row r="27" spans="1:3" x14ac:dyDescent="0.3">
      <c r="A27" s="9" t="str">
        <f>IF(Harytlar!A16="","",Harytlar!A16)</f>
        <v/>
      </c>
      <c r="B27" s="9" t="str">
        <f>IF(A27="","",SUMIFS(Satuw!$C$6:$C$5005,Satuw!$B$6:$B$5005,A27,Satuw!$A$6:$A$5005,$B$4))</f>
        <v/>
      </c>
      <c r="C27" s="10" t="str">
        <f>IF(A27="","",SUMIFS(Satuw!$F$6:$F$5005,Satuw!$B$6:$B$5005,A27,Satuw!$A$6:$A$5005,$B$4))</f>
        <v/>
      </c>
    </row>
    <row r="28" spans="1:3" x14ac:dyDescent="0.3">
      <c r="A28" s="9" t="str">
        <f>IF(Harytlar!A17="","",Harytlar!A17)</f>
        <v/>
      </c>
      <c r="B28" s="9" t="str">
        <f>IF(A28="","",SUMIFS(Satuw!$C$6:$C$5005,Satuw!$B$6:$B$5005,A28,Satuw!$A$6:$A$5005,$B$4))</f>
        <v/>
      </c>
      <c r="C28" s="10" t="str">
        <f>IF(A28="","",SUMIFS(Satuw!$F$6:$F$5005,Satuw!$B$6:$B$5005,A28,Satuw!$A$6:$A$5005,$B$4))</f>
        <v/>
      </c>
    </row>
    <row r="29" spans="1:3" x14ac:dyDescent="0.3">
      <c r="A29" s="9" t="str">
        <f>IF(Harytlar!A18="","",Harytlar!A18)</f>
        <v/>
      </c>
      <c r="B29" s="9" t="str">
        <f>IF(A29="","",SUMIFS(Satuw!$C$6:$C$5005,Satuw!$B$6:$B$5005,A29,Satuw!$A$6:$A$5005,$B$4))</f>
        <v/>
      </c>
      <c r="C29" s="10" t="str">
        <f>IF(A29="","",SUMIFS(Satuw!$F$6:$F$5005,Satuw!$B$6:$B$5005,A29,Satuw!$A$6:$A$5005,$B$4))</f>
        <v/>
      </c>
    </row>
    <row r="30" spans="1:3" x14ac:dyDescent="0.3">
      <c r="A30" s="9" t="str">
        <f>IF(Harytlar!A19="","",Harytlar!A19)</f>
        <v/>
      </c>
      <c r="B30" s="9" t="str">
        <f>IF(A30="","",SUMIFS(Satuw!$C$6:$C$5005,Satuw!$B$6:$B$5005,A30,Satuw!$A$6:$A$5005,$B$4))</f>
        <v/>
      </c>
      <c r="C30" s="10" t="str">
        <f>IF(A30="","",SUMIFS(Satuw!$F$6:$F$5005,Satuw!$B$6:$B$5005,A30,Satuw!$A$6:$A$5005,$B$4))</f>
        <v/>
      </c>
    </row>
    <row r="31" spans="1:3" x14ac:dyDescent="0.3">
      <c r="A31" s="9" t="str">
        <f>IF(Harytlar!A20="","",Harytlar!A20)</f>
        <v/>
      </c>
      <c r="B31" s="9" t="str">
        <f>IF(A31="","",SUMIFS(Satuw!$C$6:$C$5005,Satuw!$B$6:$B$5005,A31,Satuw!$A$6:$A$5005,$B$4))</f>
        <v/>
      </c>
      <c r="C31" s="10" t="str">
        <f>IF(A31="","",SUMIFS(Satuw!$F$6:$F$5005,Satuw!$B$6:$B$5005,A31,Satuw!$A$6:$A$5005,$B$4))</f>
        <v/>
      </c>
    </row>
    <row r="32" spans="1:3" x14ac:dyDescent="0.3">
      <c r="A32" s="9" t="str">
        <f>IF(Harytlar!A21="","",Harytlar!A21)</f>
        <v/>
      </c>
      <c r="B32" s="9" t="str">
        <f>IF(A32="","",SUMIFS(Satuw!$C$6:$C$5005,Satuw!$B$6:$B$5005,A32,Satuw!$A$6:$A$5005,$B$4))</f>
        <v/>
      </c>
      <c r="C32" s="10" t="str">
        <f>IF(A32="","",SUMIFS(Satuw!$F$6:$F$5005,Satuw!$B$6:$B$5005,A32,Satuw!$A$6:$A$5005,$B$4))</f>
        <v/>
      </c>
    </row>
    <row r="33" spans="1:3" x14ac:dyDescent="0.3">
      <c r="A33" s="9" t="str">
        <f>IF(Harytlar!A22="","",Harytlar!A22)</f>
        <v/>
      </c>
      <c r="B33" s="9" t="str">
        <f>IF(A33="","",SUMIFS(Satuw!$C$6:$C$5005,Satuw!$B$6:$B$5005,A33,Satuw!$A$6:$A$5005,$B$4))</f>
        <v/>
      </c>
      <c r="C33" s="10" t="str">
        <f>IF(A33="","",SUMIFS(Satuw!$F$6:$F$5005,Satuw!$B$6:$B$5005,A33,Satuw!$A$6:$A$5005,$B$4))</f>
        <v/>
      </c>
    </row>
    <row r="34" spans="1:3" x14ac:dyDescent="0.3">
      <c r="A34" s="9" t="str">
        <f>IF(Harytlar!A23="","",Harytlar!A23)</f>
        <v/>
      </c>
      <c r="B34" s="9" t="str">
        <f>IF(A34="","",SUMIFS(Satuw!$C$6:$C$5005,Satuw!$B$6:$B$5005,A34,Satuw!$A$6:$A$5005,$B$4))</f>
        <v/>
      </c>
      <c r="C34" s="10" t="str">
        <f>IF(A34="","",SUMIFS(Satuw!$F$6:$F$5005,Satuw!$B$6:$B$5005,A34,Satuw!$A$6:$A$5005,$B$4))</f>
        <v/>
      </c>
    </row>
    <row r="35" spans="1:3" x14ac:dyDescent="0.3">
      <c r="A35" s="9" t="str">
        <f>IF(Harytlar!A24="","",Harytlar!A24)</f>
        <v/>
      </c>
      <c r="B35" s="9" t="str">
        <f>IF(A35="","",SUMIFS(Satuw!$C$6:$C$5005,Satuw!$B$6:$B$5005,A35,Satuw!$A$6:$A$5005,$B$4))</f>
        <v/>
      </c>
      <c r="C35" s="10" t="str">
        <f>IF(A35="","",SUMIFS(Satuw!$F$6:$F$5005,Satuw!$B$6:$B$5005,A35,Satuw!$A$6:$A$5005,$B$4))</f>
        <v/>
      </c>
    </row>
    <row r="36" spans="1:3" x14ac:dyDescent="0.3">
      <c r="A36" s="9" t="str">
        <f>IF(Harytlar!A25="","",Harytlar!A25)</f>
        <v/>
      </c>
      <c r="B36" s="9" t="str">
        <f>IF(A36="","",SUMIFS(Satuw!$C$6:$C$5005,Satuw!$B$6:$B$5005,A36,Satuw!$A$6:$A$5005,$B$4))</f>
        <v/>
      </c>
      <c r="C36" s="10" t="str">
        <f>IF(A36="","",SUMIFS(Satuw!$F$6:$F$5005,Satuw!$B$6:$B$5005,A36,Satuw!$A$6:$A$5005,$B$4))</f>
        <v/>
      </c>
    </row>
    <row r="37" spans="1:3" x14ac:dyDescent="0.3">
      <c r="A37" s="9" t="str">
        <f>IF(Harytlar!A26="","",Harytlar!A26)</f>
        <v/>
      </c>
      <c r="B37" s="9" t="str">
        <f>IF(A37="","",SUMIFS(Satuw!$C$6:$C$5005,Satuw!$B$6:$B$5005,A37,Satuw!$A$6:$A$5005,$B$4))</f>
        <v/>
      </c>
      <c r="C37" s="10" t="str">
        <f>IF(A37="","",SUMIFS(Satuw!$F$6:$F$5005,Satuw!$B$6:$B$5005,A37,Satuw!$A$6:$A$5005,$B$4))</f>
        <v/>
      </c>
    </row>
    <row r="38" spans="1:3" x14ac:dyDescent="0.3">
      <c r="A38" s="9" t="str">
        <f>IF(Harytlar!A27="","",Harytlar!A27)</f>
        <v/>
      </c>
      <c r="B38" s="9" t="str">
        <f>IF(A38="","",SUMIFS(Satuw!$C$6:$C$5005,Satuw!$B$6:$B$5005,A38,Satuw!$A$6:$A$5005,$B$4))</f>
        <v/>
      </c>
      <c r="C38" s="10" t="str">
        <f>IF(A38="","",SUMIFS(Satuw!$F$6:$F$5005,Satuw!$B$6:$B$5005,A38,Satuw!$A$6:$A$5005,$B$4))</f>
        <v/>
      </c>
    </row>
    <row r="39" spans="1:3" x14ac:dyDescent="0.3">
      <c r="A39" s="9" t="str">
        <f>IF(Harytlar!A28="","",Harytlar!A28)</f>
        <v/>
      </c>
      <c r="B39" s="9" t="str">
        <f>IF(A39="","",SUMIFS(Satuw!$C$6:$C$5005,Satuw!$B$6:$B$5005,A39,Satuw!$A$6:$A$5005,$B$4))</f>
        <v/>
      </c>
      <c r="C39" s="10" t="str">
        <f>IF(A39="","",SUMIFS(Satuw!$F$6:$F$5005,Satuw!$B$6:$B$5005,A39,Satuw!$A$6:$A$5005,$B$4))</f>
        <v/>
      </c>
    </row>
    <row r="40" spans="1:3" x14ac:dyDescent="0.3">
      <c r="A40" s="9" t="str">
        <f>IF(Harytlar!A29="","",Harytlar!A29)</f>
        <v/>
      </c>
      <c r="B40" s="9" t="str">
        <f>IF(A40="","",SUMIFS(Satuw!$C$6:$C$5005,Satuw!$B$6:$B$5005,A40,Satuw!$A$6:$A$5005,$B$4))</f>
        <v/>
      </c>
      <c r="C40" s="10" t="str">
        <f>IF(A40="","",SUMIFS(Satuw!$F$6:$F$5005,Satuw!$B$6:$B$5005,A40,Satuw!$A$6:$A$5005,$B$4))</f>
        <v/>
      </c>
    </row>
    <row r="41" spans="1:3" x14ac:dyDescent="0.3">
      <c r="A41" s="9" t="str">
        <f>IF(Harytlar!A30="","",Harytlar!A30)</f>
        <v/>
      </c>
      <c r="B41" s="9" t="str">
        <f>IF(A41="","",SUMIFS(Satuw!$C$6:$C$5005,Satuw!$B$6:$B$5005,A41,Satuw!$A$6:$A$5005,$B$4))</f>
        <v/>
      </c>
      <c r="C41" s="10" t="str">
        <f>IF(A41="","",SUMIFS(Satuw!$F$6:$F$5005,Satuw!$B$6:$B$5005,A41,Satuw!$A$6:$A$5005,$B$4))</f>
        <v/>
      </c>
    </row>
    <row r="42" spans="1:3" x14ac:dyDescent="0.3">
      <c r="A42" s="9" t="str">
        <f>IF(Harytlar!A31="","",Harytlar!A31)</f>
        <v/>
      </c>
      <c r="B42" s="9" t="str">
        <f>IF(A42="","",SUMIFS(Satuw!$C$6:$C$5005,Satuw!$B$6:$B$5005,A42,Satuw!$A$6:$A$5005,$B$4))</f>
        <v/>
      </c>
      <c r="C42" s="10" t="str">
        <f>IF(A42="","",SUMIFS(Satuw!$F$6:$F$5005,Satuw!$B$6:$B$5005,A42,Satuw!$A$6:$A$5005,$B$4))</f>
        <v/>
      </c>
    </row>
    <row r="43" spans="1:3" x14ac:dyDescent="0.3">
      <c r="A43" s="9" t="str">
        <f>IF(Harytlar!A32="","",Harytlar!A32)</f>
        <v/>
      </c>
      <c r="B43" s="9" t="str">
        <f>IF(A43="","",SUMIFS(Satuw!$C$6:$C$5005,Satuw!$B$6:$B$5005,A43,Satuw!$A$6:$A$5005,$B$4))</f>
        <v/>
      </c>
      <c r="C43" s="10" t="str">
        <f>IF(A43="","",SUMIFS(Satuw!$F$6:$F$5005,Satuw!$B$6:$B$5005,A43,Satuw!$A$6:$A$5005,$B$4))</f>
        <v/>
      </c>
    </row>
    <row r="44" spans="1:3" x14ac:dyDescent="0.3">
      <c r="A44" s="9" t="str">
        <f>IF(Harytlar!A33="","",Harytlar!A33)</f>
        <v/>
      </c>
      <c r="B44" s="9" t="str">
        <f>IF(A44="","",SUMIFS(Satuw!$C$6:$C$5005,Satuw!$B$6:$B$5005,A44,Satuw!$A$6:$A$5005,$B$4))</f>
        <v/>
      </c>
      <c r="C44" s="10" t="str">
        <f>IF(A44="","",SUMIFS(Satuw!$F$6:$F$5005,Satuw!$B$6:$B$5005,A44,Satuw!$A$6:$A$5005,$B$4))</f>
        <v/>
      </c>
    </row>
    <row r="45" spans="1:3" x14ac:dyDescent="0.3">
      <c r="A45" s="9" t="str">
        <f>IF(Harytlar!A34="","",Harytlar!A34)</f>
        <v/>
      </c>
      <c r="B45" s="9" t="str">
        <f>IF(A45="","",SUMIFS(Satuw!$C$6:$C$5005,Satuw!$B$6:$B$5005,A45,Satuw!$A$6:$A$5005,$B$4))</f>
        <v/>
      </c>
      <c r="C45" s="10" t="str">
        <f>IF(A45="","",SUMIFS(Satuw!$F$6:$F$5005,Satuw!$B$6:$B$5005,A45,Satuw!$A$6:$A$5005,$B$4))</f>
        <v/>
      </c>
    </row>
    <row r="46" spans="1:3" x14ac:dyDescent="0.3">
      <c r="A46" s="9" t="str">
        <f>IF(Harytlar!A35="","",Harytlar!A35)</f>
        <v/>
      </c>
      <c r="B46" s="9" t="str">
        <f>IF(A46="","",SUMIFS(Satuw!$C$6:$C$5005,Satuw!$B$6:$B$5005,A46,Satuw!$A$6:$A$5005,$B$4))</f>
        <v/>
      </c>
      <c r="C46" s="10" t="str">
        <f>IF(A46="","",SUMIFS(Satuw!$F$6:$F$5005,Satuw!$B$6:$B$5005,A46,Satuw!$A$6:$A$5005,$B$4))</f>
        <v/>
      </c>
    </row>
    <row r="47" spans="1:3" x14ac:dyDescent="0.3">
      <c r="A47" s="9" t="str">
        <f>IF(Harytlar!A36="","",Harytlar!A36)</f>
        <v/>
      </c>
      <c r="B47" s="9" t="str">
        <f>IF(A47="","",SUMIFS(Satuw!$C$6:$C$5005,Satuw!$B$6:$B$5005,A47,Satuw!$A$6:$A$5005,$B$4))</f>
        <v/>
      </c>
      <c r="C47" s="10" t="str">
        <f>IF(A47="","",SUMIFS(Satuw!$F$6:$F$5005,Satuw!$B$6:$B$5005,A47,Satuw!$A$6:$A$5005,$B$4))</f>
        <v/>
      </c>
    </row>
    <row r="48" spans="1:3" x14ac:dyDescent="0.3">
      <c r="A48" s="9" t="str">
        <f>IF(Harytlar!A37="","",Harytlar!A37)</f>
        <v/>
      </c>
      <c r="B48" s="9" t="str">
        <f>IF(A48="","",SUMIFS(Satuw!$C$6:$C$5005,Satuw!$B$6:$B$5005,A48,Satuw!$A$6:$A$5005,$B$4))</f>
        <v/>
      </c>
      <c r="C48" s="10" t="str">
        <f>IF(A48="","",SUMIFS(Satuw!$F$6:$F$5005,Satuw!$B$6:$B$5005,A48,Satuw!$A$6:$A$5005,$B$4))</f>
        <v/>
      </c>
    </row>
    <row r="49" spans="1:3" x14ac:dyDescent="0.3">
      <c r="A49" s="9" t="str">
        <f>IF(Harytlar!A38="","",Harytlar!A38)</f>
        <v/>
      </c>
      <c r="B49" s="9" t="str">
        <f>IF(A49="","",SUMIFS(Satuw!$C$6:$C$5005,Satuw!$B$6:$B$5005,A49,Satuw!$A$6:$A$5005,$B$4))</f>
        <v/>
      </c>
      <c r="C49" s="10" t="str">
        <f>IF(A49="","",SUMIFS(Satuw!$F$6:$F$5005,Satuw!$B$6:$B$5005,A49,Satuw!$A$6:$A$5005,$B$4))</f>
        <v/>
      </c>
    </row>
    <row r="50" spans="1:3" x14ac:dyDescent="0.3">
      <c r="A50" s="9" t="str">
        <f>IF(Harytlar!A39="","",Harytlar!A39)</f>
        <v/>
      </c>
      <c r="B50" s="9" t="str">
        <f>IF(A50="","",SUMIFS(Satuw!$C$6:$C$5005,Satuw!$B$6:$B$5005,A50,Satuw!$A$6:$A$5005,$B$4))</f>
        <v/>
      </c>
      <c r="C50" s="10" t="str">
        <f>IF(A50="","",SUMIFS(Satuw!$F$6:$F$5005,Satuw!$B$6:$B$5005,A50,Satuw!$A$6:$A$5005,$B$4))</f>
        <v/>
      </c>
    </row>
    <row r="51" spans="1:3" x14ac:dyDescent="0.3">
      <c r="A51" s="9" t="str">
        <f>IF(Harytlar!A40="","",Harytlar!A40)</f>
        <v/>
      </c>
      <c r="B51" s="9" t="str">
        <f>IF(A51="","",SUMIFS(Satuw!$C$6:$C$5005,Satuw!$B$6:$B$5005,A51,Satuw!$A$6:$A$5005,$B$4))</f>
        <v/>
      </c>
      <c r="C51" s="10" t="str">
        <f>IF(A51="","",SUMIFS(Satuw!$F$6:$F$5005,Satuw!$B$6:$B$5005,A51,Satuw!$A$6:$A$5005,$B$4))</f>
        <v/>
      </c>
    </row>
    <row r="52" spans="1:3" x14ac:dyDescent="0.3">
      <c r="A52" s="9" t="str">
        <f>IF(Harytlar!A41="","",Harytlar!A41)</f>
        <v/>
      </c>
      <c r="B52" s="9" t="str">
        <f>IF(A52="","",SUMIFS(Satuw!$C$6:$C$5005,Satuw!$B$6:$B$5005,A52,Satuw!$A$6:$A$5005,$B$4))</f>
        <v/>
      </c>
      <c r="C52" s="10" t="str">
        <f>IF(A52="","",SUMIFS(Satuw!$F$6:$F$5005,Satuw!$B$6:$B$5005,A52,Satuw!$A$6:$A$5005,$B$4))</f>
        <v/>
      </c>
    </row>
    <row r="53" spans="1:3" x14ac:dyDescent="0.3">
      <c r="A53" s="9" t="str">
        <f>IF(Harytlar!A42="","",Harytlar!A42)</f>
        <v/>
      </c>
      <c r="B53" s="9" t="str">
        <f>IF(A53="","",SUMIFS(Satuw!$C$6:$C$5005,Satuw!$B$6:$B$5005,A53,Satuw!$A$6:$A$5005,$B$4))</f>
        <v/>
      </c>
      <c r="C53" s="10" t="str">
        <f>IF(A53="","",SUMIFS(Satuw!$F$6:$F$5005,Satuw!$B$6:$B$5005,A53,Satuw!$A$6:$A$5005,$B$4))</f>
        <v/>
      </c>
    </row>
    <row r="54" spans="1:3" x14ac:dyDescent="0.3">
      <c r="A54" s="9" t="str">
        <f>IF(Harytlar!A43="","",Harytlar!A43)</f>
        <v/>
      </c>
      <c r="B54" s="9" t="str">
        <f>IF(A54="","",SUMIFS(Satuw!$C$6:$C$5005,Satuw!$B$6:$B$5005,A54,Satuw!$A$6:$A$5005,$B$4))</f>
        <v/>
      </c>
      <c r="C54" s="10" t="str">
        <f>IF(A54="","",SUMIFS(Satuw!$F$6:$F$5005,Satuw!$B$6:$B$5005,A54,Satuw!$A$6:$A$5005,$B$4))</f>
        <v/>
      </c>
    </row>
    <row r="55" spans="1:3" x14ac:dyDescent="0.3">
      <c r="A55" s="9" t="str">
        <f>IF(Harytlar!A44="","",Harytlar!A44)</f>
        <v/>
      </c>
      <c r="B55" s="9" t="str">
        <f>IF(A55="","",SUMIFS(Satuw!$C$6:$C$5005,Satuw!$B$6:$B$5005,A55,Satuw!$A$6:$A$5005,$B$4))</f>
        <v/>
      </c>
      <c r="C55" s="10" t="str">
        <f>IF(A55="","",SUMIFS(Satuw!$F$6:$F$5005,Satuw!$B$6:$B$5005,A55,Satuw!$A$6:$A$5005,$B$4))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showGridLines="0" zoomScaleNormal="100" workbookViewId="0">
      <selection activeCell="G30" sqref="G30"/>
    </sheetView>
  </sheetViews>
  <sheetFormatPr defaultColWidth="8.6640625" defaultRowHeight="14.4" x14ac:dyDescent="0.3"/>
  <cols>
    <col min="1" max="1" width="14" customWidth="1"/>
    <col min="2" max="2" width="20" customWidth="1"/>
    <col min="3" max="4" width="18" customWidth="1"/>
    <col min="5" max="5" width="28" customWidth="1"/>
    <col min="6" max="8" width="20" customWidth="1"/>
  </cols>
  <sheetData>
    <row r="1" spans="1:8" ht="17.399999999999999" x14ac:dyDescent="0.3">
      <c r="A1" s="1" t="s">
        <v>30</v>
      </c>
    </row>
    <row r="2" spans="1:8" x14ac:dyDescent="0.3">
      <c r="A2" s="2" t="s">
        <v>31</v>
      </c>
    </row>
    <row r="4" spans="1:8" x14ac:dyDescent="0.3">
      <c r="A4" s="5" t="s">
        <v>32</v>
      </c>
      <c r="B4" s="15">
        <v>2026</v>
      </c>
    </row>
    <row r="6" spans="1:8" ht="45" customHeight="1" x14ac:dyDescent="0.3">
      <c r="A6" s="14" t="s">
        <v>33</v>
      </c>
      <c r="B6" s="14" t="s">
        <v>34</v>
      </c>
      <c r="C6" s="14" t="s">
        <v>35</v>
      </c>
      <c r="D6" s="14" t="s">
        <v>36</v>
      </c>
      <c r="E6" s="14" t="s">
        <v>37</v>
      </c>
      <c r="F6" s="14" t="s">
        <v>38</v>
      </c>
      <c r="G6" s="14" t="s">
        <v>39</v>
      </c>
      <c r="H6" s="14" t="s">
        <v>40</v>
      </c>
    </row>
    <row r="7" spans="1:8" x14ac:dyDescent="0.3">
      <c r="A7" s="9" t="s">
        <v>41</v>
      </c>
      <c r="B7" s="10">
        <f>SUMIFS(Satuw!$F$6:$F$5005,Satuw!$A$6:$A$5005,"&gt;="&amp;DATE($B$4,1,1),Satuw!$A$6:$A$5005,"&lt;"&amp;DATE($B$4,2,1))</f>
        <v>0</v>
      </c>
      <c r="C7" s="10">
        <f>SUMIFS(Satuw!$F$6:$F$5005,Satuw!$A$6:$A$5005,"&gt;="&amp;DATE($B$4,1,1),Satuw!$A$6:$A$5005,"&lt;"&amp;DATE($B$4,2,1),Satuw!$D$6:$D$5005,"Nagt")</f>
        <v>0</v>
      </c>
      <c r="D7" s="10">
        <f>SUMIFS(Satuw!$F$6:$F$5005,Satuw!$A$6:$A$5005,"&gt;="&amp;DATE($B$4,1,1),Satuw!$A$6:$A$5005,"&lt;"&amp;DATE($B$4,2,1),Satuw!$D$6:$D$5005,"Kart")</f>
        <v>0</v>
      </c>
      <c r="E7" s="10">
        <f>SUMIFS(Satuw!$G$6:$G$5005,Satuw!$A$6:$A$5005,"&gt;="&amp;DATE($B$4,1,1),Satuw!$A$6:$A$5005,"&lt;"&amp;DATE($B$4,2,1))</f>
        <v>0</v>
      </c>
      <c r="F7" s="10">
        <f t="shared" ref="F7:F18" si="0">B7-E7</f>
        <v>0</v>
      </c>
      <c r="G7" s="10">
        <f>SUMIFS(Çykdajylar!$D$6:$D$1005,Çykdajylar!$A$6:$A$1005,"&gt;="&amp;DATE($B$4,1,1),Çykdajylar!$A$6:$A$1005,"&lt;"&amp;DATE($B$4,2,1))</f>
        <v>0</v>
      </c>
      <c r="H7" s="10">
        <f t="shared" ref="H7:H18" si="1">F7-G7</f>
        <v>0</v>
      </c>
    </row>
    <row r="8" spans="1:8" x14ac:dyDescent="0.3">
      <c r="A8" s="9" t="s">
        <v>42</v>
      </c>
      <c r="B8" s="10">
        <f>SUMIFS(Satuw!$F$6:$F$5005,Satuw!$A$6:$A$5005,"&gt;="&amp;DATE($B$4,2,1),Satuw!$A$6:$A$5005,"&lt;"&amp;DATE($B$4,3,1))</f>
        <v>0</v>
      </c>
      <c r="C8" s="10">
        <f>SUMIFS(Satuw!$F$6:$F$5005,Satuw!$A$6:$A$5005,"&gt;="&amp;DATE($B$4,2,1),Satuw!$A$6:$A$5005,"&lt;"&amp;DATE($B$4,3,1),Satuw!$D$6:$D$5005,"Nagt")</f>
        <v>0</v>
      </c>
      <c r="D8" s="10">
        <f>SUMIFS(Satuw!$F$6:$F$5005,Satuw!$A$6:$A$5005,"&gt;="&amp;DATE($B$4,2,1),Satuw!$A$6:$A$5005,"&lt;"&amp;DATE($B$4,3,1),Satuw!$D$6:$D$5005,"Kart")</f>
        <v>0</v>
      </c>
      <c r="E8" s="10">
        <f>SUMIFS(Satuw!$G$6:$G$5005,Satuw!$A$6:$A$5005,"&gt;="&amp;DATE($B$4,2,1),Satuw!$A$6:$A$5005,"&lt;"&amp;DATE($B$4,3,1))</f>
        <v>0</v>
      </c>
      <c r="F8" s="10">
        <f t="shared" si="0"/>
        <v>0</v>
      </c>
      <c r="G8" s="10">
        <f>SUMIFS(Çykdajylar!$D$6:$D$1005,Çykdajylar!$A$6:$A$1005,"&gt;="&amp;DATE($B$4,2,1),Çykdajylar!$A$6:$A$1005,"&lt;"&amp;DATE($B$4,3,1))</f>
        <v>0</v>
      </c>
      <c r="H8" s="10">
        <f t="shared" si="1"/>
        <v>0</v>
      </c>
    </row>
    <row r="9" spans="1:8" x14ac:dyDescent="0.3">
      <c r="A9" s="9" t="s">
        <v>43</v>
      </c>
      <c r="B9" s="10">
        <f>SUMIFS(Satuw!$F$6:$F$5005,Satuw!$A$6:$A$5005,"&gt;="&amp;DATE($B$4,3,1),Satuw!$A$6:$A$5005,"&lt;"&amp;DATE($B$4,4,1))</f>
        <v>0</v>
      </c>
      <c r="C9" s="10">
        <f>SUMIFS(Satuw!$F$6:$F$5005,Satuw!$A$6:$A$5005,"&gt;="&amp;DATE($B$4,3,1),Satuw!$A$6:$A$5005,"&lt;"&amp;DATE($B$4,4,1),Satuw!$D$6:$D$5005,"Nagt")</f>
        <v>0</v>
      </c>
      <c r="D9" s="10">
        <f>SUMIFS(Satuw!$F$6:$F$5005,Satuw!$A$6:$A$5005,"&gt;="&amp;DATE($B$4,3,1),Satuw!$A$6:$A$5005,"&lt;"&amp;DATE($B$4,4,1),Satuw!$D$6:$D$5005,"Kart")</f>
        <v>0</v>
      </c>
      <c r="E9" s="10">
        <f>SUMIFS(Satuw!$G$6:$G$5005,Satuw!$A$6:$A$5005,"&gt;="&amp;DATE($B$4,3,1),Satuw!$A$6:$A$5005,"&lt;"&amp;DATE($B$4,4,1))</f>
        <v>0</v>
      </c>
      <c r="F9" s="10">
        <f t="shared" si="0"/>
        <v>0</v>
      </c>
      <c r="G9" s="10">
        <f>SUMIFS(Çykdajylar!$D$6:$D$1005,Çykdajylar!$A$6:$A$1005,"&gt;="&amp;DATE($B$4,3,1),Çykdajylar!$A$6:$A$1005,"&lt;"&amp;DATE($B$4,4,1))</f>
        <v>0</v>
      </c>
      <c r="H9" s="10">
        <f t="shared" si="1"/>
        <v>0</v>
      </c>
    </row>
    <row r="10" spans="1:8" x14ac:dyDescent="0.3">
      <c r="A10" s="9" t="s">
        <v>44</v>
      </c>
      <c r="B10" s="10">
        <f>SUMIFS(Satuw!$F$6:$F$5005,Satuw!$A$6:$A$5005,"&gt;="&amp;DATE($B$4,4,1),Satuw!$A$6:$A$5005,"&lt;"&amp;DATE($B$4,5,1))</f>
        <v>0</v>
      </c>
      <c r="C10" s="10">
        <f>SUMIFS(Satuw!$F$6:$F$5005,Satuw!$A$6:$A$5005,"&gt;="&amp;DATE($B$4,4,1),Satuw!$A$6:$A$5005,"&lt;"&amp;DATE($B$4,5,1),Satuw!$D$6:$D$5005,"Nagt")</f>
        <v>0</v>
      </c>
      <c r="D10" s="10">
        <f>SUMIFS(Satuw!$F$6:$F$5005,Satuw!$A$6:$A$5005,"&gt;="&amp;DATE($B$4,4,1),Satuw!$A$6:$A$5005,"&lt;"&amp;DATE($B$4,5,1),Satuw!$D$6:$D$5005,"Kart")</f>
        <v>0</v>
      </c>
      <c r="E10" s="10">
        <f>SUMIFS(Satuw!$G$6:$G$5005,Satuw!$A$6:$A$5005,"&gt;="&amp;DATE($B$4,4,1),Satuw!$A$6:$A$5005,"&lt;"&amp;DATE($B$4,5,1))</f>
        <v>0</v>
      </c>
      <c r="F10" s="10">
        <f t="shared" si="0"/>
        <v>0</v>
      </c>
      <c r="G10" s="10">
        <f>SUMIFS(Çykdajylar!$D$6:$D$1005,Çykdajylar!$A$6:$A$1005,"&gt;="&amp;DATE($B$4,4,1),Çykdajylar!$A$6:$A$1005,"&lt;"&amp;DATE($B$4,5,1))</f>
        <v>0</v>
      </c>
      <c r="H10" s="10">
        <f t="shared" si="1"/>
        <v>0</v>
      </c>
    </row>
    <row r="11" spans="1:8" x14ac:dyDescent="0.3">
      <c r="A11" s="9" t="s">
        <v>45</v>
      </c>
      <c r="B11" s="10">
        <f>SUMIFS(Satuw!$F$6:$F$5005,Satuw!$A$6:$A$5005,"&gt;="&amp;DATE($B$4,5,1),Satuw!$A$6:$A$5005,"&lt;"&amp;DATE($B$4,6,1))</f>
        <v>0</v>
      </c>
      <c r="C11" s="10">
        <f>SUMIFS(Satuw!$F$6:$F$5005,Satuw!$A$6:$A$5005,"&gt;="&amp;DATE($B$4,5,1),Satuw!$A$6:$A$5005,"&lt;"&amp;DATE($B$4,6,1),Satuw!$D$6:$D$5005,"Nagt")</f>
        <v>0</v>
      </c>
      <c r="D11" s="10">
        <f>SUMIFS(Satuw!$F$6:$F$5005,Satuw!$A$6:$A$5005,"&gt;="&amp;DATE($B$4,5,1),Satuw!$A$6:$A$5005,"&lt;"&amp;DATE($B$4,6,1),Satuw!$D$6:$D$5005,"Kart")</f>
        <v>0</v>
      </c>
      <c r="E11" s="10">
        <f>SUMIFS(Satuw!$G$6:$G$5005,Satuw!$A$6:$A$5005,"&gt;="&amp;DATE($B$4,5,1),Satuw!$A$6:$A$5005,"&lt;"&amp;DATE($B$4,6,1))</f>
        <v>0</v>
      </c>
      <c r="F11" s="10">
        <f t="shared" si="0"/>
        <v>0</v>
      </c>
      <c r="G11" s="10">
        <f>SUMIFS(Çykdajylar!$D$6:$D$1005,Çykdajylar!$A$6:$A$1005,"&gt;="&amp;DATE($B$4,5,1),Çykdajylar!$A$6:$A$1005,"&lt;"&amp;DATE($B$4,6,1))</f>
        <v>0</v>
      </c>
      <c r="H11" s="10">
        <f t="shared" si="1"/>
        <v>0</v>
      </c>
    </row>
    <row r="12" spans="1:8" x14ac:dyDescent="0.3">
      <c r="A12" s="9" t="s">
        <v>46</v>
      </c>
      <c r="B12" s="10">
        <f>SUMIFS(Satuw!$F$6:$F$5005,Satuw!$A$6:$A$5005,"&gt;="&amp;DATE($B$4,6,1),Satuw!$A$6:$A$5005,"&lt;"&amp;DATE($B$4,7,1))</f>
        <v>0</v>
      </c>
      <c r="C12" s="10">
        <f>SUMIFS(Satuw!$F$6:$F$5005,Satuw!$A$6:$A$5005,"&gt;="&amp;DATE($B$4,6,1),Satuw!$A$6:$A$5005,"&lt;"&amp;DATE($B$4,7,1),Satuw!$D$6:$D$5005,"Nagt")</f>
        <v>0</v>
      </c>
      <c r="D12" s="10">
        <f>SUMIFS(Satuw!$F$6:$F$5005,Satuw!$A$6:$A$5005,"&gt;="&amp;DATE($B$4,6,1),Satuw!$A$6:$A$5005,"&lt;"&amp;DATE($B$4,7,1),Satuw!$D$6:$D$5005,"Kart")</f>
        <v>0</v>
      </c>
      <c r="E12" s="10">
        <f>SUMIFS(Satuw!$G$6:$G$5005,Satuw!$A$6:$A$5005,"&gt;="&amp;DATE($B$4,6,1),Satuw!$A$6:$A$5005,"&lt;"&amp;DATE($B$4,7,1))</f>
        <v>0</v>
      </c>
      <c r="F12" s="10">
        <f t="shared" si="0"/>
        <v>0</v>
      </c>
      <c r="G12" s="10">
        <f>SUMIFS(Çykdajylar!$D$6:$D$1005,Çykdajylar!$A$6:$A$1005,"&gt;="&amp;DATE($B$4,6,1),Çykdajylar!$A$6:$A$1005,"&lt;"&amp;DATE($B$4,7,1))</f>
        <v>0</v>
      </c>
      <c r="H12" s="10">
        <f t="shared" si="1"/>
        <v>0</v>
      </c>
    </row>
    <row r="13" spans="1:8" x14ac:dyDescent="0.3">
      <c r="A13" s="9" t="s">
        <v>47</v>
      </c>
      <c r="B13" s="10">
        <f>SUMIFS(Satuw!$F$6:$F$5005,Satuw!$A$6:$A$5005,"&gt;="&amp;DATE($B$4,7,1),Satuw!$A$6:$A$5005,"&lt;"&amp;DATE($B$4,8,1))</f>
        <v>0</v>
      </c>
      <c r="C13" s="10">
        <f>SUMIFS(Satuw!$F$6:$F$5005,Satuw!$A$6:$A$5005,"&gt;="&amp;DATE($B$4,7,1),Satuw!$A$6:$A$5005,"&lt;"&amp;DATE($B$4,8,1),Satuw!$D$6:$D$5005,"Nagt")</f>
        <v>0</v>
      </c>
      <c r="D13" s="10">
        <f>SUMIFS(Satuw!$F$6:$F$5005,Satuw!$A$6:$A$5005,"&gt;="&amp;DATE($B$4,7,1),Satuw!$A$6:$A$5005,"&lt;"&amp;DATE($B$4,8,1),Satuw!$D$6:$D$5005,"Kart")</f>
        <v>0</v>
      </c>
      <c r="E13" s="10">
        <f>SUMIFS(Satuw!$G$6:$G$5005,Satuw!$A$6:$A$5005,"&gt;="&amp;DATE($B$4,7,1),Satuw!$A$6:$A$5005,"&lt;"&amp;DATE($B$4,8,1))</f>
        <v>0</v>
      </c>
      <c r="F13" s="10">
        <f t="shared" si="0"/>
        <v>0</v>
      </c>
      <c r="G13" s="10">
        <f>SUMIFS(Çykdajylar!$D$6:$D$1005,Çykdajylar!$A$6:$A$1005,"&gt;="&amp;DATE($B$4,7,1),Çykdajylar!$A$6:$A$1005,"&lt;"&amp;DATE($B$4,8,1))</f>
        <v>0</v>
      </c>
      <c r="H13" s="10">
        <f t="shared" si="1"/>
        <v>0</v>
      </c>
    </row>
    <row r="14" spans="1:8" x14ac:dyDescent="0.3">
      <c r="A14" s="9" t="s">
        <v>48</v>
      </c>
      <c r="B14" s="10">
        <f>SUMIFS(Satuw!$F$6:$F$5005,Satuw!$A$6:$A$5005,"&gt;="&amp;DATE($B$4,8,1),Satuw!$A$6:$A$5005,"&lt;"&amp;DATE($B$4,9,1))</f>
        <v>0</v>
      </c>
      <c r="C14" s="10">
        <f>SUMIFS(Satuw!$F$6:$F$5005,Satuw!$A$6:$A$5005,"&gt;="&amp;DATE($B$4,8,1),Satuw!$A$6:$A$5005,"&lt;"&amp;DATE($B$4,9,1),Satuw!$D$6:$D$5005,"Nagt")</f>
        <v>0</v>
      </c>
      <c r="D14" s="10">
        <f>SUMIFS(Satuw!$F$6:$F$5005,Satuw!$A$6:$A$5005,"&gt;="&amp;DATE($B$4,8,1),Satuw!$A$6:$A$5005,"&lt;"&amp;DATE($B$4,9,1),Satuw!$D$6:$D$5005,"Kart")</f>
        <v>0</v>
      </c>
      <c r="E14" s="10">
        <f>SUMIFS(Satuw!$G$6:$G$5005,Satuw!$A$6:$A$5005,"&gt;="&amp;DATE($B$4,8,1),Satuw!$A$6:$A$5005,"&lt;"&amp;DATE($B$4,9,1))</f>
        <v>0</v>
      </c>
      <c r="F14" s="10">
        <f t="shared" si="0"/>
        <v>0</v>
      </c>
      <c r="G14" s="10">
        <f>SUMIFS(Çykdajylar!$D$6:$D$1005,Çykdajylar!$A$6:$A$1005,"&gt;="&amp;DATE($B$4,8,1),Çykdajylar!$A$6:$A$1005,"&lt;"&amp;DATE($B$4,9,1))</f>
        <v>0</v>
      </c>
      <c r="H14" s="10">
        <f t="shared" si="1"/>
        <v>0</v>
      </c>
    </row>
    <row r="15" spans="1:8" x14ac:dyDescent="0.3">
      <c r="A15" s="9" t="s">
        <v>49</v>
      </c>
      <c r="B15" s="10">
        <f>SUMIFS(Satuw!$F$6:$F$5005,Satuw!$A$6:$A$5005,"&gt;="&amp;DATE($B$4,9,1),Satuw!$A$6:$A$5005,"&lt;"&amp;DATE($B$4,10,1))</f>
        <v>0</v>
      </c>
      <c r="C15" s="10">
        <f>SUMIFS(Satuw!$F$6:$F$5005,Satuw!$A$6:$A$5005,"&gt;="&amp;DATE($B$4,9,1),Satuw!$A$6:$A$5005,"&lt;"&amp;DATE($B$4,10,1),Satuw!$D$6:$D$5005,"Nagt")</f>
        <v>0</v>
      </c>
      <c r="D15" s="10">
        <f>SUMIFS(Satuw!$F$6:$F$5005,Satuw!$A$6:$A$5005,"&gt;="&amp;DATE($B$4,9,1),Satuw!$A$6:$A$5005,"&lt;"&amp;DATE($B$4,10,1),Satuw!$D$6:$D$5005,"Kart")</f>
        <v>0</v>
      </c>
      <c r="E15" s="10">
        <f>SUMIFS(Satuw!$G$6:$G$5005,Satuw!$A$6:$A$5005,"&gt;="&amp;DATE($B$4,9,1),Satuw!$A$6:$A$5005,"&lt;"&amp;DATE($B$4,10,1))</f>
        <v>0</v>
      </c>
      <c r="F15" s="10">
        <f t="shared" si="0"/>
        <v>0</v>
      </c>
      <c r="G15" s="10">
        <f>SUMIFS(Çykdajylar!$D$6:$D$1005,Çykdajylar!$A$6:$A$1005,"&gt;="&amp;DATE($B$4,9,1),Çykdajylar!$A$6:$A$1005,"&lt;"&amp;DATE($B$4,10,1))</f>
        <v>0</v>
      </c>
      <c r="H15" s="10">
        <f t="shared" si="1"/>
        <v>0</v>
      </c>
    </row>
    <row r="16" spans="1:8" x14ac:dyDescent="0.3">
      <c r="A16" s="9" t="s">
        <v>50</v>
      </c>
      <c r="B16" s="10">
        <f>SUMIFS(Satuw!$F$6:$F$5005,Satuw!$A$6:$A$5005,"&gt;="&amp;DATE($B$4,10,1),Satuw!$A$6:$A$5005,"&lt;"&amp;DATE($B$4,11,1))</f>
        <v>1530</v>
      </c>
      <c r="C16" s="10">
        <f>SUMIFS(Satuw!$F$6:$F$5005,Satuw!$A$6:$A$5005,"&gt;="&amp;DATE($B$4,10,1),Satuw!$A$6:$A$5005,"&lt;"&amp;DATE($B$4,11,1),Satuw!$D$6:$D$5005,"Nagt")</f>
        <v>180</v>
      </c>
      <c r="D16" s="10">
        <f>SUMIFS(Satuw!$F$6:$F$5005,Satuw!$A$6:$A$5005,"&gt;="&amp;DATE($B$4,10,1),Satuw!$A$6:$A$5005,"&lt;"&amp;DATE($B$4,11,1),Satuw!$D$6:$D$5005,"Kart")</f>
        <v>0</v>
      </c>
      <c r="E16" s="10">
        <f>SUMIFS(Satuw!$G$6:$G$5005,Satuw!$A$6:$A$5005,"&gt;="&amp;DATE($B$4,10,1),Satuw!$A$6:$A$5005,"&lt;"&amp;DATE($B$4,11,1))</f>
        <v>723</v>
      </c>
      <c r="F16" s="10">
        <f t="shared" si="0"/>
        <v>807</v>
      </c>
      <c r="G16" s="10">
        <f>SUMIFS(Çykdajylar!$D$6:$D$1005,Çykdajylar!$A$6:$A$1005,"&gt;="&amp;DATE($B$4,10,1),Çykdajylar!$A$6:$A$1005,"&lt;"&amp;DATE($B$4,11,1))</f>
        <v>350</v>
      </c>
      <c r="H16" s="10">
        <f t="shared" si="1"/>
        <v>457</v>
      </c>
    </row>
    <row r="17" spans="1:8" x14ac:dyDescent="0.3">
      <c r="A17" s="9" t="s">
        <v>51</v>
      </c>
      <c r="B17" s="10">
        <f>SUMIFS(Satuw!$F$6:$F$5005,Satuw!$A$6:$A$5005,"&gt;="&amp;DATE($B$4,11,1),Satuw!$A$6:$A$5005,"&lt;"&amp;DATE($B$4,12,1))</f>
        <v>0</v>
      </c>
      <c r="C17" s="10">
        <f>SUMIFS(Satuw!$F$6:$F$5005,Satuw!$A$6:$A$5005,"&gt;="&amp;DATE($B$4,11,1),Satuw!$A$6:$A$5005,"&lt;"&amp;DATE($B$4,12,1),Satuw!$D$6:$D$5005,"Nagt")</f>
        <v>0</v>
      </c>
      <c r="D17" s="10">
        <f>SUMIFS(Satuw!$F$6:$F$5005,Satuw!$A$6:$A$5005,"&gt;="&amp;DATE($B$4,11,1),Satuw!$A$6:$A$5005,"&lt;"&amp;DATE($B$4,12,1),Satuw!$D$6:$D$5005,"Kart")</f>
        <v>0</v>
      </c>
      <c r="E17" s="10">
        <f>SUMIFS(Satuw!$G$6:$G$5005,Satuw!$A$6:$A$5005,"&gt;="&amp;DATE($B$4,11,1),Satuw!$A$6:$A$5005,"&lt;"&amp;DATE($B$4,12,1))</f>
        <v>0</v>
      </c>
      <c r="F17" s="10">
        <f t="shared" si="0"/>
        <v>0</v>
      </c>
      <c r="G17" s="10">
        <f>SUMIFS(Çykdajylar!$D$6:$D$1005,Çykdajylar!$A$6:$A$1005,"&gt;="&amp;DATE($B$4,11,1),Çykdajylar!$A$6:$A$1005,"&lt;"&amp;DATE($B$4,12,1))</f>
        <v>0</v>
      </c>
      <c r="H17" s="10">
        <f t="shared" si="1"/>
        <v>0</v>
      </c>
    </row>
    <row r="18" spans="1:8" x14ac:dyDescent="0.3">
      <c r="A18" s="9" t="s">
        <v>52</v>
      </c>
      <c r="B18" s="10">
        <f>SUMIFS(Satuw!$F$6:$F$5005,Satuw!$A$6:$A$5005,"&gt;="&amp;DATE($B$4,12,1),Satuw!$A$6:$A$5005,"&lt;"&amp;DATE($B$4,13,1))</f>
        <v>0</v>
      </c>
      <c r="C18" s="10">
        <f>SUMIFS(Satuw!$F$6:$F$5005,Satuw!$A$6:$A$5005,"&gt;="&amp;DATE($B$4,12,1),Satuw!$A$6:$A$5005,"&lt;"&amp;DATE($B$4,13,1),Satuw!$D$6:$D$5005,"Nagt")</f>
        <v>0</v>
      </c>
      <c r="D18" s="10">
        <f>SUMIFS(Satuw!$F$6:$F$5005,Satuw!$A$6:$A$5005,"&gt;="&amp;DATE($B$4,12,1),Satuw!$A$6:$A$5005,"&lt;"&amp;DATE($B$4,13,1),Satuw!$D$6:$D$5005,"Kart")</f>
        <v>0</v>
      </c>
      <c r="E18" s="10">
        <f>SUMIFS(Satuw!$G$6:$G$5005,Satuw!$A$6:$A$5005,"&gt;="&amp;DATE($B$4,12,1),Satuw!$A$6:$A$5005,"&lt;"&amp;DATE($B$4,13,1))</f>
        <v>0</v>
      </c>
      <c r="F18" s="10">
        <f t="shared" si="0"/>
        <v>0</v>
      </c>
      <c r="G18" s="10">
        <f>SUMIFS(Çykdajylar!$D$6:$D$1005,Çykdajylar!$A$6:$A$1005,"&gt;="&amp;DATE($B$4,12,1),Çykdajylar!$A$6:$A$1005,"&lt;"&amp;DATE($B$4,13,1))</f>
        <v>0</v>
      </c>
      <c r="H18" s="10">
        <f t="shared" si="1"/>
        <v>0</v>
      </c>
    </row>
    <row r="19" spans="1:8" x14ac:dyDescent="0.3">
      <c r="A19" s="11" t="s">
        <v>53</v>
      </c>
      <c r="B19" s="12">
        <f t="shared" ref="B19:H19" si="2">SUM(B7:B18)</f>
        <v>1530</v>
      </c>
      <c r="C19" s="12">
        <f t="shared" si="2"/>
        <v>180</v>
      </c>
      <c r="D19" s="12">
        <f t="shared" si="2"/>
        <v>0</v>
      </c>
      <c r="E19" s="12">
        <f t="shared" si="2"/>
        <v>723</v>
      </c>
      <c r="F19" s="12">
        <f t="shared" si="2"/>
        <v>807</v>
      </c>
      <c r="G19" s="12">
        <f t="shared" si="2"/>
        <v>350</v>
      </c>
      <c r="H19" s="12">
        <f t="shared" si="2"/>
        <v>457</v>
      </c>
    </row>
    <row r="21" spans="1:8" x14ac:dyDescent="0.3">
      <c r="A21" s="2" t="s">
        <v>54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05"/>
  <sheetViews>
    <sheetView showGridLines="0" zoomScaleNormal="100" workbookViewId="0">
      <pane ySplit="5" topLeftCell="A6" activePane="bottomLeft" state="frozen"/>
      <selection pane="bottomLeft" activeCell="I18" sqref="I18"/>
    </sheetView>
  </sheetViews>
  <sheetFormatPr defaultColWidth="8.6640625" defaultRowHeight="14.4" x14ac:dyDescent="0.3"/>
  <cols>
    <col min="1" max="1" width="14" customWidth="1"/>
    <col min="2" max="2" width="24" customWidth="1"/>
    <col min="3" max="3" width="10" customWidth="1"/>
    <col min="4" max="4" width="16" customWidth="1"/>
    <col min="5" max="6" width="18" customWidth="1"/>
    <col min="7" max="7" width="20" customWidth="1"/>
    <col min="8" max="8" width="3" customWidth="1"/>
    <col min="9" max="9" width="60" customWidth="1"/>
  </cols>
  <sheetData>
    <row r="1" spans="1:9" ht="17.399999999999999" x14ac:dyDescent="0.3">
      <c r="A1" s="1" t="s">
        <v>55</v>
      </c>
    </row>
    <row r="2" spans="1:9" x14ac:dyDescent="0.3">
      <c r="A2" s="2" t="s">
        <v>56</v>
      </c>
    </row>
    <row r="5" spans="1:9" ht="31.5" customHeight="1" x14ac:dyDescent="0.3">
      <c r="A5" s="14" t="s">
        <v>57</v>
      </c>
      <c r="B5" s="14" t="s">
        <v>27</v>
      </c>
      <c r="C5" s="14" t="s">
        <v>58</v>
      </c>
      <c r="D5" s="14" t="s">
        <v>59</v>
      </c>
      <c r="E5" s="14" t="s">
        <v>60</v>
      </c>
      <c r="F5" s="14" t="s">
        <v>29</v>
      </c>
      <c r="G5" s="14" t="s">
        <v>61</v>
      </c>
      <c r="I5" s="16" t="s">
        <v>62</v>
      </c>
    </row>
    <row r="6" spans="1:9" x14ac:dyDescent="0.3">
      <c r="A6" s="17">
        <v>46302</v>
      </c>
      <c r="B6" s="18" t="s">
        <v>63</v>
      </c>
      <c r="C6" s="18">
        <v>12</v>
      </c>
      <c r="D6" s="18" t="s">
        <v>64</v>
      </c>
      <c r="E6" s="10">
        <f>IF(B6="","",IFERROR(INDEX(Harytlar!$C$5:$C$44,MATCH(B6,Harytlar!$A$5:$A$44,0)),""))</f>
        <v>15</v>
      </c>
      <c r="F6" s="10">
        <f t="shared" ref="F6:F69" si="0">IF(OR(C6="",E6=""),"",C6*E6)</f>
        <v>180</v>
      </c>
      <c r="G6" s="10">
        <f>IF(OR(C6="",B6=""),"",IFERROR(C6*INDEX(Harytlar!$D$5:$D$44,MATCH(B6,Harytlar!$A$5:$A$44,0)),""))</f>
        <v>48</v>
      </c>
    </row>
    <row r="7" spans="1:9" x14ac:dyDescent="0.3">
      <c r="A7" s="17">
        <v>46302</v>
      </c>
      <c r="B7" s="18" t="s">
        <v>105</v>
      </c>
      <c r="C7" s="18">
        <v>45</v>
      </c>
      <c r="D7" s="18"/>
      <c r="E7" s="10">
        <f>IF(B7="","",IFERROR(INDEX(Harytlar!$C$5:$C$44,MATCH(B7,Harytlar!$A$5:$A$44,0)),""))</f>
        <v>30</v>
      </c>
      <c r="F7" s="10">
        <f t="shared" si="0"/>
        <v>1350</v>
      </c>
      <c r="G7" s="10">
        <f>IF(OR(C7="",B7=""),"",IFERROR(C7*INDEX(Harytlar!$D$5:$D$44,MATCH(B7,Harytlar!$A$5:$A$44,0)),""))</f>
        <v>675</v>
      </c>
    </row>
    <row r="8" spans="1:9" x14ac:dyDescent="0.3">
      <c r="A8" s="17"/>
      <c r="B8" s="18"/>
      <c r="C8" s="18"/>
      <c r="D8" s="18"/>
      <c r="E8" s="10" t="str">
        <f>IF(B8="","",IFERROR(INDEX(Harytlar!$C$5:$C$44,MATCH(B8,Harytlar!$A$5:$A$44,0)),""))</f>
        <v/>
      </c>
      <c r="F8" s="10" t="str">
        <f t="shared" si="0"/>
        <v/>
      </c>
      <c r="G8" s="10" t="str">
        <f>IF(OR(C8="",B8=""),"",IFERROR(C8*INDEX(Harytlar!$D$5:$D$44,MATCH(B8,Harytlar!$A$5:$A$44,0)),""))</f>
        <v/>
      </c>
    </row>
    <row r="9" spans="1:9" x14ac:dyDescent="0.3">
      <c r="A9" s="17"/>
      <c r="B9" s="18"/>
      <c r="C9" s="18"/>
      <c r="D9" s="18"/>
      <c r="E9" s="10" t="str">
        <f>IF(B9="","",IFERROR(INDEX(Harytlar!$C$5:$C$44,MATCH(B9,Harytlar!$A$5:$A$44,0)),""))</f>
        <v/>
      </c>
      <c r="F9" s="10" t="str">
        <f t="shared" si="0"/>
        <v/>
      </c>
      <c r="G9" s="10" t="str">
        <f>IF(OR(C9="",B9=""),"",IFERROR(C9*INDEX(Harytlar!$D$5:$D$44,MATCH(B9,Harytlar!$A$5:$A$44,0)),""))</f>
        <v/>
      </c>
    </row>
    <row r="10" spans="1:9" x14ac:dyDescent="0.3">
      <c r="A10" s="17"/>
      <c r="B10" s="18"/>
      <c r="C10" s="18"/>
      <c r="D10" s="18"/>
      <c r="E10" s="10" t="str">
        <f>IF(B10="","",IFERROR(INDEX(Harytlar!$C$5:$C$44,MATCH(B10,Harytlar!$A$5:$A$44,0)),""))</f>
        <v/>
      </c>
      <c r="F10" s="10" t="str">
        <f t="shared" si="0"/>
        <v/>
      </c>
      <c r="G10" s="10" t="str">
        <f>IF(OR(C10="",B10=""),"",IFERROR(C10*INDEX(Harytlar!$D$5:$D$44,MATCH(B10,Harytlar!$A$5:$A$44,0)),""))</f>
        <v/>
      </c>
    </row>
    <row r="11" spans="1:9" x14ac:dyDescent="0.3">
      <c r="A11" s="17"/>
      <c r="B11" s="18"/>
      <c r="C11" s="18"/>
      <c r="D11" s="18"/>
      <c r="E11" s="10" t="str">
        <f>IF(B11="","",IFERROR(INDEX(Harytlar!$C$5:$C$44,MATCH(B11,Harytlar!$A$5:$A$44,0)),""))</f>
        <v/>
      </c>
      <c r="F11" s="10" t="str">
        <f t="shared" si="0"/>
        <v/>
      </c>
      <c r="G11" s="10" t="str">
        <f>IF(OR(C11="",B11=""),"",IFERROR(C11*INDEX(Harytlar!$D$5:$D$44,MATCH(B11,Harytlar!$A$5:$A$44,0)),""))</f>
        <v/>
      </c>
    </row>
    <row r="12" spans="1:9" x14ac:dyDescent="0.3">
      <c r="A12" s="17"/>
      <c r="B12" s="18"/>
      <c r="C12" s="18"/>
      <c r="D12" s="18"/>
      <c r="E12" s="10" t="str">
        <f>IF(B12="","",IFERROR(INDEX(Harytlar!$C$5:$C$44,MATCH(B12,Harytlar!$A$5:$A$44,0)),""))</f>
        <v/>
      </c>
      <c r="F12" s="10" t="str">
        <f t="shared" si="0"/>
        <v/>
      </c>
      <c r="G12" s="10" t="str">
        <f>IF(OR(C12="",B12=""),"",IFERROR(C12*INDEX(Harytlar!$D$5:$D$44,MATCH(B12,Harytlar!$A$5:$A$44,0)),""))</f>
        <v/>
      </c>
    </row>
    <row r="13" spans="1:9" x14ac:dyDescent="0.3">
      <c r="A13" s="17"/>
      <c r="B13" s="18"/>
      <c r="C13" s="18"/>
      <c r="D13" s="18"/>
      <c r="E13" s="10" t="str">
        <f>IF(B13="","",IFERROR(INDEX(Harytlar!$C$5:$C$44,MATCH(B13,Harytlar!$A$5:$A$44,0)),""))</f>
        <v/>
      </c>
      <c r="F13" s="10" t="str">
        <f t="shared" si="0"/>
        <v/>
      </c>
      <c r="G13" s="10" t="str">
        <f>IF(OR(C13="",B13=""),"",IFERROR(C13*INDEX(Harytlar!$D$5:$D$44,MATCH(B13,Harytlar!$A$5:$A$44,0)),""))</f>
        <v/>
      </c>
    </row>
    <row r="14" spans="1:9" x14ac:dyDescent="0.3">
      <c r="A14" s="17"/>
      <c r="B14" s="18"/>
      <c r="C14" s="18"/>
      <c r="D14" s="18"/>
      <c r="E14" s="10" t="str">
        <f>IF(B14="","",IFERROR(INDEX(Harytlar!$C$5:$C$44,MATCH(B14,Harytlar!$A$5:$A$44,0)),""))</f>
        <v/>
      </c>
      <c r="F14" s="10" t="str">
        <f t="shared" si="0"/>
        <v/>
      </c>
      <c r="G14" s="10" t="str">
        <f>IF(OR(C14="",B14=""),"",IFERROR(C14*INDEX(Harytlar!$D$5:$D$44,MATCH(B14,Harytlar!$A$5:$A$44,0)),""))</f>
        <v/>
      </c>
    </row>
    <row r="15" spans="1:9" x14ac:dyDescent="0.3">
      <c r="A15" s="17"/>
      <c r="B15" s="18"/>
      <c r="C15" s="18"/>
      <c r="D15" s="18"/>
      <c r="E15" s="10" t="str">
        <f>IF(B15="","",IFERROR(INDEX(Harytlar!$C$5:$C$44,MATCH(B15,Harytlar!$A$5:$A$44,0)),""))</f>
        <v/>
      </c>
      <c r="F15" s="10" t="str">
        <f t="shared" si="0"/>
        <v/>
      </c>
      <c r="G15" s="10" t="str">
        <f>IF(OR(C15="",B15=""),"",IFERROR(C15*INDEX(Harytlar!$D$5:$D$44,MATCH(B15,Harytlar!$A$5:$A$44,0)),""))</f>
        <v/>
      </c>
    </row>
    <row r="16" spans="1:9" x14ac:dyDescent="0.3">
      <c r="A16" s="17"/>
      <c r="B16" s="18"/>
      <c r="C16" s="18"/>
      <c r="D16" s="18"/>
      <c r="E16" s="10" t="str">
        <f>IF(B16="","",IFERROR(INDEX(Harytlar!$C$5:$C$44,MATCH(B16,Harytlar!$A$5:$A$44,0)),""))</f>
        <v/>
      </c>
      <c r="F16" s="10" t="str">
        <f t="shared" si="0"/>
        <v/>
      </c>
      <c r="G16" s="10" t="str">
        <f>IF(OR(C16="",B16=""),"",IFERROR(C16*INDEX(Harytlar!$D$5:$D$44,MATCH(B16,Harytlar!$A$5:$A$44,0)),""))</f>
        <v/>
      </c>
    </row>
    <row r="17" spans="1:7" x14ac:dyDescent="0.3">
      <c r="A17" s="17"/>
      <c r="B17" s="18"/>
      <c r="C17" s="18"/>
      <c r="D17" s="18"/>
      <c r="E17" s="10" t="str">
        <f>IF(B17="","",IFERROR(INDEX(Harytlar!$C$5:$C$44,MATCH(B17,Harytlar!$A$5:$A$44,0)),""))</f>
        <v/>
      </c>
      <c r="F17" s="10" t="str">
        <f t="shared" si="0"/>
        <v/>
      </c>
      <c r="G17" s="10" t="str">
        <f>IF(OR(C17="",B17=""),"",IFERROR(C17*INDEX(Harytlar!$D$5:$D$44,MATCH(B17,Harytlar!$A$5:$A$44,0)),""))</f>
        <v/>
      </c>
    </row>
    <row r="18" spans="1:7" x14ac:dyDescent="0.3">
      <c r="A18" s="17"/>
      <c r="B18" s="18"/>
      <c r="C18" s="18"/>
      <c r="D18" s="18"/>
      <c r="E18" s="10" t="str">
        <f>IF(B18="","",IFERROR(INDEX(Harytlar!$C$5:$C$44,MATCH(B18,Harytlar!$A$5:$A$44,0)),""))</f>
        <v/>
      </c>
      <c r="F18" s="10" t="str">
        <f t="shared" si="0"/>
        <v/>
      </c>
      <c r="G18" s="10" t="str">
        <f>IF(OR(C18="",B18=""),"",IFERROR(C18*INDEX(Harytlar!$D$5:$D$44,MATCH(B18,Harytlar!$A$5:$A$44,0)),""))</f>
        <v/>
      </c>
    </row>
    <row r="19" spans="1:7" x14ac:dyDescent="0.3">
      <c r="A19" s="17"/>
      <c r="B19" s="18"/>
      <c r="C19" s="18"/>
      <c r="D19" s="18"/>
      <c r="E19" s="10" t="str">
        <f>IF(B19="","",IFERROR(INDEX(Harytlar!$C$5:$C$44,MATCH(B19,Harytlar!$A$5:$A$44,0)),""))</f>
        <v/>
      </c>
      <c r="F19" s="10" t="str">
        <f t="shared" si="0"/>
        <v/>
      </c>
      <c r="G19" s="10" t="str">
        <f>IF(OR(C19="",B19=""),"",IFERROR(C19*INDEX(Harytlar!$D$5:$D$44,MATCH(B19,Harytlar!$A$5:$A$44,0)),""))</f>
        <v/>
      </c>
    </row>
    <row r="20" spans="1:7" x14ac:dyDescent="0.3">
      <c r="A20" s="17"/>
      <c r="B20" s="18"/>
      <c r="C20" s="18"/>
      <c r="D20" s="18"/>
      <c r="E20" s="10" t="str">
        <f>IF(B20="","",IFERROR(INDEX(Harytlar!$C$5:$C$44,MATCH(B20,Harytlar!$A$5:$A$44,0)),""))</f>
        <v/>
      </c>
      <c r="F20" s="10" t="str">
        <f t="shared" si="0"/>
        <v/>
      </c>
      <c r="G20" s="10" t="str">
        <f>IF(OR(C20="",B20=""),"",IFERROR(C20*INDEX(Harytlar!$D$5:$D$44,MATCH(B20,Harytlar!$A$5:$A$44,0)),""))</f>
        <v/>
      </c>
    </row>
    <row r="21" spans="1:7" x14ac:dyDescent="0.3">
      <c r="A21" s="17"/>
      <c r="B21" s="18"/>
      <c r="C21" s="18"/>
      <c r="D21" s="18"/>
      <c r="E21" s="10" t="str">
        <f>IF(B21="","",IFERROR(INDEX(Harytlar!$C$5:$C$44,MATCH(B21,Harytlar!$A$5:$A$44,0)),""))</f>
        <v/>
      </c>
      <c r="F21" s="10" t="str">
        <f t="shared" si="0"/>
        <v/>
      </c>
      <c r="G21" s="10" t="str">
        <f>IF(OR(C21="",B21=""),"",IFERROR(C21*INDEX(Harytlar!$D$5:$D$44,MATCH(B21,Harytlar!$A$5:$A$44,0)),""))</f>
        <v/>
      </c>
    </row>
    <row r="22" spans="1:7" x14ac:dyDescent="0.3">
      <c r="A22" s="17"/>
      <c r="B22" s="18"/>
      <c r="C22" s="18"/>
      <c r="D22" s="18"/>
      <c r="E22" s="10" t="str">
        <f>IF(B22="","",IFERROR(INDEX(Harytlar!$C$5:$C$44,MATCH(B22,Harytlar!$A$5:$A$44,0)),""))</f>
        <v/>
      </c>
      <c r="F22" s="10" t="str">
        <f t="shared" si="0"/>
        <v/>
      </c>
      <c r="G22" s="10" t="str">
        <f>IF(OR(C22="",B22=""),"",IFERROR(C22*INDEX(Harytlar!$D$5:$D$44,MATCH(B22,Harytlar!$A$5:$A$44,0)),""))</f>
        <v/>
      </c>
    </row>
    <row r="23" spans="1:7" x14ac:dyDescent="0.3">
      <c r="A23" s="17"/>
      <c r="B23" s="18"/>
      <c r="C23" s="18"/>
      <c r="D23" s="18"/>
      <c r="E23" s="10" t="str">
        <f>IF(B23="","",IFERROR(INDEX(Harytlar!$C$5:$C$44,MATCH(B23,Harytlar!$A$5:$A$44,0)),""))</f>
        <v/>
      </c>
      <c r="F23" s="10" t="str">
        <f t="shared" si="0"/>
        <v/>
      </c>
      <c r="G23" s="10" t="str">
        <f>IF(OR(C23="",B23=""),"",IFERROR(C23*INDEX(Harytlar!$D$5:$D$44,MATCH(B23,Harytlar!$A$5:$A$44,0)),""))</f>
        <v/>
      </c>
    </row>
    <row r="24" spans="1:7" x14ac:dyDescent="0.3">
      <c r="A24" s="17"/>
      <c r="B24" s="18"/>
      <c r="C24" s="18"/>
      <c r="D24" s="18"/>
      <c r="E24" s="10" t="str">
        <f>IF(B24="","",IFERROR(INDEX(Harytlar!$C$5:$C$44,MATCH(B24,Harytlar!$A$5:$A$44,0)),""))</f>
        <v/>
      </c>
      <c r="F24" s="10" t="str">
        <f t="shared" si="0"/>
        <v/>
      </c>
      <c r="G24" s="10" t="str">
        <f>IF(OR(C24="",B24=""),"",IFERROR(C24*INDEX(Harytlar!$D$5:$D$44,MATCH(B24,Harytlar!$A$5:$A$44,0)),""))</f>
        <v/>
      </c>
    </row>
    <row r="25" spans="1:7" x14ac:dyDescent="0.3">
      <c r="A25" s="17"/>
      <c r="B25" s="18"/>
      <c r="C25" s="18"/>
      <c r="D25" s="18"/>
      <c r="E25" s="10" t="str">
        <f>IF(B25="","",IFERROR(INDEX(Harytlar!$C$5:$C$44,MATCH(B25,Harytlar!$A$5:$A$44,0)),""))</f>
        <v/>
      </c>
      <c r="F25" s="10" t="str">
        <f t="shared" si="0"/>
        <v/>
      </c>
      <c r="G25" s="10" t="str">
        <f>IF(OR(C25="",B25=""),"",IFERROR(C25*INDEX(Harytlar!$D$5:$D$44,MATCH(B25,Harytlar!$A$5:$A$44,0)),""))</f>
        <v/>
      </c>
    </row>
    <row r="26" spans="1:7" x14ac:dyDescent="0.3">
      <c r="A26" s="17"/>
      <c r="B26" s="18"/>
      <c r="C26" s="18"/>
      <c r="D26" s="18"/>
      <c r="E26" s="10" t="str">
        <f>IF(B26="","",IFERROR(INDEX(Harytlar!$C$5:$C$44,MATCH(B26,Harytlar!$A$5:$A$44,0)),""))</f>
        <v/>
      </c>
      <c r="F26" s="10" t="str">
        <f t="shared" si="0"/>
        <v/>
      </c>
      <c r="G26" s="10" t="str">
        <f>IF(OR(C26="",B26=""),"",IFERROR(C26*INDEX(Harytlar!$D$5:$D$44,MATCH(B26,Harytlar!$A$5:$A$44,0)),""))</f>
        <v/>
      </c>
    </row>
    <row r="27" spans="1:7" x14ac:dyDescent="0.3">
      <c r="A27" s="17"/>
      <c r="B27" s="18"/>
      <c r="C27" s="18"/>
      <c r="D27" s="18"/>
      <c r="E27" s="10" t="str">
        <f>IF(B27="","",IFERROR(INDEX(Harytlar!$C$5:$C$44,MATCH(B27,Harytlar!$A$5:$A$44,0)),""))</f>
        <v/>
      </c>
      <c r="F27" s="10" t="str">
        <f t="shared" si="0"/>
        <v/>
      </c>
      <c r="G27" s="10" t="str">
        <f>IF(OR(C27="",B27=""),"",IFERROR(C27*INDEX(Harytlar!$D$5:$D$44,MATCH(B27,Harytlar!$A$5:$A$44,0)),""))</f>
        <v/>
      </c>
    </row>
    <row r="28" spans="1:7" x14ac:dyDescent="0.3">
      <c r="A28" s="17"/>
      <c r="B28" s="18"/>
      <c r="C28" s="18"/>
      <c r="D28" s="18"/>
      <c r="E28" s="10" t="str">
        <f>IF(B28="","",IFERROR(INDEX(Harytlar!$C$5:$C$44,MATCH(B28,Harytlar!$A$5:$A$44,0)),""))</f>
        <v/>
      </c>
      <c r="F28" s="10" t="str">
        <f t="shared" si="0"/>
        <v/>
      </c>
      <c r="G28" s="10" t="str">
        <f>IF(OR(C28="",B28=""),"",IFERROR(C28*INDEX(Harytlar!$D$5:$D$44,MATCH(B28,Harytlar!$A$5:$A$44,0)),""))</f>
        <v/>
      </c>
    </row>
    <row r="29" spans="1:7" x14ac:dyDescent="0.3">
      <c r="A29" s="17"/>
      <c r="B29" s="18"/>
      <c r="C29" s="18"/>
      <c r="D29" s="18"/>
      <c r="E29" s="10" t="str">
        <f>IF(B29="","",IFERROR(INDEX(Harytlar!$C$5:$C$44,MATCH(B29,Harytlar!$A$5:$A$44,0)),""))</f>
        <v/>
      </c>
      <c r="F29" s="10" t="str">
        <f t="shared" si="0"/>
        <v/>
      </c>
      <c r="G29" s="10" t="str">
        <f>IF(OR(C29="",B29=""),"",IFERROR(C29*INDEX(Harytlar!$D$5:$D$44,MATCH(B29,Harytlar!$A$5:$A$44,0)),""))</f>
        <v/>
      </c>
    </row>
    <row r="30" spans="1:7" x14ac:dyDescent="0.3">
      <c r="A30" s="17"/>
      <c r="B30" s="18"/>
      <c r="C30" s="18"/>
      <c r="D30" s="18"/>
      <c r="E30" s="10" t="str">
        <f>IF(B30="","",IFERROR(INDEX(Harytlar!$C$5:$C$44,MATCH(B30,Harytlar!$A$5:$A$44,0)),""))</f>
        <v/>
      </c>
      <c r="F30" s="10" t="str">
        <f t="shared" si="0"/>
        <v/>
      </c>
      <c r="G30" s="10" t="str">
        <f>IF(OR(C30="",B30=""),"",IFERROR(C30*INDEX(Harytlar!$D$5:$D$44,MATCH(B30,Harytlar!$A$5:$A$44,0)),""))</f>
        <v/>
      </c>
    </row>
    <row r="31" spans="1:7" x14ac:dyDescent="0.3">
      <c r="A31" s="17"/>
      <c r="B31" s="18"/>
      <c r="C31" s="18"/>
      <c r="D31" s="18"/>
      <c r="E31" s="10" t="str">
        <f>IF(B31="","",IFERROR(INDEX(Harytlar!$C$5:$C$44,MATCH(B31,Harytlar!$A$5:$A$44,0)),""))</f>
        <v/>
      </c>
      <c r="F31" s="10" t="str">
        <f t="shared" si="0"/>
        <v/>
      </c>
      <c r="G31" s="10" t="str">
        <f>IF(OR(C31="",B31=""),"",IFERROR(C31*INDEX(Harytlar!$D$5:$D$44,MATCH(B31,Harytlar!$A$5:$A$44,0)),""))</f>
        <v/>
      </c>
    </row>
    <row r="32" spans="1:7" x14ac:dyDescent="0.3">
      <c r="A32" s="17"/>
      <c r="B32" s="18"/>
      <c r="C32" s="18"/>
      <c r="D32" s="18"/>
      <c r="E32" s="10" t="str">
        <f>IF(B32="","",IFERROR(INDEX(Harytlar!$C$5:$C$44,MATCH(B32,Harytlar!$A$5:$A$44,0)),""))</f>
        <v/>
      </c>
      <c r="F32" s="10" t="str">
        <f t="shared" si="0"/>
        <v/>
      </c>
      <c r="G32" s="10" t="str">
        <f>IF(OR(C32="",B32=""),"",IFERROR(C32*INDEX(Harytlar!$D$5:$D$44,MATCH(B32,Harytlar!$A$5:$A$44,0)),""))</f>
        <v/>
      </c>
    </row>
    <row r="33" spans="1:7" x14ac:dyDescent="0.3">
      <c r="A33" s="17"/>
      <c r="B33" s="18"/>
      <c r="C33" s="18"/>
      <c r="D33" s="18"/>
      <c r="E33" s="10" t="str">
        <f>IF(B33="","",IFERROR(INDEX(Harytlar!$C$5:$C$44,MATCH(B33,Harytlar!$A$5:$A$44,0)),""))</f>
        <v/>
      </c>
      <c r="F33" s="10" t="str">
        <f t="shared" si="0"/>
        <v/>
      </c>
      <c r="G33" s="10" t="str">
        <f>IF(OR(C33="",B33=""),"",IFERROR(C33*INDEX(Harytlar!$D$5:$D$44,MATCH(B33,Harytlar!$A$5:$A$44,0)),""))</f>
        <v/>
      </c>
    </row>
    <row r="34" spans="1:7" x14ac:dyDescent="0.3">
      <c r="A34" s="17"/>
      <c r="B34" s="18"/>
      <c r="C34" s="18"/>
      <c r="D34" s="18"/>
      <c r="E34" s="10" t="str">
        <f>IF(B34="","",IFERROR(INDEX(Harytlar!$C$5:$C$44,MATCH(B34,Harytlar!$A$5:$A$44,0)),""))</f>
        <v/>
      </c>
      <c r="F34" s="10" t="str">
        <f t="shared" si="0"/>
        <v/>
      </c>
      <c r="G34" s="10" t="str">
        <f>IF(OR(C34="",B34=""),"",IFERROR(C34*INDEX(Harytlar!$D$5:$D$44,MATCH(B34,Harytlar!$A$5:$A$44,0)),""))</f>
        <v/>
      </c>
    </row>
    <row r="35" spans="1:7" x14ac:dyDescent="0.3">
      <c r="A35" s="17"/>
      <c r="B35" s="18"/>
      <c r="C35" s="18"/>
      <c r="D35" s="18"/>
      <c r="E35" s="10" t="str">
        <f>IF(B35="","",IFERROR(INDEX(Harytlar!$C$5:$C$44,MATCH(B35,Harytlar!$A$5:$A$44,0)),""))</f>
        <v/>
      </c>
      <c r="F35" s="10" t="str">
        <f t="shared" si="0"/>
        <v/>
      </c>
      <c r="G35" s="10" t="str">
        <f>IF(OR(C35="",B35=""),"",IFERROR(C35*INDEX(Harytlar!$D$5:$D$44,MATCH(B35,Harytlar!$A$5:$A$44,0)),""))</f>
        <v/>
      </c>
    </row>
    <row r="36" spans="1:7" x14ac:dyDescent="0.3">
      <c r="A36" s="17"/>
      <c r="B36" s="18"/>
      <c r="C36" s="18"/>
      <c r="D36" s="18"/>
      <c r="E36" s="10" t="str">
        <f>IF(B36="","",IFERROR(INDEX(Harytlar!$C$5:$C$44,MATCH(B36,Harytlar!$A$5:$A$44,0)),""))</f>
        <v/>
      </c>
      <c r="F36" s="10" t="str">
        <f t="shared" si="0"/>
        <v/>
      </c>
      <c r="G36" s="10" t="str">
        <f>IF(OR(C36="",B36=""),"",IFERROR(C36*INDEX(Harytlar!$D$5:$D$44,MATCH(B36,Harytlar!$A$5:$A$44,0)),""))</f>
        <v/>
      </c>
    </row>
    <row r="37" spans="1:7" x14ac:dyDescent="0.3">
      <c r="A37" s="17"/>
      <c r="B37" s="18"/>
      <c r="C37" s="18"/>
      <c r="D37" s="18"/>
      <c r="E37" s="10" t="str">
        <f>IF(B37="","",IFERROR(INDEX(Harytlar!$C$5:$C$44,MATCH(B37,Harytlar!$A$5:$A$44,0)),""))</f>
        <v/>
      </c>
      <c r="F37" s="10" t="str">
        <f t="shared" si="0"/>
        <v/>
      </c>
      <c r="G37" s="10" t="str">
        <f>IF(OR(C37="",B37=""),"",IFERROR(C37*INDEX(Harytlar!$D$5:$D$44,MATCH(B37,Harytlar!$A$5:$A$44,0)),""))</f>
        <v/>
      </c>
    </row>
    <row r="38" spans="1:7" x14ac:dyDescent="0.3">
      <c r="A38" s="17"/>
      <c r="B38" s="18"/>
      <c r="C38" s="18"/>
      <c r="D38" s="18"/>
      <c r="E38" s="10" t="str">
        <f>IF(B38="","",IFERROR(INDEX(Harytlar!$C$5:$C$44,MATCH(B38,Harytlar!$A$5:$A$44,0)),""))</f>
        <v/>
      </c>
      <c r="F38" s="10" t="str">
        <f t="shared" si="0"/>
        <v/>
      </c>
      <c r="G38" s="10" t="str">
        <f>IF(OR(C38="",B38=""),"",IFERROR(C38*INDEX(Harytlar!$D$5:$D$44,MATCH(B38,Harytlar!$A$5:$A$44,0)),""))</f>
        <v/>
      </c>
    </row>
    <row r="39" spans="1:7" x14ac:dyDescent="0.3">
      <c r="A39" s="17"/>
      <c r="B39" s="18"/>
      <c r="C39" s="18"/>
      <c r="D39" s="18"/>
      <c r="E39" s="10" t="str">
        <f>IF(B39="","",IFERROR(INDEX(Harytlar!$C$5:$C$44,MATCH(B39,Harytlar!$A$5:$A$44,0)),""))</f>
        <v/>
      </c>
      <c r="F39" s="10" t="str">
        <f t="shared" si="0"/>
        <v/>
      </c>
      <c r="G39" s="10" t="str">
        <f>IF(OR(C39="",B39=""),"",IFERROR(C39*INDEX(Harytlar!$D$5:$D$44,MATCH(B39,Harytlar!$A$5:$A$44,0)),""))</f>
        <v/>
      </c>
    </row>
    <row r="40" spans="1:7" x14ac:dyDescent="0.3">
      <c r="A40" s="17"/>
      <c r="B40" s="18"/>
      <c r="C40" s="18"/>
      <c r="D40" s="18"/>
      <c r="E40" s="10" t="str">
        <f>IF(B40="","",IFERROR(INDEX(Harytlar!$C$5:$C$44,MATCH(B40,Harytlar!$A$5:$A$44,0)),""))</f>
        <v/>
      </c>
      <c r="F40" s="10" t="str">
        <f t="shared" si="0"/>
        <v/>
      </c>
      <c r="G40" s="10" t="str">
        <f>IF(OR(C40="",B40=""),"",IFERROR(C40*INDEX(Harytlar!$D$5:$D$44,MATCH(B40,Harytlar!$A$5:$A$44,0)),""))</f>
        <v/>
      </c>
    </row>
    <row r="41" spans="1:7" x14ac:dyDescent="0.3">
      <c r="A41" s="17"/>
      <c r="B41" s="18"/>
      <c r="C41" s="18"/>
      <c r="D41" s="18"/>
      <c r="E41" s="10" t="str">
        <f>IF(B41="","",IFERROR(INDEX(Harytlar!$C$5:$C$44,MATCH(B41,Harytlar!$A$5:$A$44,0)),""))</f>
        <v/>
      </c>
      <c r="F41" s="10" t="str">
        <f t="shared" si="0"/>
        <v/>
      </c>
      <c r="G41" s="10" t="str">
        <f>IF(OR(C41="",B41=""),"",IFERROR(C41*INDEX(Harytlar!$D$5:$D$44,MATCH(B41,Harytlar!$A$5:$A$44,0)),""))</f>
        <v/>
      </c>
    </row>
    <row r="42" spans="1:7" x14ac:dyDescent="0.3">
      <c r="A42" s="17"/>
      <c r="B42" s="18"/>
      <c r="C42" s="18"/>
      <c r="D42" s="18"/>
      <c r="E42" s="10" t="str">
        <f>IF(B42="","",IFERROR(INDEX(Harytlar!$C$5:$C$44,MATCH(B42,Harytlar!$A$5:$A$44,0)),""))</f>
        <v/>
      </c>
      <c r="F42" s="10" t="str">
        <f t="shared" si="0"/>
        <v/>
      </c>
      <c r="G42" s="10" t="str">
        <f>IF(OR(C42="",B42=""),"",IFERROR(C42*INDEX(Harytlar!$D$5:$D$44,MATCH(B42,Harytlar!$A$5:$A$44,0)),""))</f>
        <v/>
      </c>
    </row>
    <row r="43" spans="1:7" x14ac:dyDescent="0.3">
      <c r="A43" s="17"/>
      <c r="B43" s="18"/>
      <c r="C43" s="18"/>
      <c r="D43" s="18"/>
      <c r="E43" s="10" t="str">
        <f>IF(B43="","",IFERROR(INDEX(Harytlar!$C$5:$C$44,MATCH(B43,Harytlar!$A$5:$A$44,0)),""))</f>
        <v/>
      </c>
      <c r="F43" s="10" t="str">
        <f t="shared" si="0"/>
        <v/>
      </c>
      <c r="G43" s="10" t="str">
        <f>IF(OR(C43="",B43=""),"",IFERROR(C43*INDEX(Harytlar!$D$5:$D$44,MATCH(B43,Harytlar!$A$5:$A$44,0)),""))</f>
        <v/>
      </c>
    </row>
    <row r="44" spans="1:7" x14ac:dyDescent="0.3">
      <c r="A44" s="17"/>
      <c r="B44" s="18"/>
      <c r="C44" s="18"/>
      <c r="D44" s="18"/>
      <c r="E44" s="10" t="str">
        <f>IF(B44="","",IFERROR(INDEX(Harytlar!$C$5:$C$44,MATCH(B44,Harytlar!$A$5:$A$44,0)),""))</f>
        <v/>
      </c>
      <c r="F44" s="10" t="str">
        <f t="shared" si="0"/>
        <v/>
      </c>
      <c r="G44" s="10" t="str">
        <f>IF(OR(C44="",B44=""),"",IFERROR(C44*INDEX(Harytlar!$D$5:$D$44,MATCH(B44,Harytlar!$A$5:$A$44,0)),""))</f>
        <v/>
      </c>
    </row>
    <row r="45" spans="1:7" x14ac:dyDescent="0.3">
      <c r="A45" s="17"/>
      <c r="B45" s="18"/>
      <c r="C45" s="18"/>
      <c r="D45" s="18"/>
      <c r="E45" s="10" t="str">
        <f>IF(B45="","",IFERROR(INDEX(Harytlar!$C$5:$C$44,MATCH(B45,Harytlar!$A$5:$A$44,0)),""))</f>
        <v/>
      </c>
      <c r="F45" s="10" t="str">
        <f t="shared" si="0"/>
        <v/>
      </c>
      <c r="G45" s="10" t="str">
        <f>IF(OR(C45="",B45=""),"",IFERROR(C45*INDEX(Harytlar!$D$5:$D$44,MATCH(B45,Harytlar!$A$5:$A$44,0)),""))</f>
        <v/>
      </c>
    </row>
    <row r="46" spans="1:7" x14ac:dyDescent="0.3">
      <c r="A46" s="17"/>
      <c r="B46" s="18"/>
      <c r="C46" s="18"/>
      <c r="D46" s="18"/>
      <c r="E46" s="10" t="str">
        <f>IF(B46="","",IFERROR(INDEX(Harytlar!$C$5:$C$44,MATCH(B46,Harytlar!$A$5:$A$44,0)),""))</f>
        <v/>
      </c>
      <c r="F46" s="10" t="str">
        <f t="shared" si="0"/>
        <v/>
      </c>
      <c r="G46" s="10" t="str">
        <f>IF(OR(C46="",B46=""),"",IFERROR(C46*INDEX(Harytlar!$D$5:$D$44,MATCH(B46,Harytlar!$A$5:$A$44,0)),""))</f>
        <v/>
      </c>
    </row>
    <row r="47" spans="1:7" x14ac:dyDescent="0.3">
      <c r="A47" s="17"/>
      <c r="B47" s="18"/>
      <c r="C47" s="18"/>
      <c r="D47" s="18"/>
      <c r="E47" s="10" t="str">
        <f>IF(B47="","",IFERROR(INDEX(Harytlar!$C$5:$C$44,MATCH(B47,Harytlar!$A$5:$A$44,0)),""))</f>
        <v/>
      </c>
      <c r="F47" s="10" t="str">
        <f t="shared" si="0"/>
        <v/>
      </c>
      <c r="G47" s="10" t="str">
        <f>IF(OR(C47="",B47=""),"",IFERROR(C47*INDEX(Harytlar!$D$5:$D$44,MATCH(B47,Harytlar!$A$5:$A$44,0)),""))</f>
        <v/>
      </c>
    </row>
    <row r="48" spans="1:7" x14ac:dyDescent="0.3">
      <c r="A48" s="17"/>
      <c r="B48" s="18"/>
      <c r="C48" s="18"/>
      <c r="D48" s="18"/>
      <c r="E48" s="10" t="str">
        <f>IF(B48="","",IFERROR(INDEX(Harytlar!$C$5:$C$44,MATCH(B48,Harytlar!$A$5:$A$44,0)),""))</f>
        <v/>
      </c>
      <c r="F48" s="10" t="str">
        <f t="shared" si="0"/>
        <v/>
      </c>
      <c r="G48" s="10" t="str">
        <f>IF(OR(C48="",B48=""),"",IFERROR(C48*INDEX(Harytlar!$D$5:$D$44,MATCH(B48,Harytlar!$A$5:$A$44,0)),""))</f>
        <v/>
      </c>
    </row>
    <row r="49" spans="1:7" x14ac:dyDescent="0.3">
      <c r="A49" s="17"/>
      <c r="B49" s="18"/>
      <c r="C49" s="18"/>
      <c r="D49" s="18"/>
      <c r="E49" s="10" t="str">
        <f>IF(B49="","",IFERROR(INDEX(Harytlar!$C$5:$C$44,MATCH(B49,Harytlar!$A$5:$A$44,0)),""))</f>
        <v/>
      </c>
      <c r="F49" s="10" t="str">
        <f t="shared" si="0"/>
        <v/>
      </c>
      <c r="G49" s="10" t="str">
        <f>IF(OR(C49="",B49=""),"",IFERROR(C49*INDEX(Harytlar!$D$5:$D$44,MATCH(B49,Harytlar!$A$5:$A$44,0)),""))</f>
        <v/>
      </c>
    </row>
    <row r="50" spans="1:7" x14ac:dyDescent="0.3">
      <c r="A50" s="17"/>
      <c r="B50" s="18"/>
      <c r="C50" s="18"/>
      <c r="D50" s="18"/>
      <c r="E50" s="10" t="str">
        <f>IF(B50="","",IFERROR(INDEX(Harytlar!$C$5:$C$44,MATCH(B50,Harytlar!$A$5:$A$44,0)),""))</f>
        <v/>
      </c>
      <c r="F50" s="10" t="str">
        <f t="shared" si="0"/>
        <v/>
      </c>
      <c r="G50" s="10" t="str">
        <f>IF(OR(C50="",B50=""),"",IFERROR(C50*INDEX(Harytlar!$D$5:$D$44,MATCH(B50,Harytlar!$A$5:$A$44,0)),""))</f>
        <v/>
      </c>
    </row>
    <row r="51" spans="1:7" x14ac:dyDescent="0.3">
      <c r="A51" s="17"/>
      <c r="B51" s="18"/>
      <c r="C51" s="18"/>
      <c r="D51" s="18"/>
      <c r="E51" s="10" t="str">
        <f>IF(B51="","",IFERROR(INDEX(Harytlar!$C$5:$C$44,MATCH(B51,Harytlar!$A$5:$A$44,0)),""))</f>
        <v/>
      </c>
      <c r="F51" s="10" t="str">
        <f t="shared" si="0"/>
        <v/>
      </c>
      <c r="G51" s="10" t="str">
        <f>IF(OR(C51="",B51=""),"",IFERROR(C51*INDEX(Harytlar!$D$5:$D$44,MATCH(B51,Harytlar!$A$5:$A$44,0)),""))</f>
        <v/>
      </c>
    </row>
    <row r="52" spans="1:7" x14ac:dyDescent="0.3">
      <c r="A52" s="17"/>
      <c r="B52" s="18"/>
      <c r="C52" s="18"/>
      <c r="D52" s="18"/>
      <c r="E52" s="10" t="str">
        <f>IF(B52="","",IFERROR(INDEX(Harytlar!$C$5:$C$44,MATCH(B52,Harytlar!$A$5:$A$44,0)),""))</f>
        <v/>
      </c>
      <c r="F52" s="10" t="str">
        <f t="shared" si="0"/>
        <v/>
      </c>
      <c r="G52" s="10" t="str">
        <f>IF(OR(C52="",B52=""),"",IFERROR(C52*INDEX(Harytlar!$D$5:$D$44,MATCH(B52,Harytlar!$A$5:$A$44,0)),""))</f>
        <v/>
      </c>
    </row>
    <row r="53" spans="1:7" x14ac:dyDescent="0.3">
      <c r="A53" s="17"/>
      <c r="B53" s="18"/>
      <c r="C53" s="18"/>
      <c r="D53" s="18"/>
      <c r="E53" s="10" t="str">
        <f>IF(B53="","",IFERROR(INDEX(Harytlar!$C$5:$C$44,MATCH(B53,Harytlar!$A$5:$A$44,0)),""))</f>
        <v/>
      </c>
      <c r="F53" s="10" t="str">
        <f t="shared" si="0"/>
        <v/>
      </c>
      <c r="G53" s="10" t="str">
        <f>IF(OR(C53="",B53=""),"",IFERROR(C53*INDEX(Harytlar!$D$5:$D$44,MATCH(B53,Harytlar!$A$5:$A$44,0)),""))</f>
        <v/>
      </c>
    </row>
    <row r="54" spans="1:7" x14ac:dyDescent="0.3">
      <c r="A54" s="17"/>
      <c r="B54" s="18"/>
      <c r="C54" s="18"/>
      <c r="D54" s="18"/>
      <c r="E54" s="10" t="str">
        <f>IF(B54="","",IFERROR(INDEX(Harytlar!$C$5:$C$44,MATCH(B54,Harytlar!$A$5:$A$44,0)),""))</f>
        <v/>
      </c>
      <c r="F54" s="10" t="str">
        <f t="shared" si="0"/>
        <v/>
      </c>
      <c r="G54" s="10" t="str">
        <f>IF(OR(C54="",B54=""),"",IFERROR(C54*INDEX(Harytlar!$D$5:$D$44,MATCH(B54,Harytlar!$A$5:$A$44,0)),""))</f>
        <v/>
      </c>
    </row>
    <row r="55" spans="1:7" x14ac:dyDescent="0.3">
      <c r="A55" s="17"/>
      <c r="B55" s="18"/>
      <c r="C55" s="18"/>
      <c r="D55" s="18"/>
      <c r="E55" s="10" t="str">
        <f>IF(B55="","",IFERROR(INDEX(Harytlar!$C$5:$C$44,MATCH(B55,Harytlar!$A$5:$A$44,0)),""))</f>
        <v/>
      </c>
      <c r="F55" s="10" t="str">
        <f t="shared" si="0"/>
        <v/>
      </c>
      <c r="G55" s="10" t="str">
        <f>IF(OR(C55="",B55=""),"",IFERROR(C55*INDEX(Harytlar!$D$5:$D$44,MATCH(B55,Harytlar!$A$5:$A$44,0)),""))</f>
        <v/>
      </c>
    </row>
    <row r="56" spans="1:7" x14ac:dyDescent="0.3">
      <c r="A56" s="17"/>
      <c r="B56" s="18"/>
      <c r="C56" s="18"/>
      <c r="D56" s="18"/>
      <c r="E56" s="10" t="str">
        <f>IF(B56="","",IFERROR(INDEX(Harytlar!$C$5:$C$44,MATCH(B56,Harytlar!$A$5:$A$44,0)),""))</f>
        <v/>
      </c>
      <c r="F56" s="10" t="str">
        <f t="shared" si="0"/>
        <v/>
      </c>
      <c r="G56" s="10" t="str">
        <f>IF(OR(C56="",B56=""),"",IFERROR(C56*INDEX(Harytlar!$D$5:$D$44,MATCH(B56,Harytlar!$A$5:$A$44,0)),""))</f>
        <v/>
      </c>
    </row>
    <row r="57" spans="1:7" x14ac:dyDescent="0.3">
      <c r="A57" s="17"/>
      <c r="B57" s="18"/>
      <c r="C57" s="18"/>
      <c r="D57" s="18"/>
      <c r="E57" s="10" t="str">
        <f>IF(B57="","",IFERROR(INDEX(Harytlar!$C$5:$C$44,MATCH(B57,Harytlar!$A$5:$A$44,0)),""))</f>
        <v/>
      </c>
      <c r="F57" s="10" t="str">
        <f t="shared" si="0"/>
        <v/>
      </c>
      <c r="G57" s="10" t="str">
        <f>IF(OR(C57="",B57=""),"",IFERROR(C57*INDEX(Harytlar!$D$5:$D$44,MATCH(B57,Harytlar!$A$5:$A$44,0)),""))</f>
        <v/>
      </c>
    </row>
    <row r="58" spans="1:7" x14ac:dyDescent="0.3">
      <c r="A58" s="17"/>
      <c r="B58" s="18"/>
      <c r="C58" s="18"/>
      <c r="D58" s="18"/>
      <c r="E58" s="10" t="str">
        <f>IF(B58="","",IFERROR(INDEX(Harytlar!$C$5:$C$44,MATCH(B58,Harytlar!$A$5:$A$44,0)),""))</f>
        <v/>
      </c>
      <c r="F58" s="10" t="str">
        <f t="shared" si="0"/>
        <v/>
      </c>
      <c r="G58" s="10" t="str">
        <f>IF(OR(C58="",B58=""),"",IFERROR(C58*INDEX(Harytlar!$D$5:$D$44,MATCH(B58,Harytlar!$A$5:$A$44,0)),""))</f>
        <v/>
      </c>
    </row>
    <row r="59" spans="1:7" x14ac:dyDescent="0.3">
      <c r="A59" s="17"/>
      <c r="B59" s="18"/>
      <c r="C59" s="18"/>
      <c r="D59" s="18"/>
      <c r="E59" s="10" t="str">
        <f>IF(B59="","",IFERROR(INDEX(Harytlar!$C$5:$C$44,MATCH(B59,Harytlar!$A$5:$A$44,0)),""))</f>
        <v/>
      </c>
      <c r="F59" s="10" t="str">
        <f t="shared" si="0"/>
        <v/>
      </c>
      <c r="G59" s="10" t="str">
        <f>IF(OR(C59="",B59=""),"",IFERROR(C59*INDEX(Harytlar!$D$5:$D$44,MATCH(B59,Harytlar!$A$5:$A$44,0)),""))</f>
        <v/>
      </c>
    </row>
    <row r="60" spans="1:7" x14ac:dyDescent="0.3">
      <c r="A60" s="17"/>
      <c r="B60" s="18"/>
      <c r="C60" s="18"/>
      <c r="D60" s="18"/>
      <c r="E60" s="10" t="str">
        <f>IF(B60="","",IFERROR(INDEX(Harytlar!$C$5:$C$44,MATCH(B60,Harytlar!$A$5:$A$44,0)),""))</f>
        <v/>
      </c>
      <c r="F60" s="10" t="str">
        <f t="shared" si="0"/>
        <v/>
      </c>
      <c r="G60" s="10" t="str">
        <f>IF(OR(C60="",B60=""),"",IFERROR(C60*INDEX(Harytlar!$D$5:$D$44,MATCH(B60,Harytlar!$A$5:$A$44,0)),""))</f>
        <v/>
      </c>
    </row>
    <row r="61" spans="1:7" x14ac:dyDescent="0.3">
      <c r="A61" s="17"/>
      <c r="B61" s="18"/>
      <c r="C61" s="18"/>
      <c r="D61" s="18"/>
      <c r="E61" s="10" t="str">
        <f>IF(B61="","",IFERROR(INDEX(Harytlar!$C$5:$C$44,MATCH(B61,Harytlar!$A$5:$A$44,0)),""))</f>
        <v/>
      </c>
      <c r="F61" s="10" t="str">
        <f t="shared" si="0"/>
        <v/>
      </c>
      <c r="G61" s="10" t="str">
        <f>IF(OR(C61="",B61=""),"",IFERROR(C61*INDEX(Harytlar!$D$5:$D$44,MATCH(B61,Harytlar!$A$5:$A$44,0)),""))</f>
        <v/>
      </c>
    </row>
    <row r="62" spans="1:7" x14ac:dyDescent="0.3">
      <c r="A62" s="17"/>
      <c r="B62" s="18"/>
      <c r="C62" s="18"/>
      <c r="D62" s="18"/>
      <c r="E62" s="10" t="str">
        <f>IF(B62="","",IFERROR(INDEX(Harytlar!$C$5:$C$44,MATCH(B62,Harytlar!$A$5:$A$44,0)),""))</f>
        <v/>
      </c>
      <c r="F62" s="10" t="str">
        <f t="shared" si="0"/>
        <v/>
      </c>
      <c r="G62" s="10" t="str">
        <f>IF(OR(C62="",B62=""),"",IFERROR(C62*INDEX(Harytlar!$D$5:$D$44,MATCH(B62,Harytlar!$A$5:$A$44,0)),""))</f>
        <v/>
      </c>
    </row>
    <row r="63" spans="1:7" x14ac:dyDescent="0.3">
      <c r="A63" s="17"/>
      <c r="B63" s="18"/>
      <c r="C63" s="18"/>
      <c r="D63" s="18"/>
      <c r="E63" s="10" t="str">
        <f>IF(B63="","",IFERROR(INDEX(Harytlar!$C$5:$C$44,MATCH(B63,Harytlar!$A$5:$A$44,0)),""))</f>
        <v/>
      </c>
      <c r="F63" s="10" t="str">
        <f t="shared" si="0"/>
        <v/>
      </c>
      <c r="G63" s="10" t="str">
        <f>IF(OR(C63="",B63=""),"",IFERROR(C63*INDEX(Harytlar!$D$5:$D$44,MATCH(B63,Harytlar!$A$5:$A$44,0)),""))</f>
        <v/>
      </c>
    </row>
    <row r="64" spans="1:7" x14ac:dyDescent="0.3">
      <c r="A64" s="17"/>
      <c r="B64" s="18"/>
      <c r="C64" s="18"/>
      <c r="D64" s="18"/>
      <c r="E64" s="10" t="str">
        <f>IF(B64="","",IFERROR(INDEX(Harytlar!$C$5:$C$44,MATCH(B64,Harytlar!$A$5:$A$44,0)),""))</f>
        <v/>
      </c>
      <c r="F64" s="10" t="str">
        <f t="shared" si="0"/>
        <v/>
      </c>
      <c r="G64" s="10" t="str">
        <f>IF(OR(C64="",B64=""),"",IFERROR(C64*INDEX(Harytlar!$D$5:$D$44,MATCH(B64,Harytlar!$A$5:$A$44,0)),""))</f>
        <v/>
      </c>
    </row>
    <row r="65" spans="1:7" x14ac:dyDescent="0.3">
      <c r="A65" s="17"/>
      <c r="B65" s="18"/>
      <c r="C65" s="18"/>
      <c r="D65" s="18"/>
      <c r="E65" s="10" t="str">
        <f>IF(B65="","",IFERROR(INDEX(Harytlar!$C$5:$C$44,MATCH(B65,Harytlar!$A$5:$A$44,0)),""))</f>
        <v/>
      </c>
      <c r="F65" s="10" t="str">
        <f t="shared" si="0"/>
        <v/>
      </c>
      <c r="G65" s="10" t="str">
        <f>IF(OR(C65="",B65=""),"",IFERROR(C65*INDEX(Harytlar!$D$5:$D$44,MATCH(B65,Harytlar!$A$5:$A$44,0)),""))</f>
        <v/>
      </c>
    </row>
    <row r="66" spans="1:7" x14ac:dyDescent="0.3">
      <c r="A66" s="17"/>
      <c r="B66" s="18"/>
      <c r="C66" s="18"/>
      <c r="D66" s="18"/>
      <c r="E66" s="10" t="str">
        <f>IF(B66="","",IFERROR(INDEX(Harytlar!$C$5:$C$44,MATCH(B66,Harytlar!$A$5:$A$44,0)),""))</f>
        <v/>
      </c>
      <c r="F66" s="10" t="str">
        <f t="shared" si="0"/>
        <v/>
      </c>
      <c r="G66" s="10" t="str">
        <f>IF(OR(C66="",B66=""),"",IFERROR(C66*INDEX(Harytlar!$D$5:$D$44,MATCH(B66,Harytlar!$A$5:$A$44,0)),""))</f>
        <v/>
      </c>
    </row>
    <row r="67" spans="1:7" x14ac:dyDescent="0.3">
      <c r="A67" s="17"/>
      <c r="B67" s="18"/>
      <c r="C67" s="18"/>
      <c r="D67" s="18"/>
      <c r="E67" s="10" t="str">
        <f>IF(B67="","",IFERROR(INDEX(Harytlar!$C$5:$C$44,MATCH(B67,Harytlar!$A$5:$A$44,0)),""))</f>
        <v/>
      </c>
      <c r="F67" s="10" t="str">
        <f t="shared" si="0"/>
        <v/>
      </c>
      <c r="G67" s="10" t="str">
        <f>IF(OR(C67="",B67=""),"",IFERROR(C67*INDEX(Harytlar!$D$5:$D$44,MATCH(B67,Harytlar!$A$5:$A$44,0)),""))</f>
        <v/>
      </c>
    </row>
    <row r="68" spans="1:7" x14ac:dyDescent="0.3">
      <c r="A68" s="17"/>
      <c r="B68" s="18"/>
      <c r="C68" s="18"/>
      <c r="D68" s="18"/>
      <c r="E68" s="10" t="str">
        <f>IF(B68="","",IFERROR(INDEX(Harytlar!$C$5:$C$44,MATCH(B68,Harytlar!$A$5:$A$44,0)),""))</f>
        <v/>
      </c>
      <c r="F68" s="10" t="str">
        <f t="shared" si="0"/>
        <v/>
      </c>
      <c r="G68" s="10" t="str">
        <f>IF(OR(C68="",B68=""),"",IFERROR(C68*INDEX(Harytlar!$D$5:$D$44,MATCH(B68,Harytlar!$A$5:$A$44,0)),""))</f>
        <v/>
      </c>
    </row>
    <row r="69" spans="1:7" x14ac:dyDescent="0.3">
      <c r="A69" s="17"/>
      <c r="B69" s="18"/>
      <c r="C69" s="18"/>
      <c r="D69" s="18"/>
      <c r="E69" s="10" t="str">
        <f>IF(B69="","",IFERROR(INDEX(Harytlar!$C$5:$C$44,MATCH(B69,Harytlar!$A$5:$A$44,0)),""))</f>
        <v/>
      </c>
      <c r="F69" s="10" t="str">
        <f t="shared" si="0"/>
        <v/>
      </c>
      <c r="G69" s="10" t="str">
        <f>IF(OR(C69="",B69=""),"",IFERROR(C69*INDEX(Harytlar!$D$5:$D$44,MATCH(B69,Harytlar!$A$5:$A$44,0)),""))</f>
        <v/>
      </c>
    </row>
    <row r="70" spans="1:7" x14ac:dyDescent="0.3">
      <c r="A70" s="17"/>
      <c r="B70" s="18"/>
      <c r="C70" s="18"/>
      <c r="D70" s="18"/>
      <c r="E70" s="10" t="str">
        <f>IF(B70="","",IFERROR(INDEX(Harytlar!$C$5:$C$44,MATCH(B70,Harytlar!$A$5:$A$44,0)),""))</f>
        <v/>
      </c>
      <c r="F70" s="10" t="str">
        <f t="shared" ref="F70:F133" si="1">IF(OR(C70="",E70=""),"",C70*E70)</f>
        <v/>
      </c>
      <c r="G70" s="10" t="str">
        <f>IF(OR(C70="",B70=""),"",IFERROR(C70*INDEX(Harytlar!$D$5:$D$44,MATCH(B70,Harytlar!$A$5:$A$44,0)),""))</f>
        <v/>
      </c>
    </row>
    <row r="71" spans="1:7" x14ac:dyDescent="0.3">
      <c r="A71" s="17"/>
      <c r="B71" s="18"/>
      <c r="C71" s="18"/>
      <c r="D71" s="18"/>
      <c r="E71" s="10" t="str">
        <f>IF(B71="","",IFERROR(INDEX(Harytlar!$C$5:$C$44,MATCH(B71,Harytlar!$A$5:$A$44,0)),""))</f>
        <v/>
      </c>
      <c r="F71" s="10" t="str">
        <f t="shared" si="1"/>
        <v/>
      </c>
      <c r="G71" s="10" t="str">
        <f>IF(OR(C71="",B71=""),"",IFERROR(C71*INDEX(Harytlar!$D$5:$D$44,MATCH(B71,Harytlar!$A$5:$A$44,0)),""))</f>
        <v/>
      </c>
    </row>
    <row r="72" spans="1:7" x14ac:dyDescent="0.3">
      <c r="A72" s="17"/>
      <c r="B72" s="18"/>
      <c r="C72" s="18"/>
      <c r="D72" s="18"/>
      <c r="E72" s="10" t="str">
        <f>IF(B72="","",IFERROR(INDEX(Harytlar!$C$5:$C$44,MATCH(B72,Harytlar!$A$5:$A$44,0)),""))</f>
        <v/>
      </c>
      <c r="F72" s="10" t="str">
        <f t="shared" si="1"/>
        <v/>
      </c>
      <c r="G72" s="10" t="str">
        <f>IF(OR(C72="",B72=""),"",IFERROR(C72*INDEX(Harytlar!$D$5:$D$44,MATCH(B72,Harytlar!$A$5:$A$44,0)),""))</f>
        <v/>
      </c>
    </row>
    <row r="73" spans="1:7" x14ac:dyDescent="0.3">
      <c r="A73" s="17"/>
      <c r="B73" s="18"/>
      <c r="C73" s="18"/>
      <c r="D73" s="18"/>
      <c r="E73" s="10" t="str">
        <f>IF(B73="","",IFERROR(INDEX(Harytlar!$C$5:$C$44,MATCH(B73,Harytlar!$A$5:$A$44,0)),""))</f>
        <v/>
      </c>
      <c r="F73" s="10" t="str">
        <f t="shared" si="1"/>
        <v/>
      </c>
      <c r="G73" s="10" t="str">
        <f>IF(OR(C73="",B73=""),"",IFERROR(C73*INDEX(Harytlar!$D$5:$D$44,MATCH(B73,Harytlar!$A$5:$A$44,0)),""))</f>
        <v/>
      </c>
    </row>
    <row r="74" spans="1:7" x14ac:dyDescent="0.3">
      <c r="A74" s="17"/>
      <c r="B74" s="18"/>
      <c r="C74" s="18"/>
      <c r="D74" s="18"/>
      <c r="E74" s="10" t="str">
        <f>IF(B74="","",IFERROR(INDEX(Harytlar!$C$5:$C$44,MATCH(B74,Harytlar!$A$5:$A$44,0)),""))</f>
        <v/>
      </c>
      <c r="F74" s="10" t="str">
        <f t="shared" si="1"/>
        <v/>
      </c>
      <c r="G74" s="10" t="str">
        <f>IF(OR(C74="",B74=""),"",IFERROR(C74*INDEX(Harytlar!$D$5:$D$44,MATCH(B74,Harytlar!$A$5:$A$44,0)),""))</f>
        <v/>
      </c>
    </row>
    <row r="75" spans="1:7" x14ac:dyDescent="0.3">
      <c r="A75" s="17"/>
      <c r="B75" s="18"/>
      <c r="C75" s="18"/>
      <c r="D75" s="18"/>
      <c r="E75" s="10" t="str">
        <f>IF(B75="","",IFERROR(INDEX(Harytlar!$C$5:$C$44,MATCH(B75,Harytlar!$A$5:$A$44,0)),""))</f>
        <v/>
      </c>
      <c r="F75" s="10" t="str">
        <f t="shared" si="1"/>
        <v/>
      </c>
      <c r="G75" s="10" t="str">
        <f>IF(OR(C75="",B75=""),"",IFERROR(C75*INDEX(Harytlar!$D$5:$D$44,MATCH(B75,Harytlar!$A$5:$A$44,0)),""))</f>
        <v/>
      </c>
    </row>
    <row r="76" spans="1:7" x14ac:dyDescent="0.3">
      <c r="A76" s="17"/>
      <c r="B76" s="18"/>
      <c r="C76" s="18"/>
      <c r="D76" s="18"/>
      <c r="E76" s="10" t="str">
        <f>IF(B76="","",IFERROR(INDEX(Harytlar!$C$5:$C$44,MATCH(B76,Harytlar!$A$5:$A$44,0)),""))</f>
        <v/>
      </c>
      <c r="F76" s="10" t="str">
        <f t="shared" si="1"/>
        <v/>
      </c>
      <c r="G76" s="10" t="str">
        <f>IF(OR(C76="",B76=""),"",IFERROR(C76*INDEX(Harytlar!$D$5:$D$44,MATCH(B76,Harytlar!$A$5:$A$44,0)),""))</f>
        <v/>
      </c>
    </row>
    <row r="77" spans="1:7" x14ac:dyDescent="0.3">
      <c r="A77" s="17"/>
      <c r="B77" s="18"/>
      <c r="C77" s="18"/>
      <c r="D77" s="18"/>
      <c r="E77" s="10" t="str">
        <f>IF(B77="","",IFERROR(INDEX(Harytlar!$C$5:$C$44,MATCH(B77,Harytlar!$A$5:$A$44,0)),""))</f>
        <v/>
      </c>
      <c r="F77" s="10" t="str">
        <f t="shared" si="1"/>
        <v/>
      </c>
      <c r="G77" s="10" t="str">
        <f>IF(OR(C77="",B77=""),"",IFERROR(C77*INDEX(Harytlar!$D$5:$D$44,MATCH(B77,Harytlar!$A$5:$A$44,0)),""))</f>
        <v/>
      </c>
    </row>
    <row r="78" spans="1:7" x14ac:dyDescent="0.3">
      <c r="A78" s="17"/>
      <c r="B78" s="18"/>
      <c r="C78" s="18"/>
      <c r="D78" s="18"/>
      <c r="E78" s="10" t="str">
        <f>IF(B78="","",IFERROR(INDEX(Harytlar!$C$5:$C$44,MATCH(B78,Harytlar!$A$5:$A$44,0)),""))</f>
        <v/>
      </c>
      <c r="F78" s="10" t="str">
        <f t="shared" si="1"/>
        <v/>
      </c>
      <c r="G78" s="10" t="str">
        <f>IF(OR(C78="",B78=""),"",IFERROR(C78*INDEX(Harytlar!$D$5:$D$44,MATCH(B78,Harytlar!$A$5:$A$44,0)),""))</f>
        <v/>
      </c>
    </row>
    <row r="79" spans="1:7" x14ac:dyDescent="0.3">
      <c r="A79" s="17"/>
      <c r="B79" s="18"/>
      <c r="C79" s="18"/>
      <c r="D79" s="18"/>
      <c r="E79" s="10" t="str">
        <f>IF(B79="","",IFERROR(INDEX(Harytlar!$C$5:$C$44,MATCH(B79,Harytlar!$A$5:$A$44,0)),""))</f>
        <v/>
      </c>
      <c r="F79" s="10" t="str">
        <f t="shared" si="1"/>
        <v/>
      </c>
      <c r="G79" s="10" t="str">
        <f>IF(OR(C79="",B79=""),"",IFERROR(C79*INDEX(Harytlar!$D$5:$D$44,MATCH(B79,Harytlar!$A$5:$A$44,0)),""))</f>
        <v/>
      </c>
    </row>
    <row r="80" spans="1:7" x14ac:dyDescent="0.3">
      <c r="A80" s="17"/>
      <c r="B80" s="18"/>
      <c r="C80" s="18"/>
      <c r="D80" s="18"/>
      <c r="E80" s="10" t="str">
        <f>IF(B80="","",IFERROR(INDEX(Harytlar!$C$5:$C$44,MATCH(B80,Harytlar!$A$5:$A$44,0)),""))</f>
        <v/>
      </c>
      <c r="F80" s="10" t="str">
        <f t="shared" si="1"/>
        <v/>
      </c>
      <c r="G80" s="10" t="str">
        <f>IF(OR(C80="",B80=""),"",IFERROR(C80*INDEX(Harytlar!$D$5:$D$44,MATCH(B80,Harytlar!$A$5:$A$44,0)),""))</f>
        <v/>
      </c>
    </row>
    <row r="81" spans="1:7" x14ac:dyDescent="0.3">
      <c r="A81" s="17"/>
      <c r="B81" s="18"/>
      <c r="C81" s="18"/>
      <c r="D81" s="18"/>
      <c r="E81" s="10" t="str">
        <f>IF(B81="","",IFERROR(INDEX(Harytlar!$C$5:$C$44,MATCH(B81,Harytlar!$A$5:$A$44,0)),""))</f>
        <v/>
      </c>
      <c r="F81" s="10" t="str">
        <f t="shared" si="1"/>
        <v/>
      </c>
      <c r="G81" s="10" t="str">
        <f>IF(OR(C81="",B81=""),"",IFERROR(C81*INDEX(Harytlar!$D$5:$D$44,MATCH(B81,Harytlar!$A$5:$A$44,0)),""))</f>
        <v/>
      </c>
    </row>
    <row r="82" spans="1:7" x14ac:dyDescent="0.3">
      <c r="A82" s="17"/>
      <c r="B82" s="18"/>
      <c r="C82" s="18"/>
      <c r="D82" s="18"/>
      <c r="E82" s="10" t="str">
        <f>IF(B82="","",IFERROR(INDEX(Harytlar!$C$5:$C$44,MATCH(B82,Harytlar!$A$5:$A$44,0)),""))</f>
        <v/>
      </c>
      <c r="F82" s="10" t="str">
        <f t="shared" si="1"/>
        <v/>
      </c>
      <c r="G82" s="10" t="str">
        <f>IF(OR(C82="",B82=""),"",IFERROR(C82*INDEX(Harytlar!$D$5:$D$44,MATCH(B82,Harytlar!$A$5:$A$44,0)),""))</f>
        <v/>
      </c>
    </row>
    <row r="83" spans="1:7" x14ac:dyDescent="0.3">
      <c r="A83" s="17"/>
      <c r="B83" s="18"/>
      <c r="C83" s="18"/>
      <c r="D83" s="18"/>
      <c r="E83" s="10" t="str">
        <f>IF(B83="","",IFERROR(INDEX(Harytlar!$C$5:$C$44,MATCH(B83,Harytlar!$A$5:$A$44,0)),""))</f>
        <v/>
      </c>
      <c r="F83" s="10" t="str">
        <f t="shared" si="1"/>
        <v/>
      </c>
      <c r="G83" s="10" t="str">
        <f>IF(OR(C83="",B83=""),"",IFERROR(C83*INDEX(Harytlar!$D$5:$D$44,MATCH(B83,Harytlar!$A$5:$A$44,0)),""))</f>
        <v/>
      </c>
    </row>
    <row r="84" spans="1:7" x14ac:dyDescent="0.3">
      <c r="A84" s="17"/>
      <c r="B84" s="18"/>
      <c r="C84" s="18"/>
      <c r="D84" s="18"/>
      <c r="E84" s="10" t="str">
        <f>IF(B84="","",IFERROR(INDEX(Harytlar!$C$5:$C$44,MATCH(B84,Harytlar!$A$5:$A$44,0)),""))</f>
        <v/>
      </c>
      <c r="F84" s="10" t="str">
        <f t="shared" si="1"/>
        <v/>
      </c>
      <c r="G84" s="10" t="str">
        <f>IF(OR(C84="",B84=""),"",IFERROR(C84*INDEX(Harytlar!$D$5:$D$44,MATCH(B84,Harytlar!$A$5:$A$44,0)),""))</f>
        <v/>
      </c>
    </row>
    <row r="85" spans="1:7" x14ac:dyDescent="0.3">
      <c r="A85" s="17"/>
      <c r="B85" s="18"/>
      <c r="C85" s="18"/>
      <c r="D85" s="18"/>
      <c r="E85" s="10" t="str">
        <f>IF(B85="","",IFERROR(INDEX(Harytlar!$C$5:$C$44,MATCH(B85,Harytlar!$A$5:$A$44,0)),""))</f>
        <v/>
      </c>
      <c r="F85" s="10" t="str">
        <f t="shared" si="1"/>
        <v/>
      </c>
      <c r="G85" s="10" t="str">
        <f>IF(OR(C85="",B85=""),"",IFERROR(C85*INDEX(Harytlar!$D$5:$D$44,MATCH(B85,Harytlar!$A$5:$A$44,0)),""))</f>
        <v/>
      </c>
    </row>
    <row r="86" spans="1:7" x14ac:dyDescent="0.3">
      <c r="A86" s="17"/>
      <c r="B86" s="18"/>
      <c r="C86" s="18"/>
      <c r="D86" s="18"/>
      <c r="E86" s="10" t="str">
        <f>IF(B86="","",IFERROR(INDEX(Harytlar!$C$5:$C$44,MATCH(B86,Harytlar!$A$5:$A$44,0)),""))</f>
        <v/>
      </c>
      <c r="F86" s="10" t="str">
        <f t="shared" si="1"/>
        <v/>
      </c>
      <c r="G86" s="10" t="str">
        <f>IF(OR(C86="",B86=""),"",IFERROR(C86*INDEX(Harytlar!$D$5:$D$44,MATCH(B86,Harytlar!$A$5:$A$44,0)),""))</f>
        <v/>
      </c>
    </row>
    <row r="87" spans="1:7" x14ac:dyDescent="0.3">
      <c r="A87" s="17"/>
      <c r="B87" s="18"/>
      <c r="C87" s="18"/>
      <c r="D87" s="18"/>
      <c r="E87" s="10" t="str">
        <f>IF(B87="","",IFERROR(INDEX(Harytlar!$C$5:$C$44,MATCH(B87,Harytlar!$A$5:$A$44,0)),""))</f>
        <v/>
      </c>
      <c r="F87" s="10" t="str">
        <f t="shared" si="1"/>
        <v/>
      </c>
      <c r="G87" s="10" t="str">
        <f>IF(OR(C87="",B87=""),"",IFERROR(C87*INDEX(Harytlar!$D$5:$D$44,MATCH(B87,Harytlar!$A$5:$A$44,0)),""))</f>
        <v/>
      </c>
    </row>
    <row r="88" spans="1:7" x14ac:dyDescent="0.3">
      <c r="A88" s="17"/>
      <c r="B88" s="18"/>
      <c r="C88" s="18"/>
      <c r="D88" s="18"/>
      <c r="E88" s="10" t="str">
        <f>IF(B88="","",IFERROR(INDEX(Harytlar!$C$5:$C$44,MATCH(B88,Harytlar!$A$5:$A$44,0)),""))</f>
        <v/>
      </c>
      <c r="F88" s="10" t="str">
        <f t="shared" si="1"/>
        <v/>
      </c>
      <c r="G88" s="10" t="str">
        <f>IF(OR(C88="",B88=""),"",IFERROR(C88*INDEX(Harytlar!$D$5:$D$44,MATCH(B88,Harytlar!$A$5:$A$44,0)),""))</f>
        <v/>
      </c>
    </row>
    <row r="89" spans="1:7" x14ac:dyDescent="0.3">
      <c r="A89" s="17"/>
      <c r="B89" s="18"/>
      <c r="C89" s="18"/>
      <c r="D89" s="18"/>
      <c r="E89" s="10" t="str">
        <f>IF(B89="","",IFERROR(INDEX(Harytlar!$C$5:$C$44,MATCH(B89,Harytlar!$A$5:$A$44,0)),""))</f>
        <v/>
      </c>
      <c r="F89" s="10" t="str">
        <f t="shared" si="1"/>
        <v/>
      </c>
      <c r="G89" s="10" t="str">
        <f>IF(OR(C89="",B89=""),"",IFERROR(C89*INDEX(Harytlar!$D$5:$D$44,MATCH(B89,Harytlar!$A$5:$A$44,0)),""))</f>
        <v/>
      </c>
    </row>
    <row r="90" spans="1:7" x14ac:dyDescent="0.3">
      <c r="A90" s="17"/>
      <c r="B90" s="18"/>
      <c r="C90" s="18"/>
      <c r="D90" s="18"/>
      <c r="E90" s="10" t="str">
        <f>IF(B90="","",IFERROR(INDEX(Harytlar!$C$5:$C$44,MATCH(B90,Harytlar!$A$5:$A$44,0)),""))</f>
        <v/>
      </c>
      <c r="F90" s="10" t="str">
        <f t="shared" si="1"/>
        <v/>
      </c>
      <c r="G90" s="10" t="str">
        <f>IF(OR(C90="",B90=""),"",IFERROR(C90*INDEX(Harytlar!$D$5:$D$44,MATCH(B90,Harytlar!$A$5:$A$44,0)),""))</f>
        <v/>
      </c>
    </row>
    <row r="91" spans="1:7" x14ac:dyDescent="0.3">
      <c r="A91" s="17"/>
      <c r="B91" s="18"/>
      <c r="C91" s="18"/>
      <c r="D91" s="18"/>
      <c r="E91" s="10" t="str">
        <f>IF(B91="","",IFERROR(INDEX(Harytlar!$C$5:$C$44,MATCH(B91,Harytlar!$A$5:$A$44,0)),""))</f>
        <v/>
      </c>
      <c r="F91" s="10" t="str">
        <f t="shared" si="1"/>
        <v/>
      </c>
      <c r="G91" s="10" t="str">
        <f>IF(OR(C91="",B91=""),"",IFERROR(C91*INDEX(Harytlar!$D$5:$D$44,MATCH(B91,Harytlar!$A$5:$A$44,0)),""))</f>
        <v/>
      </c>
    </row>
    <row r="92" spans="1:7" x14ac:dyDescent="0.3">
      <c r="A92" s="17"/>
      <c r="B92" s="18"/>
      <c r="C92" s="18"/>
      <c r="D92" s="18"/>
      <c r="E92" s="10" t="str">
        <f>IF(B92="","",IFERROR(INDEX(Harytlar!$C$5:$C$44,MATCH(B92,Harytlar!$A$5:$A$44,0)),""))</f>
        <v/>
      </c>
      <c r="F92" s="10" t="str">
        <f t="shared" si="1"/>
        <v/>
      </c>
      <c r="G92" s="10" t="str">
        <f>IF(OR(C92="",B92=""),"",IFERROR(C92*INDEX(Harytlar!$D$5:$D$44,MATCH(B92,Harytlar!$A$5:$A$44,0)),""))</f>
        <v/>
      </c>
    </row>
    <row r="93" spans="1:7" x14ac:dyDescent="0.3">
      <c r="A93" s="17"/>
      <c r="B93" s="18"/>
      <c r="C93" s="18"/>
      <c r="D93" s="18"/>
      <c r="E93" s="10" t="str">
        <f>IF(B93="","",IFERROR(INDEX(Harytlar!$C$5:$C$44,MATCH(B93,Harytlar!$A$5:$A$44,0)),""))</f>
        <v/>
      </c>
      <c r="F93" s="10" t="str">
        <f t="shared" si="1"/>
        <v/>
      </c>
      <c r="G93" s="10" t="str">
        <f>IF(OR(C93="",B93=""),"",IFERROR(C93*INDEX(Harytlar!$D$5:$D$44,MATCH(B93,Harytlar!$A$5:$A$44,0)),""))</f>
        <v/>
      </c>
    </row>
    <row r="94" spans="1:7" x14ac:dyDescent="0.3">
      <c r="A94" s="17"/>
      <c r="B94" s="18"/>
      <c r="C94" s="18"/>
      <c r="D94" s="18"/>
      <c r="E94" s="10" t="str">
        <f>IF(B94="","",IFERROR(INDEX(Harytlar!$C$5:$C$44,MATCH(B94,Harytlar!$A$5:$A$44,0)),""))</f>
        <v/>
      </c>
      <c r="F94" s="10" t="str">
        <f t="shared" si="1"/>
        <v/>
      </c>
      <c r="G94" s="10" t="str">
        <f>IF(OR(C94="",B94=""),"",IFERROR(C94*INDEX(Harytlar!$D$5:$D$44,MATCH(B94,Harytlar!$A$5:$A$44,0)),""))</f>
        <v/>
      </c>
    </row>
    <row r="95" spans="1:7" x14ac:dyDescent="0.3">
      <c r="A95" s="17"/>
      <c r="B95" s="18"/>
      <c r="C95" s="18"/>
      <c r="D95" s="18"/>
      <c r="E95" s="10" t="str">
        <f>IF(B95="","",IFERROR(INDEX(Harytlar!$C$5:$C$44,MATCH(B95,Harytlar!$A$5:$A$44,0)),""))</f>
        <v/>
      </c>
      <c r="F95" s="10" t="str">
        <f t="shared" si="1"/>
        <v/>
      </c>
      <c r="G95" s="10" t="str">
        <f>IF(OR(C95="",B95=""),"",IFERROR(C95*INDEX(Harytlar!$D$5:$D$44,MATCH(B95,Harytlar!$A$5:$A$44,0)),""))</f>
        <v/>
      </c>
    </row>
    <row r="96" spans="1:7" x14ac:dyDescent="0.3">
      <c r="A96" s="17"/>
      <c r="B96" s="18"/>
      <c r="C96" s="18"/>
      <c r="D96" s="18"/>
      <c r="E96" s="10" t="str">
        <f>IF(B96="","",IFERROR(INDEX(Harytlar!$C$5:$C$44,MATCH(B96,Harytlar!$A$5:$A$44,0)),""))</f>
        <v/>
      </c>
      <c r="F96" s="10" t="str">
        <f t="shared" si="1"/>
        <v/>
      </c>
      <c r="G96" s="10" t="str">
        <f>IF(OR(C96="",B96=""),"",IFERROR(C96*INDEX(Harytlar!$D$5:$D$44,MATCH(B96,Harytlar!$A$5:$A$44,0)),""))</f>
        <v/>
      </c>
    </row>
    <row r="97" spans="1:7" x14ac:dyDescent="0.3">
      <c r="A97" s="17"/>
      <c r="B97" s="18"/>
      <c r="C97" s="18"/>
      <c r="D97" s="18"/>
      <c r="E97" s="10" t="str">
        <f>IF(B97="","",IFERROR(INDEX(Harytlar!$C$5:$C$44,MATCH(B97,Harytlar!$A$5:$A$44,0)),""))</f>
        <v/>
      </c>
      <c r="F97" s="10" t="str">
        <f t="shared" si="1"/>
        <v/>
      </c>
      <c r="G97" s="10" t="str">
        <f>IF(OR(C97="",B97=""),"",IFERROR(C97*INDEX(Harytlar!$D$5:$D$44,MATCH(B97,Harytlar!$A$5:$A$44,0)),""))</f>
        <v/>
      </c>
    </row>
    <row r="98" spans="1:7" x14ac:dyDescent="0.3">
      <c r="A98" s="17"/>
      <c r="B98" s="18"/>
      <c r="C98" s="18"/>
      <c r="D98" s="18"/>
      <c r="E98" s="10" t="str">
        <f>IF(B98="","",IFERROR(INDEX(Harytlar!$C$5:$C$44,MATCH(B98,Harytlar!$A$5:$A$44,0)),""))</f>
        <v/>
      </c>
      <c r="F98" s="10" t="str">
        <f t="shared" si="1"/>
        <v/>
      </c>
      <c r="G98" s="10" t="str">
        <f>IF(OR(C98="",B98=""),"",IFERROR(C98*INDEX(Harytlar!$D$5:$D$44,MATCH(B98,Harytlar!$A$5:$A$44,0)),""))</f>
        <v/>
      </c>
    </row>
    <row r="99" spans="1:7" x14ac:dyDescent="0.3">
      <c r="A99" s="17"/>
      <c r="B99" s="18"/>
      <c r="C99" s="18"/>
      <c r="D99" s="18"/>
      <c r="E99" s="10" t="str">
        <f>IF(B99="","",IFERROR(INDEX(Harytlar!$C$5:$C$44,MATCH(B99,Harytlar!$A$5:$A$44,0)),""))</f>
        <v/>
      </c>
      <c r="F99" s="10" t="str">
        <f t="shared" si="1"/>
        <v/>
      </c>
      <c r="G99" s="10" t="str">
        <f>IF(OR(C99="",B99=""),"",IFERROR(C99*INDEX(Harytlar!$D$5:$D$44,MATCH(B99,Harytlar!$A$5:$A$44,0)),""))</f>
        <v/>
      </c>
    </row>
    <row r="100" spans="1:7" x14ac:dyDescent="0.3">
      <c r="A100" s="17"/>
      <c r="B100" s="18"/>
      <c r="C100" s="18"/>
      <c r="D100" s="18"/>
      <c r="E100" s="10" t="str">
        <f>IF(B100="","",IFERROR(INDEX(Harytlar!$C$5:$C$44,MATCH(B100,Harytlar!$A$5:$A$44,0)),""))</f>
        <v/>
      </c>
      <c r="F100" s="10" t="str">
        <f t="shared" si="1"/>
        <v/>
      </c>
      <c r="G100" s="10" t="str">
        <f>IF(OR(C100="",B100=""),"",IFERROR(C100*INDEX(Harytlar!$D$5:$D$44,MATCH(B100,Harytlar!$A$5:$A$44,0)),""))</f>
        <v/>
      </c>
    </row>
    <row r="101" spans="1:7" x14ac:dyDescent="0.3">
      <c r="A101" s="17"/>
      <c r="B101" s="18"/>
      <c r="C101" s="18"/>
      <c r="D101" s="18"/>
      <c r="E101" s="10" t="str">
        <f>IF(B101="","",IFERROR(INDEX(Harytlar!$C$5:$C$44,MATCH(B101,Harytlar!$A$5:$A$44,0)),""))</f>
        <v/>
      </c>
      <c r="F101" s="10" t="str">
        <f t="shared" si="1"/>
        <v/>
      </c>
      <c r="G101" s="10" t="str">
        <f>IF(OR(C101="",B101=""),"",IFERROR(C101*INDEX(Harytlar!$D$5:$D$44,MATCH(B101,Harytlar!$A$5:$A$44,0)),""))</f>
        <v/>
      </c>
    </row>
    <row r="102" spans="1:7" x14ac:dyDescent="0.3">
      <c r="A102" s="17"/>
      <c r="B102" s="18"/>
      <c r="C102" s="18"/>
      <c r="D102" s="18"/>
      <c r="E102" s="10" t="str">
        <f>IF(B102="","",IFERROR(INDEX(Harytlar!$C$5:$C$44,MATCH(B102,Harytlar!$A$5:$A$44,0)),""))</f>
        <v/>
      </c>
      <c r="F102" s="10" t="str">
        <f t="shared" si="1"/>
        <v/>
      </c>
      <c r="G102" s="10" t="str">
        <f>IF(OR(C102="",B102=""),"",IFERROR(C102*INDEX(Harytlar!$D$5:$D$44,MATCH(B102,Harytlar!$A$5:$A$44,0)),""))</f>
        <v/>
      </c>
    </row>
    <row r="103" spans="1:7" x14ac:dyDescent="0.3">
      <c r="A103" s="17"/>
      <c r="B103" s="18"/>
      <c r="C103" s="18"/>
      <c r="D103" s="18"/>
      <c r="E103" s="10" t="str">
        <f>IF(B103="","",IFERROR(INDEX(Harytlar!$C$5:$C$44,MATCH(B103,Harytlar!$A$5:$A$44,0)),""))</f>
        <v/>
      </c>
      <c r="F103" s="10" t="str">
        <f t="shared" si="1"/>
        <v/>
      </c>
      <c r="G103" s="10" t="str">
        <f>IF(OR(C103="",B103=""),"",IFERROR(C103*INDEX(Harytlar!$D$5:$D$44,MATCH(B103,Harytlar!$A$5:$A$44,0)),""))</f>
        <v/>
      </c>
    </row>
    <row r="104" spans="1:7" x14ac:dyDescent="0.3">
      <c r="A104" s="17"/>
      <c r="B104" s="18"/>
      <c r="C104" s="18"/>
      <c r="D104" s="18"/>
      <c r="E104" s="10" t="str">
        <f>IF(B104="","",IFERROR(INDEX(Harytlar!$C$5:$C$44,MATCH(B104,Harytlar!$A$5:$A$44,0)),""))</f>
        <v/>
      </c>
      <c r="F104" s="10" t="str">
        <f t="shared" si="1"/>
        <v/>
      </c>
      <c r="G104" s="10" t="str">
        <f>IF(OR(C104="",B104=""),"",IFERROR(C104*INDEX(Harytlar!$D$5:$D$44,MATCH(B104,Harytlar!$A$5:$A$44,0)),""))</f>
        <v/>
      </c>
    </row>
    <row r="105" spans="1:7" x14ac:dyDescent="0.3">
      <c r="A105" s="17"/>
      <c r="B105" s="18"/>
      <c r="C105" s="18"/>
      <c r="D105" s="18"/>
      <c r="E105" s="10" t="str">
        <f>IF(B105="","",IFERROR(INDEX(Harytlar!$C$5:$C$44,MATCH(B105,Harytlar!$A$5:$A$44,0)),""))</f>
        <v/>
      </c>
      <c r="F105" s="10" t="str">
        <f t="shared" si="1"/>
        <v/>
      </c>
      <c r="G105" s="10" t="str">
        <f>IF(OR(C105="",B105=""),"",IFERROR(C105*INDEX(Harytlar!$D$5:$D$44,MATCH(B105,Harytlar!$A$5:$A$44,0)),""))</f>
        <v/>
      </c>
    </row>
    <row r="106" spans="1:7" x14ac:dyDescent="0.3">
      <c r="A106" s="17"/>
      <c r="B106" s="18"/>
      <c r="C106" s="18"/>
      <c r="D106" s="18"/>
      <c r="E106" s="10" t="str">
        <f>IF(B106="","",IFERROR(INDEX(Harytlar!$C$5:$C$44,MATCH(B106,Harytlar!$A$5:$A$44,0)),""))</f>
        <v/>
      </c>
      <c r="F106" s="10" t="str">
        <f t="shared" si="1"/>
        <v/>
      </c>
      <c r="G106" s="10" t="str">
        <f>IF(OR(C106="",B106=""),"",IFERROR(C106*INDEX(Harytlar!$D$5:$D$44,MATCH(B106,Harytlar!$A$5:$A$44,0)),""))</f>
        <v/>
      </c>
    </row>
    <row r="107" spans="1:7" x14ac:dyDescent="0.3">
      <c r="A107" s="17"/>
      <c r="B107" s="18"/>
      <c r="C107" s="18"/>
      <c r="D107" s="18"/>
      <c r="E107" s="10" t="str">
        <f>IF(B107="","",IFERROR(INDEX(Harytlar!$C$5:$C$44,MATCH(B107,Harytlar!$A$5:$A$44,0)),""))</f>
        <v/>
      </c>
      <c r="F107" s="10" t="str">
        <f t="shared" si="1"/>
        <v/>
      </c>
      <c r="G107" s="10" t="str">
        <f>IF(OR(C107="",B107=""),"",IFERROR(C107*INDEX(Harytlar!$D$5:$D$44,MATCH(B107,Harytlar!$A$5:$A$44,0)),""))</f>
        <v/>
      </c>
    </row>
    <row r="108" spans="1:7" x14ac:dyDescent="0.3">
      <c r="A108" s="17"/>
      <c r="B108" s="18"/>
      <c r="C108" s="18"/>
      <c r="D108" s="18"/>
      <c r="E108" s="10" t="str">
        <f>IF(B108="","",IFERROR(INDEX(Harytlar!$C$5:$C$44,MATCH(B108,Harytlar!$A$5:$A$44,0)),""))</f>
        <v/>
      </c>
      <c r="F108" s="10" t="str">
        <f t="shared" si="1"/>
        <v/>
      </c>
      <c r="G108" s="10" t="str">
        <f>IF(OR(C108="",B108=""),"",IFERROR(C108*INDEX(Harytlar!$D$5:$D$44,MATCH(B108,Harytlar!$A$5:$A$44,0)),""))</f>
        <v/>
      </c>
    </row>
    <row r="109" spans="1:7" x14ac:dyDescent="0.3">
      <c r="A109" s="17"/>
      <c r="B109" s="18"/>
      <c r="C109" s="18"/>
      <c r="D109" s="18"/>
      <c r="E109" s="10" t="str">
        <f>IF(B109="","",IFERROR(INDEX(Harytlar!$C$5:$C$44,MATCH(B109,Harytlar!$A$5:$A$44,0)),""))</f>
        <v/>
      </c>
      <c r="F109" s="10" t="str">
        <f t="shared" si="1"/>
        <v/>
      </c>
      <c r="G109" s="10" t="str">
        <f>IF(OR(C109="",B109=""),"",IFERROR(C109*INDEX(Harytlar!$D$5:$D$44,MATCH(B109,Harytlar!$A$5:$A$44,0)),""))</f>
        <v/>
      </c>
    </row>
    <row r="110" spans="1:7" x14ac:dyDescent="0.3">
      <c r="A110" s="17"/>
      <c r="B110" s="18"/>
      <c r="C110" s="18"/>
      <c r="D110" s="18"/>
      <c r="E110" s="10" t="str">
        <f>IF(B110="","",IFERROR(INDEX(Harytlar!$C$5:$C$44,MATCH(B110,Harytlar!$A$5:$A$44,0)),""))</f>
        <v/>
      </c>
      <c r="F110" s="10" t="str">
        <f t="shared" si="1"/>
        <v/>
      </c>
      <c r="G110" s="10" t="str">
        <f>IF(OR(C110="",B110=""),"",IFERROR(C110*INDEX(Harytlar!$D$5:$D$44,MATCH(B110,Harytlar!$A$5:$A$44,0)),""))</f>
        <v/>
      </c>
    </row>
    <row r="111" spans="1:7" x14ac:dyDescent="0.3">
      <c r="A111" s="17"/>
      <c r="B111" s="18"/>
      <c r="C111" s="18"/>
      <c r="D111" s="18"/>
      <c r="E111" s="10" t="str">
        <f>IF(B111="","",IFERROR(INDEX(Harytlar!$C$5:$C$44,MATCH(B111,Harytlar!$A$5:$A$44,0)),""))</f>
        <v/>
      </c>
      <c r="F111" s="10" t="str">
        <f t="shared" si="1"/>
        <v/>
      </c>
      <c r="G111" s="10" t="str">
        <f>IF(OR(C111="",B111=""),"",IFERROR(C111*INDEX(Harytlar!$D$5:$D$44,MATCH(B111,Harytlar!$A$5:$A$44,0)),""))</f>
        <v/>
      </c>
    </row>
    <row r="112" spans="1:7" x14ac:dyDescent="0.3">
      <c r="A112" s="17"/>
      <c r="B112" s="18"/>
      <c r="C112" s="18"/>
      <c r="D112" s="18"/>
      <c r="E112" s="10" t="str">
        <f>IF(B112="","",IFERROR(INDEX(Harytlar!$C$5:$C$44,MATCH(B112,Harytlar!$A$5:$A$44,0)),""))</f>
        <v/>
      </c>
      <c r="F112" s="10" t="str">
        <f t="shared" si="1"/>
        <v/>
      </c>
      <c r="G112" s="10" t="str">
        <f>IF(OR(C112="",B112=""),"",IFERROR(C112*INDEX(Harytlar!$D$5:$D$44,MATCH(B112,Harytlar!$A$5:$A$44,0)),""))</f>
        <v/>
      </c>
    </row>
    <row r="113" spans="1:7" x14ac:dyDescent="0.3">
      <c r="A113" s="17"/>
      <c r="B113" s="18"/>
      <c r="C113" s="18"/>
      <c r="D113" s="18"/>
      <c r="E113" s="10" t="str">
        <f>IF(B113="","",IFERROR(INDEX(Harytlar!$C$5:$C$44,MATCH(B113,Harytlar!$A$5:$A$44,0)),""))</f>
        <v/>
      </c>
      <c r="F113" s="10" t="str">
        <f t="shared" si="1"/>
        <v/>
      </c>
      <c r="G113" s="10" t="str">
        <f>IF(OR(C113="",B113=""),"",IFERROR(C113*INDEX(Harytlar!$D$5:$D$44,MATCH(B113,Harytlar!$A$5:$A$44,0)),""))</f>
        <v/>
      </c>
    </row>
    <row r="114" spans="1:7" x14ac:dyDescent="0.3">
      <c r="A114" s="17"/>
      <c r="B114" s="18"/>
      <c r="C114" s="18"/>
      <c r="D114" s="18"/>
      <c r="E114" s="10" t="str">
        <f>IF(B114="","",IFERROR(INDEX(Harytlar!$C$5:$C$44,MATCH(B114,Harytlar!$A$5:$A$44,0)),""))</f>
        <v/>
      </c>
      <c r="F114" s="10" t="str">
        <f t="shared" si="1"/>
        <v/>
      </c>
      <c r="G114" s="10" t="str">
        <f>IF(OR(C114="",B114=""),"",IFERROR(C114*INDEX(Harytlar!$D$5:$D$44,MATCH(B114,Harytlar!$A$5:$A$44,0)),""))</f>
        <v/>
      </c>
    </row>
    <row r="115" spans="1:7" x14ac:dyDescent="0.3">
      <c r="A115" s="17"/>
      <c r="B115" s="18"/>
      <c r="C115" s="18"/>
      <c r="D115" s="18"/>
      <c r="E115" s="10" t="str">
        <f>IF(B115="","",IFERROR(INDEX(Harytlar!$C$5:$C$44,MATCH(B115,Harytlar!$A$5:$A$44,0)),""))</f>
        <v/>
      </c>
      <c r="F115" s="10" t="str">
        <f t="shared" si="1"/>
        <v/>
      </c>
      <c r="G115" s="10" t="str">
        <f>IF(OR(C115="",B115=""),"",IFERROR(C115*INDEX(Harytlar!$D$5:$D$44,MATCH(B115,Harytlar!$A$5:$A$44,0)),""))</f>
        <v/>
      </c>
    </row>
    <row r="116" spans="1:7" x14ac:dyDescent="0.3">
      <c r="A116" s="17"/>
      <c r="B116" s="18"/>
      <c r="C116" s="18"/>
      <c r="D116" s="18"/>
      <c r="E116" s="10" t="str">
        <f>IF(B116="","",IFERROR(INDEX(Harytlar!$C$5:$C$44,MATCH(B116,Harytlar!$A$5:$A$44,0)),""))</f>
        <v/>
      </c>
      <c r="F116" s="10" t="str">
        <f t="shared" si="1"/>
        <v/>
      </c>
      <c r="G116" s="10" t="str">
        <f>IF(OR(C116="",B116=""),"",IFERROR(C116*INDEX(Harytlar!$D$5:$D$44,MATCH(B116,Harytlar!$A$5:$A$44,0)),""))</f>
        <v/>
      </c>
    </row>
    <row r="117" spans="1:7" x14ac:dyDescent="0.3">
      <c r="A117" s="17"/>
      <c r="B117" s="18"/>
      <c r="C117" s="18"/>
      <c r="D117" s="18"/>
      <c r="E117" s="10" t="str">
        <f>IF(B117="","",IFERROR(INDEX(Harytlar!$C$5:$C$44,MATCH(B117,Harytlar!$A$5:$A$44,0)),""))</f>
        <v/>
      </c>
      <c r="F117" s="10" t="str">
        <f t="shared" si="1"/>
        <v/>
      </c>
      <c r="G117" s="10" t="str">
        <f>IF(OR(C117="",B117=""),"",IFERROR(C117*INDEX(Harytlar!$D$5:$D$44,MATCH(B117,Harytlar!$A$5:$A$44,0)),""))</f>
        <v/>
      </c>
    </row>
    <row r="118" spans="1:7" x14ac:dyDescent="0.3">
      <c r="A118" s="17"/>
      <c r="B118" s="18"/>
      <c r="C118" s="18"/>
      <c r="D118" s="18"/>
      <c r="E118" s="10" t="str">
        <f>IF(B118="","",IFERROR(INDEX(Harytlar!$C$5:$C$44,MATCH(B118,Harytlar!$A$5:$A$44,0)),""))</f>
        <v/>
      </c>
      <c r="F118" s="10" t="str">
        <f t="shared" si="1"/>
        <v/>
      </c>
      <c r="G118" s="10" t="str">
        <f>IF(OR(C118="",B118=""),"",IFERROR(C118*INDEX(Harytlar!$D$5:$D$44,MATCH(B118,Harytlar!$A$5:$A$44,0)),""))</f>
        <v/>
      </c>
    </row>
    <row r="119" spans="1:7" x14ac:dyDescent="0.3">
      <c r="A119" s="17"/>
      <c r="B119" s="18"/>
      <c r="C119" s="18"/>
      <c r="D119" s="18"/>
      <c r="E119" s="10" t="str">
        <f>IF(B119="","",IFERROR(INDEX(Harytlar!$C$5:$C$44,MATCH(B119,Harytlar!$A$5:$A$44,0)),""))</f>
        <v/>
      </c>
      <c r="F119" s="10" t="str">
        <f t="shared" si="1"/>
        <v/>
      </c>
      <c r="G119" s="10" t="str">
        <f>IF(OR(C119="",B119=""),"",IFERROR(C119*INDEX(Harytlar!$D$5:$D$44,MATCH(B119,Harytlar!$A$5:$A$44,0)),""))</f>
        <v/>
      </c>
    </row>
    <row r="120" spans="1:7" x14ac:dyDescent="0.3">
      <c r="A120" s="17"/>
      <c r="B120" s="18"/>
      <c r="C120" s="18"/>
      <c r="D120" s="18"/>
      <c r="E120" s="10" t="str">
        <f>IF(B120="","",IFERROR(INDEX(Harytlar!$C$5:$C$44,MATCH(B120,Harytlar!$A$5:$A$44,0)),""))</f>
        <v/>
      </c>
      <c r="F120" s="10" t="str">
        <f t="shared" si="1"/>
        <v/>
      </c>
      <c r="G120" s="10" t="str">
        <f>IF(OR(C120="",B120=""),"",IFERROR(C120*INDEX(Harytlar!$D$5:$D$44,MATCH(B120,Harytlar!$A$5:$A$44,0)),""))</f>
        <v/>
      </c>
    </row>
    <row r="121" spans="1:7" x14ac:dyDescent="0.3">
      <c r="A121" s="17"/>
      <c r="B121" s="18"/>
      <c r="C121" s="18"/>
      <c r="D121" s="18"/>
      <c r="E121" s="10" t="str">
        <f>IF(B121="","",IFERROR(INDEX(Harytlar!$C$5:$C$44,MATCH(B121,Harytlar!$A$5:$A$44,0)),""))</f>
        <v/>
      </c>
      <c r="F121" s="10" t="str">
        <f t="shared" si="1"/>
        <v/>
      </c>
      <c r="G121" s="10" t="str">
        <f>IF(OR(C121="",B121=""),"",IFERROR(C121*INDEX(Harytlar!$D$5:$D$44,MATCH(B121,Harytlar!$A$5:$A$44,0)),""))</f>
        <v/>
      </c>
    </row>
    <row r="122" spans="1:7" x14ac:dyDescent="0.3">
      <c r="A122" s="17"/>
      <c r="B122" s="18"/>
      <c r="C122" s="18"/>
      <c r="D122" s="18"/>
      <c r="E122" s="10" t="str">
        <f>IF(B122="","",IFERROR(INDEX(Harytlar!$C$5:$C$44,MATCH(B122,Harytlar!$A$5:$A$44,0)),""))</f>
        <v/>
      </c>
      <c r="F122" s="10" t="str">
        <f t="shared" si="1"/>
        <v/>
      </c>
      <c r="G122" s="10" t="str">
        <f>IF(OR(C122="",B122=""),"",IFERROR(C122*INDEX(Harytlar!$D$5:$D$44,MATCH(B122,Harytlar!$A$5:$A$44,0)),""))</f>
        <v/>
      </c>
    </row>
    <row r="123" spans="1:7" x14ac:dyDescent="0.3">
      <c r="A123" s="17"/>
      <c r="B123" s="18"/>
      <c r="C123" s="18"/>
      <c r="D123" s="18"/>
      <c r="E123" s="10" t="str">
        <f>IF(B123="","",IFERROR(INDEX(Harytlar!$C$5:$C$44,MATCH(B123,Harytlar!$A$5:$A$44,0)),""))</f>
        <v/>
      </c>
      <c r="F123" s="10" t="str">
        <f t="shared" si="1"/>
        <v/>
      </c>
      <c r="G123" s="10" t="str">
        <f>IF(OR(C123="",B123=""),"",IFERROR(C123*INDEX(Harytlar!$D$5:$D$44,MATCH(B123,Harytlar!$A$5:$A$44,0)),""))</f>
        <v/>
      </c>
    </row>
    <row r="124" spans="1:7" x14ac:dyDescent="0.3">
      <c r="A124" s="17"/>
      <c r="B124" s="18"/>
      <c r="C124" s="18"/>
      <c r="D124" s="18"/>
      <c r="E124" s="10" t="str">
        <f>IF(B124="","",IFERROR(INDEX(Harytlar!$C$5:$C$44,MATCH(B124,Harytlar!$A$5:$A$44,0)),""))</f>
        <v/>
      </c>
      <c r="F124" s="10" t="str">
        <f t="shared" si="1"/>
        <v/>
      </c>
      <c r="G124" s="10" t="str">
        <f>IF(OR(C124="",B124=""),"",IFERROR(C124*INDEX(Harytlar!$D$5:$D$44,MATCH(B124,Harytlar!$A$5:$A$44,0)),""))</f>
        <v/>
      </c>
    </row>
    <row r="125" spans="1:7" x14ac:dyDescent="0.3">
      <c r="A125" s="17"/>
      <c r="B125" s="18"/>
      <c r="C125" s="18"/>
      <c r="D125" s="18"/>
      <c r="E125" s="10" t="str">
        <f>IF(B125="","",IFERROR(INDEX(Harytlar!$C$5:$C$44,MATCH(B125,Harytlar!$A$5:$A$44,0)),""))</f>
        <v/>
      </c>
      <c r="F125" s="10" t="str">
        <f t="shared" si="1"/>
        <v/>
      </c>
      <c r="G125" s="10" t="str">
        <f>IF(OR(C125="",B125=""),"",IFERROR(C125*INDEX(Harytlar!$D$5:$D$44,MATCH(B125,Harytlar!$A$5:$A$44,0)),""))</f>
        <v/>
      </c>
    </row>
    <row r="126" spans="1:7" x14ac:dyDescent="0.3">
      <c r="A126" s="17"/>
      <c r="B126" s="18"/>
      <c r="C126" s="18"/>
      <c r="D126" s="18"/>
      <c r="E126" s="10" t="str">
        <f>IF(B126="","",IFERROR(INDEX(Harytlar!$C$5:$C$44,MATCH(B126,Harytlar!$A$5:$A$44,0)),""))</f>
        <v/>
      </c>
      <c r="F126" s="10" t="str">
        <f t="shared" si="1"/>
        <v/>
      </c>
      <c r="G126" s="10" t="str">
        <f>IF(OR(C126="",B126=""),"",IFERROR(C126*INDEX(Harytlar!$D$5:$D$44,MATCH(B126,Harytlar!$A$5:$A$44,0)),""))</f>
        <v/>
      </c>
    </row>
    <row r="127" spans="1:7" x14ac:dyDescent="0.3">
      <c r="A127" s="17"/>
      <c r="B127" s="18"/>
      <c r="C127" s="18"/>
      <c r="D127" s="18"/>
      <c r="E127" s="10" t="str">
        <f>IF(B127="","",IFERROR(INDEX(Harytlar!$C$5:$C$44,MATCH(B127,Harytlar!$A$5:$A$44,0)),""))</f>
        <v/>
      </c>
      <c r="F127" s="10" t="str">
        <f t="shared" si="1"/>
        <v/>
      </c>
      <c r="G127" s="10" t="str">
        <f>IF(OR(C127="",B127=""),"",IFERROR(C127*INDEX(Harytlar!$D$5:$D$44,MATCH(B127,Harytlar!$A$5:$A$44,0)),""))</f>
        <v/>
      </c>
    </row>
    <row r="128" spans="1:7" x14ac:dyDescent="0.3">
      <c r="A128" s="17"/>
      <c r="B128" s="18"/>
      <c r="C128" s="18"/>
      <c r="D128" s="18"/>
      <c r="E128" s="10" t="str">
        <f>IF(B128="","",IFERROR(INDEX(Harytlar!$C$5:$C$44,MATCH(B128,Harytlar!$A$5:$A$44,0)),""))</f>
        <v/>
      </c>
      <c r="F128" s="10" t="str">
        <f t="shared" si="1"/>
        <v/>
      </c>
      <c r="G128" s="10" t="str">
        <f>IF(OR(C128="",B128=""),"",IFERROR(C128*INDEX(Harytlar!$D$5:$D$44,MATCH(B128,Harytlar!$A$5:$A$44,0)),""))</f>
        <v/>
      </c>
    </row>
    <row r="129" spans="1:7" x14ac:dyDescent="0.3">
      <c r="A129" s="17"/>
      <c r="B129" s="18"/>
      <c r="C129" s="18"/>
      <c r="D129" s="18"/>
      <c r="E129" s="10" t="str">
        <f>IF(B129="","",IFERROR(INDEX(Harytlar!$C$5:$C$44,MATCH(B129,Harytlar!$A$5:$A$44,0)),""))</f>
        <v/>
      </c>
      <c r="F129" s="10" t="str">
        <f t="shared" si="1"/>
        <v/>
      </c>
      <c r="G129" s="10" t="str">
        <f>IF(OR(C129="",B129=""),"",IFERROR(C129*INDEX(Harytlar!$D$5:$D$44,MATCH(B129,Harytlar!$A$5:$A$44,0)),""))</f>
        <v/>
      </c>
    </row>
    <row r="130" spans="1:7" x14ac:dyDescent="0.3">
      <c r="A130" s="17"/>
      <c r="B130" s="18"/>
      <c r="C130" s="18"/>
      <c r="D130" s="18"/>
      <c r="E130" s="10" t="str">
        <f>IF(B130="","",IFERROR(INDEX(Harytlar!$C$5:$C$44,MATCH(B130,Harytlar!$A$5:$A$44,0)),""))</f>
        <v/>
      </c>
      <c r="F130" s="10" t="str">
        <f t="shared" si="1"/>
        <v/>
      </c>
      <c r="G130" s="10" t="str">
        <f>IF(OR(C130="",B130=""),"",IFERROR(C130*INDEX(Harytlar!$D$5:$D$44,MATCH(B130,Harytlar!$A$5:$A$44,0)),""))</f>
        <v/>
      </c>
    </row>
    <row r="131" spans="1:7" x14ac:dyDescent="0.3">
      <c r="A131" s="17"/>
      <c r="B131" s="18"/>
      <c r="C131" s="18"/>
      <c r="D131" s="18"/>
      <c r="E131" s="10" t="str">
        <f>IF(B131="","",IFERROR(INDEX(Harytlar!$C$5:$C$44,MATCH(B131,Harytlar!$A$5:$A$44,0)),""))</f>
        <v/>
      </c>
      <c r="F131" s="10" t="str">
        <f t="shared" si="1"/>
        <v/>
      </c>
      <c r="G131" s="10" t="str">
        <f>IF(OR(C131="",B131=""),"",IFERROR(C131*INDEX(Harytlar!$D$5:$D$44,MATCH(B131,Harytlar!$A$5:$A$44,0)),""))</f>
        <v/>
      </c>
    </row>
    <row r="132" spans="1:7" x14ac:dyDescent="0.3">
      <c r="A132" s="17"/>
      <c r="B132" s="18"/>
      <c r="C132" s="18"/>
      <c r="D132" s="18"/>
      <c r="E132" s="10" t="str">
        <f>IF(B132="","",IFERROR(INDEX(Harytlar!$C$5:$C$44,MATCH(B132,Harytlar!$A$5:$A$44,0)),""))</f>
        <v/>
      </c>
      <c r="F132" s="10" t="str">
        <f t="shared" si="1"/>
        <v/>
      </c>
      <c r="G132" s="10" t="str">
        <f>IF(OR(C132="",B132=""),"",IFERROR(C132*INDEX(Harytlar!$D$5:$D$44,MATCH(B132,Harytlar!$A$5:$A$44,0)),""))</f>
        <v/>
      </c>
    </row>
    <row r="133" spans="1:7" x14ac:dyDescent="0.3">
      <c r="A133" s="17"/>
      <c r="B133" s="18"/>
      <c r="C133" s="18"/>
      <c r="D133" s="18"/>
      <c r="E133" s="10" t="str">
        <f>IF(B133="","",IFERROR(INDEX(Harytlar!$C$5:$C$44,MATCH(B133,Harytlar!$A$5:$A$44,0)),""))</f>
        <v/>
      </c>
      <c r="F133" s="10" t="str">
        <f t="shared" si="1"/>
        <v/>
      </c>
      <c r="G133" s="10" t="str">
        <f>IF(OR(C133="",B133=""),"",IFERROR(C133*INDEX(Harytlar!$D$5:$D$44,MATCH(B133,Harytlar!$A$5:$A$44,0)),""))</f>
        <v/>
      </c>
    </row>
    <row r="134" spans="1:7" x14ac:dyDescent="0.3">
      <c r="A134" s="17"/>
      <c r="B134" s="18"/>
      <c r="C134" s="18"/>
      <c r="D134" s="18"/>
      <c r="E134" s="10" t="str">
        <f>IF(B134="","",IFERROR(INDEX(Harytlar!$C$5:$C$44,MATCH(B134,Harytlar!$A$5:$A$44,0)),""))</f>
        <v/>
      </c>
      <c r="F134" s="10" t="str">
        <f t="shared" ref="F134:F197" si="2">IF(OR(C134="",E134=""),"",C134*E134)</f>
        <v/>
      </c>
      <c r="G134" s="10" t="str">
        <f>IF(OR(C134="",B134=""),"",IFERROR(C134*INDEX(Harytlar!$D$5:$D$44,MATCH(B134,Harytlar!$A$5:$A$44,0)),""))</f>
        <v/>
      </c>
    </row>
    <row r="135" spans="1:7" x14ac:dyDescent="0.3">
      <c r="A135" s="17"/>
      <c r="B135" s="18"/>
      <c r="C135" s="18"/>
      <c r="D135" s="18"/>
      <c r="E135" s="10" t="str">
        <f>IF(B135="","",IFERROR(INDEX(Harytlar!$C$5:$C$44,MATCH(B135,Harytlar!$A$5:$A$44,0)),""))</f>
        <v/>
      </c>
      <c r="F135" s="10" t="str">
        <f t="shared" si="2"/>
        <v/>
      </c>
      <c r="G135" s="10" t="str">
        <f>IF(OR(C135="",B135=""),"",IFERROR(C135*INDEX(Harytlar!$D$5:$D$44,MATCH(B135,Harytlar!$A$5:$A$44,0)),""))</f>
        <v/>
      </c>
    </row>
    <row r="136" spans="1:7" x14ac:dyDescent="0.3">
      <c r="A136" s="17"/>
      <c r="B136" s="18"/>
      <c r="C136" s="18"/>
      <c r="D136" s="18"/>
      <c r="E136" s="10" t="str">
        <f>IF(B136="","",IFERROR(INDEX(Harytlar!$C$5:$C$44,MATCH(B136,Harytlar!$A$5:$A$44,0)),""))</f>
        <v/>
      </c>
      <c r="F136" s="10" t="str">
        <f t="shared" si="2"/>
        <v/>
      </c>
      <c r="G136" s="10" t="str">
        <f>IF(OR(C136="",B136=""),"",IFERROR(C136*INDEX(Harytlar!$D$5:$D$44,MATCH(B136,Harytlar!$A$5:$A$44,0)),""))</f>
        <v/>
      </c>
    </row>
    <row r="137" spans="1:7" x14ac:dyDescent="0.3">
      <c r="A137" s="17"/>
      <c r="B137" s="18"/>
      <c r="C137" s="18"/>
      <c r="D137" s="18"/>
      <c r="E137" s="10" t="str">
        <f>IF(B137="","",IFERROR(INDEX(Harytlar!$C$5:$C$44,MATCH(B137,Harytlar!$A$5:$A$44,0)),""))</f>
        <v/>
      </c>
      <c r="F137" s="10" t="str">
        <f t="shared" si="2"/>
        <v/>
      </c>
      <c r="G137" s="10" t="str">
        <f>IF(OR(C137="",B137=""),"",IFERROR(C137*INDEX(Harytlar!$D$5:$D$44,MATCH(B137,Harytlar!$A$5:$A$44,0)),""))</f>
        <v/>
      </c>
    </row>
    <row r="138" spans="1:7" x14ac:dyDescent="0.3">
      <c r="A138" s="17"/>
      <c r="B138" s="18"/>
      <c r="C138" s="18"/>
      <c r="D138" s="18"/>
      <c r="E138" s="10" t="str">
        <f>IF(B138="","",IFERROR(INDEX(Harytlar!$C$5:$C$44,MATCH(B138,Harytlar!$A$5:$A$44,0)),""))</f>
        <v/>
      </c>
      <c r="F138" s="10" t="str">
        <f t="shared" si="2"/>
        <v/>
      </c>
      <c r="G138" s="10" t="str">
        <f>IF(OR(C138="",B138=""),"",IFERROR(C138*INDEX(Harytlar!$D$5:$D$44,MATCH(B138,Harytlar!$A$5:$A$44,0)),""))</f>
        <v/>
      </c>
    </row>
    <row r="139" spans="1:7" x14ac:dyDescent="0.3">
      <c r="A139" s="17"/>
      <c r="B139" s="18"/>
      <c r="C139" s="18"/>
      <c r="D139" s="18"/>
      <c r="E139" s="10" t="str">
        <f>IF(B139="","",IFERROR(INDEX(Harytlar!$C$5:$C$44,MATCH(B139,Harytlar!$A$5:$A$44,0)),""))</f>
        <v/>
      </c>
      <c r="F139" s="10" t="str">
        <f t="shared" si="2"/>
        <v/>
      </c>
      <c r="G139" s="10" t="str">
        <f>IF(OR(C139="",B139=""),"",IFERROR(C139*INDEX(Harytlar!$D$5:$D$44,MATCH(B139,Harytlar!$A$5:$A$44,0)),""))</f>
        <v/>
      </c>
    </row>
    <row r="140" spans="1:7" x14ac:dyDescent="0.3">
      <c r="A140" s="17"/>
      <c r="B140" s="18"/>
      <c r="C140" s="18"/>
      <c r="D140" s="18"/>
      <c r="E140" s="10" t="str">
        <f>IF(B140="","",IFERROR(INDEX(Harytlar!$C$5:$C$44,MATCH(B140,Harytlar!$A$5:$A$44,0)),""))</f>
        <v/>
      </c>
      <c r="F140" s="10" t="str">
        <f t="shared" si="2"/>
        <v/>
      </c>
      <c r="G140" s="10" t="str">
        <f>IF(OR(C140="",B140=""),"",IFERROR(C140*INDEX(Harytlar!$D$5:$D$44,MATCH(B140,Harytlar!$A$5:$A$44,0)),""))</f>
        <v/>
      </c>
    </row>
    <row r="141" spans="1:7" x14ac:dyDescent="0.3">
      <c r="A141" s="17"/>
      <c r="B141" s="18"/>
      <c r="C141" s="18"/>
      <c r="D141" s="18"/>
      <c r="E141" s="10" t="str">
        <f>IF(B141="","",IFERROR(INDEX(Harytlar!$C$5:$C$44,MATCH(B141,Harytlar!$A$5:$A$44,0)),""))</f>
        <v/>
      </c>
      <c r="F141" s="10" t="str">
        <f t="shared" si="2"/>
        <v/>
      </c>
      <c r="G141" s="10" t="str">
        <f>IF(OR(C141="",B141=""),"",IFERROR(C141*INDEX(Harytlar!$D$5:$D$44,MATCH(B141,Harytlar!$A$5:$A$44,0)),""))</f>
        <v/>
      </c>
    </row>
    <row r="142" spans="1:7" x14ac:dyDescent="0.3">
      <c r="A142" s="17"/>
      <c r="B142" s="18"/>
      <c r="C142" s="18"/>
      <c r="D142" s="18"/>
      <c r="E142" s="10" t="str">
        <f>IF(B142="","",IFERROR(INDEX(Harytlar!$C$5:$C$44,MATCH(B142,Harytlar!$A$5:$A$44,0)),""))</f>
        <v/>
      </c>
      <c r="F142" s="10" t="str">
        <f t="shared" si="2"/>
        <v/>
      </c>
      <c r="G142" s="10" t="str">
        <f>IF(OR(C142="",B142=""),"",IFERROR(C142*INDEX(Harytlar!$D$5:$D$44,MATCH(B142,Harytlar!$A$5:$A$44,0)),""))</f>
        <v/>
      </c>
    </row>
    <row r="143" spans="1:7" x14ac:dyDescent="0.3">
      <c r="A143" s="17"/>
      <c r="B143" s="18"/>
      <c r="C143" s="18"/>
      <c r="D143" s="18"/>
      <c r="E143" s="10" t="str">
        <f>IF(B143="","",IFERROR(INDEX(Harytlar!$C$5:$C$44,MATCH(B143,Harytlar!$A$5:$A$44,0)),""))</f>
        <v/>
      </c>
      <c r="F143" s="10" t="str">
        <f t="shared" si="2"/>
        <v/>
      </c>
      <c r="G143" s="10" t="str">
        <f>IF(OR(C143="",B143=""),"",IFERROR(C143*INDEX(Harytlar!$D$5:$D$44,MATCH(B143,Harytlar!$A$5:$A$44,0)),""))</f>
        <v/>
      </c>
    </row>
    <row r="144" spans="1:7" x14ac:dyDescent="0.3">
      <c r="A144" s="17"/>
      <c r="B144" s="18"/>
      <c r="C144" s="18"/>
      <c r="D144" s="18"/>
      <c r="E144" s="10" t="str">
        <f>IF(B144="","",IFERROR(INDEX(Harytlar!$C$5:$C$44,MATCH(B144,Harytlar!$A$5:$A$44,0)),""))</f>
        <v/>
      </c>
      <c r="F144" s="10" t="str">
        <f t="shared" si="2"/>
        <v/>
      </c>
      <c r="G144" s="10" t="str">
        <f>IF(OR(C144="",B144=""),"",IFERROR(C144*INDEX(Harytlar!$D$5:$D$44,MATCH(B144,Harytlar!$A$5:$A$44,0)),""))</f>
        <v/>
      </c>
    </row>
    <row r="145" spans="1:7" x14ac:dyDescent="0.3">
      <c r="A145" s="17"/>
      <c r="B145" s="18"/>
      <c r="C145" s="18"/>
      <c r="D145" s="18"/>
      <c r="E145" s="10" t="str">
        <f>IF(B145="","",IFERROR(INDEX(Harytlar!$C$5:$C$44,MATCH(B145,Harytlar!$A$5:$A$44,0)),""))</f>
        <v/>
      </c>
      <c r="F145" s="10" t="str">
        <f t="shared" si="2"/>
        <v/>
      </c>
      <c r="G145" s="10" t="str">
        <f>IF(OR(C145="",B145=""),"",IFERROR(C145*INDEX(Harytlar!$D$5:$D$44,MATCH(B145,Harytlar!$A$5:$A$44,0)),""))</f>
        <v/>
      </c>
    </row>
    <row r="146" spans="1:7" x14ac:dyDescent="0.3">
      <c r="A146" s="17"/>
      <c r="B146" s="18"/>
      <c r="C146" s="18"/>
      <c r="D146" s="18"/>
      <c r="E146" s="10" t="str">
        <f>IF(B146="","",IFERROR(INDEX(Harytlar!$C$5:$C$44,MATCH(B146,Harytlar!$A$5:$A$44,0)),""))</f>
        <v/>
      </c>
      <c r="F146" s="10" t="str">
        <f t="shared" si="2"/>
        <v/>
      </c>
      <c r="G146" s="10" t="str">
        <f>IF(OR(C146="",B146=""),"",IFERROR(C146*INDEX(Harytlar!$D$5:$D$44,MATCH(B146,Harytlar!$A$5:$A$44,0)),""))</f>
        <v/>
      </c>
    </row>
    <row r="147" spans="1:7" x14ac:dyDescent="0.3">
      <c r="A147" s="17"/>
      <c r="B147" s="18"/>
      <c r="C147" s="18"/>
      <c r="D147" s="18"/>
      <c r="E147" s="10" t="str">
        <f>IF(B147="","",IFERROR(INDEX(Harytlar!$C$5:$C$44,MATCH(B147,Harytlar!$A$5:$A$44,0)),""))</f>
        <v/>
      </c>
      <c r="F147" s="10" t="str">
        <f t="shared" si="2"/>
        <v/>
      </c>
      <c r="G147" s="10" t="str">
        <f>IF(OR(C147="",B147=""),"",IFERROR(C147*INDEX(Harytlar!$D$5:$D$44,MATCH(B147,Harytlar!$A$5:$A$44,0)),""))</f>
        <v/>
      </c>
    </row>
    <row r="148" spans="1:7" x14ac:dyDescent="0.3">
      <c r="A148" s="17"/>
      <c r="B148" s="18"/>
      <c r="C148" s="18"/>
      <c r="D148" s="18"/>
      <c r="E148" s="10" t="str">
        <f>IF(B148="","",IFERROR(INDEX(Harytlar!$C$5:$C$44,MATCH(B148,Harytlar!$A$5:$A$44,0)),""))</f>
        <v/>
      </c>
      <c r="F148" s="10" t="str">
        <f t="shared" si="2"/>
        <v/>
      </c>
      <c r="G148" s="10" t="str">
        <f>IF(OR(C148="",B148=""),"",IFERROR(C148*INDEX(Harytlar!$D$5:$D$44,MATCH(B148,Harytlar!$A$5:$A$44,0)),""))</f>
        <v/>
      </c>
    </row>
    <row r="149" spans="1:7" x14ac:dyDescent="0.3">
      <c r="A149" s="17"/>
      <c r="B149" s="18"/>
      <c r="C149" s="18"/>
      <c r="D149" s="18"/>
      <c r="E149" s="10" t="str">
        <f>IF(B149="","",IFERROR(INDEX(Harytlar!$C$5:$C$44,MATCH(B149,Harytlar!$A$5:$A$44,0)),""))</f>
        <v/>
      </c>
      <c r="F149" s="10" t="str">
        <f t="shared" si="2"/>
        <v/>
      </c>
      <c r="G149" s="10" t="str">
        <f>IF(OR(C149="",B149=""),"",IFERROR(C149*INDEX(Harytlar!$D$5:$D$44,MATCH(B149,Harytlar!$A$5:$A$44,0)),""))</f>
        <v/>
      </c>
    </row>
    <row r="150" spans="1:7" x14ac:dyDescent="0.3">
      <c r="A150" s="17"/>
      <c r="B150" s="18"/>
      <c r="C150" s="18"/>
      <c r="D150" s="18"/>
      <c r="E150" s="10" t="str">
        <f>IF(B150="","",IFERROR(INDEX(Harytlar!$C$5:$C$44,MATCH(B150,Harytlar!$A$5:$A$44,0)),""))</f>
        <v/>
      </c>
      <c r="F150" s="10" t="str">
        <f t="shared" si="2"/>
        <v/>
      </c>
      <c r="G150" s="10" t="str">
        <f>IF(OR(C150="",B150=""),"",IFERROR(C150*INDEX(Harytlar!$D$5:$D$44,MATCH(B150,Harytlar!$A$5:$A$44,0)),""))</f>
        <v/>
      </c>
    </row>
    <row r="151" spans="1:7" x14ac:dyDescent="0.3">
      <c r="A151" s="17"/>
      <c r="B151" s="18"/>
      <c r="C151" s="18"/>
      <c r="D151" s="18"/>
      <c r="E151" s="10" t="str">
        <f>IF(B151="","",IFERROR(INDEX(Harytlar!$C$5:$C$44,MATCH(B151,Harytlar!$A$5:$A$44,0)),""))</f>
        <v/>
      </c>
      <c r="F151" s="10" t="str">
        <f t="shared" si="2"/>
        <v/>
      </c>
      <c r="G151" s="10" t="str">
        <f>IF(OR(C151="",B151=""),"",IFERROR(C151*INDEX(Harytlar!$D$5:$D$44,MATCH(B151,Harytlar!$A$5:$A$44,0)),""))</f>
        <v/>
      </c>
    </row>
    <row r="152" spans="1:7" x14ac:dyDescent="0.3">
      <c r="A152" s="17"/>
      <c r="B152" s="18"/>
      <c r="C152" s="18"/>
      <c r="D152" s="18"/>
      <c r="E152" s="10" t="str">
        <f>IF(B152="","",IFERROR(INDEX(Harytlar!$C$5:$C$44,MATCH(B152,Harytlar!$A$5:$A$44,0)),""))</f>
        <v/>
      </c>
      <c r="F152" s="10" t="str">
        <f t="shared" si="2"/>
        <v/>
      </c>
      <c r="G152" s="10" t="str">
        <f>IF(OR(C152="",B152=""),"",IFERROR(C152*INDEX(Harytlar!$D$5:$D$44,MATCH(B152,Harytlar!$A$5:$A$44,0)),""))</f>
        <v/>
      </c>
    </row>
    <row r="153" spans="1:7" x14ac:dyDescent="0.3">
      <c r="A153" s="17"/>
      <c r="B153" s="18"/>
      <c r="C153" s="18"/>
      <c r="D153" s="18"/>
      <c r="E153" s="10" t="str">
        <f>IF(B153="","",IFERROR(INDEX(Harytlar!$C$5:$C$44,MATCH(B153,Harytlar!$A$5:$A$44,0)),""))</f>
        <v/>
      </c>
      <c r="F153" s="10" t="str">
        <f t="shared" si="2"/>
        <v/>
      </c>
      <c r="G153" s="10" t="str">
        <f>IF(OR(C153="",B153=""),"",IFERROR(C153*INDEX(Harytlar!$D$5:$D$44,MATCH(B153,Harytlar!$A$5:$A$44,0)),""))</f>
        <v/>
      </c>
    </row>
    <row r="154" spans="1:7" x14ac:dyDescent="0.3">
      <c r="A154" s="17"/>
      <c r="B154" s="18"/>
      <c r="C154" s="18"/>
      <c r="D154" s="18"/>
      <c r="E154" s="10" t="str">
        <f>IF(B154="","",IFERROR(INDEX(Harytlar!$C$5:$C$44,MATCH(B154,Harytlar!$A$5:$A$44,0)),""))</f>
        <v/>
      </c>
      <c r="F154" s="10" t="str">
        <f t="shared" si="2"/>
        <v/>
      </c>
      <c r="G154" s="10" t="str">
        <f>IF(OR(C154="",B154=""),"",IFERROR(C154*INDEX(Harytlar!$D$5:$D$44,MATCH(B154,Harytlar!$A$5:$A$44,0)),""))</f>
        <v/>
      </c>
    </row>
    <row r="155" spans="1:7" x14ac:dyDescent="0.3">
      <c r="A155" s="17"/>
      <c r="B155" s="18"/>
      <c r="C155" s="18"/>
      <c r="D155" s="18"/>
      <c r="E155" s="10" t="str">
        <f>IF(B155="","",IFERROR(INDEX(Harytlar!$C$5:$C$44,MATCH(B155,Harytlar!$A$5:$A$44,0)),""))</f>
        <v/>
      </c>
      <c r="F155" s="10" t="str">
        <f t="shared" si="2"/>
        <v/>
      </c>
      <c r="G155" s="10" t="str">
        <f>IF(OR(C155="",B155=""),"",IFERROR(C155*INDEX(Harytlar!$D$5:$D$44,MATCH(B155,Harytlar!$A$5:$A$44,0)),""))</f>
        <v/>
      </c>
    </row>
    <row r="156" spans="1:7" x14ac:dyDescent="0.3">
      <c r="A156" s="17"/>
      <c r="B156" s="18"/>
      <c r="C156" s="18"/>
      <c r="D156" s="18"/>
      <c r="E156" s="10" t="str">
        <f>IF(B156="","",IFERROR(INDEX(Harytlar!$C$5:$C$44,MATCH(B156,Harytlar!$A$5:$A$44,0)),""))</f>
        <v/>
      </c>
      <c r="F156" s="10" t="str">
        <f t="shared" si="2"/>
        <v/>
      </c>
      <c r="G156" s="10" t="str">
        <f>IF(OR(C156="",B156=""),"",IFERROR(C156*INDEX(Harytlar!$D$5:$D$44,MATCH(B156,Harytlar!$A$5:$A$44,0)),""))</f>
        <v/>
      </c>
    </row>
    <row r="157" spans="1:7" x14ac:dyDescent="0.3">
      <c r="A157" s="17"/>
      <c r="B157" s="18"/>
      <c r="C157" s="18"/>
      <c r="D157" s="18"/>
      <c r="E157" s="10" t="str">
        <f>IF(B157="","",IFERROR(INDEX(Harytlar!$C$5:$C$44,MATCH(B157,Harytlar!$A$5:$A$44,0)),""))</f>
        <v/>
      </c>
      <c r="F157" s="10" t="str">
        <f t="shared" si="2"/>
        <v/>
      </c>
      <c r="G157" s="10" t="str">
        <f>IF(OR(C157="",B157=""),"",IFERROR(C157*INDEX(Harytlar!$D$5:$D$44,MATCH(B157,Harytlar!$A$5:$A$44,0)),""))</f>
        <v/>
      </c>
    </row>
    <row r="158" spans="1:7" x14ac:dyDescent="0.3">
      <c r="A158" s="17"/>
      <c r="B158" s="18"/>
      <c r="C158" s="18"/>
      <c r="D158" s="18"/>
      <c r="E158" s="10" t="str">
        <f>IF(B158="","",IFERROR(INDEX(Harytlar!$C$5:$C$44,MATCH(B158,Harytlar!$A$5:$A$44,0)),""))</f>
        <v/>
      </c>
      <c r="F158" s="10" t="str">
        <f t="shared" si="2"/>
        <v/>
      </c>
      <c r="G158" s="10" t="str">
        <f>IF(OR(C158="",B158=""),"",IFERROR(C158*INDEX(Harytlar!$D$5:$D$44,MATCH(B158,Harytlar!$A$5:$A$44,0)),""))</f>
        <v/>
      </c>
    </row>
    <row r="159" spans="1:7" x14ac:dyDescent="0.3">
      <c r="A159" s="17"/>
      <c r="B159" s="18"/>
      <c r="C159" s="18"/>
      <c r="D159" s="18"/>
      <c r="E159" s="10" t="str">
        <f>IF(B159="","",IFERROR(INDEX(Harytlar!$C$5:$C$44,MATCH(B159,Harytlar!$A$5:$A$44,0)),""))</f>
        <v/>
      </c>
      <c r="F159" s="10" t="str">
        <f t="shared" si="2"/>
        <v/>
      </c>
      <c r="G159" s="10" t="str">
        <f>IF(OR(C159="",B159=""),"",IFERROR(C159*INDEX(Harytlar!$D$5:$D$44,MATCH(B159,Harytlar!$A$5:$A$44,0)),""))</f>
        <v/>
      </c>
    </row>
    <row r="160" spans="1:7" x14ac:dyDescent="0.3">
      <c r="A160" s="17"/>
      <c r="B160" s="18"/>
      <c r="C160" s="18"/>
      <c r="D160" s="18"/>
      <c r="E160" s="10" t="str">
        <f>IF(B160="","",IFERROR(INDEX(Harytlar!$C$5:$C$44,MATCH(B160,Harytlar!$A$5:$A$44,0)),""))</f>
        <v/>
      </c>
      <c r="F160" s="10" t="str">
        <f t="shared" si="2"/>
        <v/>
      </c>
      <c r="G160" s="10" t="str">
        <f>IF(OR(C160="",B160=""),"",IFERROR(C160*INDEX(Harytlar!$D$5:$D$44,MATCH(B160,Harytlar!$A$5:$A$44,0)),""))</f>
        <v/>
      </c>
    </row>
    <row r="161" spans="1:7" x14ac:dyDescent="0.3">
      <c r="A161" s="17"/>
      <c r="B161" s="18"/>
      <c r="C161" s="18"/>
      <c r="D161" s="18"/>
      <c r="E161" s="10" t="str">
        <f>IF(B161="","",IFERROR(INDEX(Harytlar!$C$5:$C$44,MATCH(B161,Harytlar!$A$5:$A$44,0)),""))</f>
        <v/>
      </c>
      <c r="F161" s="10" t="str">
        <f t="shared" si="2"/>
        <v/>
      </c>
      <c r="G161" s="10" t="str">
        <f>IF(OR(C161="",B161=""),"",IFERROR(C161*INDEX(Harytlar!$D$5:$D$44,MATCH(B161,Harytlar!$A$5:$A$44,0)),""))</f>
        <v/>
      </c>
    </row>
    <row r="162" spans="1:7" x14ac:dyDescent="0.3">
      <c r="A162" s="17"/>
      <c r="B162" s="18"/>
      <c r="C162" s="18"/>
      <c r="D162" s="18"/>
      <c r="E162" s="10" t="str">
        <f>IF(B162="","",IFERROR(INDEX(Harytlar!$C$5:$C$44,MATCH(B162,Harytlar!$A$5:$A$44,0)),""))</f>
        <v/>
      </c>
      <c r="F162" s="10" t="str">
        <f t="shared" si="2"/>
        <v/>
      </c>
      <c r="G162" s="10" t="str">
        <f>IF(OR(C162="",B162=""),"",IFERROR(C162*INDEX(Harytlar!$D$5:$D$44,MATCH(B162,Harytlar!$A$5:$A$44,0)),""))</f>
        <v/>
      </c>
    </row>
    <row r="163" spans="1:7" x14ac:dyDescent="0.3">
      <c r="A163" s="17"/>
      <c r="B163" s="18"/>
      <c r="C163" s="18"/>
      <c r="D163" s="18"/>
      <c r="E163" s="10" t="str">
        <f>IF(B163="","",IFERROR(INDEX(Harytlar!$C$5:$C$44,MATCH(B163,Harytlar!$A$5:$A$44,0)),""))</f>
        <v/>
      </c>
      <c r="F163" s="10" t="str">
        <f t="shared" si="2"/>
        <v/>
      </c>
      <c r="G163" s="10" t="str">
        <f>IF(OR(C163="",B163=""),"",IFERROR(C163*INDEX(Harytlar!$D$5:$D$44,MATCH(B163,Harytlar!$A$5:$A$44,0)),""))</f>
        <v/>
      </c>
    </row>
    <row r="164" spans="1:7" x14ac:dyDescent="0.3">
      <c r="A164" s="17"/>
      <c r="B164" s="18"/>
      <c r="C164" s="18"/>
      <c r="D164" s="18"/>
      <c r="E164" s="10" t="str">
        <f>IF(B164="","",IFERROR(INDEX(Harytlar!$C$5:$C$44,MATCH(B164,Harytlar!$A$5:$A$44,0)),""))</f>
        <v/>
      </c>
      <c r="F164" s="10" t="str">
        <f t="shared" si="2"/>
        <v/>
      </c>
      <c r="G164" s="10" t="str">
        <f>IF(OR(C164="",B164=""),"",IFERROR(C164*INDEX(Harytlar!$D$5:$D$44,MATCH(B164,Harytlar!$A$5:$A$44,0)),""))</f>
        <v/>
      </c>
    </row>
    <row r="165" spans="1:7" x14ac:dyDescent="0.3">
      <c r="A165" s="17"/>
      <c r="B165" s="18"/>
      <c r="C165" s="18"/>
      <c r="D165" s="18"/>
      <c r="E165" s="10" t="str">
        <f>IF(B165="","",IFERROR(INDEX(Harytlar!$C$5:$C$44,MATCH(B165,Harytlar!$A$5:$A$44,0)),""))</f>
        <v/>
      </c>
      <c r="F165" s="10" t="str">
        <f t="shared" si="2"/>
        <v/>
      </c>
      <c r="G165" s="10" t="str">
        <f>IF(OR(C165="",B165=""),"",IFERROR(C165*INDEX(Harytlar!$D$5:$D$44,MATCH(B165,Harytlar!$A$5:$A$44,0)),""))</f>
        <v/>
      </c>
    </row>
    <row r="166" spans="1:7" x14ac:dyDescent="0.3">
      <c r="A166" s="17"/>
      <c r="B166" s="18"/>
      <c r="C166" s="18"/>
      <c r="D166" s="18"/>
      <c r="E166" s="10" t="str">
        <f>IF(B166="","",IFERROR(INDEX(Harytlar!$C$5:$C$44,MATCH(B166,Harytlar!$A$5:$A$44,0)),""))</f>
        <v/>
      </c>
      <c r="F166" s="10" t="str">
        <f t="shared" si="2"/>
        <v/>
      </c>
      <c r="G166" s="10" t="str">
        <f>IF(OR(C166="",B166=""),"",IFERROR(C166*INDEX(Harytlar!$D$5:$D$44,MATCH(B166,Harytlar!$A$5:$A$44,0)),""))</f>
        <v/>
      </c>
    </row>
    <row r="167" spans="1:7" x14ac:dyDescent="0.3">
      <c r="A167" s="17"/>
      <c r="B167" s="18"/>
      <c r="C167" s="18"/>
      <c r="D167" s="18"/>
      <c r="E167" s="10" t="str">
        <f>IF(B167="","",IFERROR(INDEX(Harytlar!$C$5:$C$44,MATCH(B167,Harytlar!$A$5:$A$44,0)),""))</f>
        <v/>
      </c>
      <c r="F167" s="10" t="str">
        <f t="shared" si="2"/>
        <v/>
      </c>
      <c r="G167" s="10" t="str">
        <f>IF(OR(C167="",B167=""),"",IFERROR(C167*INDEX(Harytlar!$D$5:$D$44,MATCH(B167,Harytlar!$A$5:$A$44,0)),""))</f>
        <v/>
      </c>
    </row>
    <row r="168" spans="1:7" x14ac:dyDescent="0.3">
      <c r="A168" s="17"/>
      <c r="B168" s="18"/>
      <c r="C168" s="18"/>
      <c r="D168" s="18"/>
      <c r="E168" s="10" t="str">
        <f>IF(B168="","",IFERROR(INDEX(Harytlar!$C$5:$C$44,MATCH(B168,Harytlar!$A$5:$A$44,0)),""))</f>
        <v/>
      </c>
      <c r="F168" s="10" t="str">
        <f t="shared" si="2"/>
        <v/>
      </c>
      <c r="G168" s="10" t="str">
        <f>IF(OR(C168="",B168=""),"",IFERROR(C168*INDEX(Harytlar!$D$5:$D$44,MATCH(B168,Harytlar!$A$5:$A$44,0)),""))</f>
        <v/>
      </c>
    </row>
    <row r="169" spans="1:7" x14ac:dyDescent="0.3">
      <c r="A169" s="17"/>
      <c r="B169" s="18"/>
      <c r="C169" s="18"/>
      <c r="D169" s="18"/>
      <c r="E169" s="10" t="str">
        <f>IF(B169="","",IFERROR(INDEX(Harytlar!$C$5:$C$44,MATCH(B169,Harytlar!$A$5:$A$44,0)),""))</f>
        <v/>
      </c>
      <c r="F169" s="10" t="str">
        <f t="shared" si="2"/>
        <v/>
      </c>
      <c r="G169" s="10" t="str">
        <f>IF(OR(C169="",B169=""),"",IFERROR(C169*INDEX(Harytlar!$D$5:$D$44,MATCH(B169,Harytlar!$A$5:$A$44,0)),""))</f>
        <v/>
      </c>
    </row>
    <row r="170" spans="1:7" x14ac:dyDescent="0.3">
      <c r="A170" s="17"/>
      <c r="B170" s="18"/>
      <c r="C170" s="18"/>
      <c r="D170" s="18"/>
      <c r="E170" s="10" t="str">
        <f>IF(B170="","",IFERROR(INDEX(Harytlar!$C$5:$C$44,MATCH(B170,Harytlar!$A$5:$A$44,0)),""))</f>
        <v/>
      </c>
      <c r="F170" s="10" t="str">
        <f t="shared" si="2"/>
        <v/>
      </c>
      <c r="G170" s="10" t="str">
        <f>IF(OR(C170="",B170=""),"",IFERROR(C170*INDEX(Harytlar!$D$5:$D$44,MATCH(B170,Harytlar!$A$5:$A$44,0)),""))</f>
        <v/>
      </c>
    </row>
    <row r="171" spans="1:7" x14ac:dyDescent="0.3">
      <c r="A171" s="17"/>
      <c r="B171" s="18"/>
      <c r="C171" s="18"/>
      <c r="D171" s="18"/>
      <c r="E171" s="10" t="str">
        <f>IF(B171="","",IFERROR(INDEX(Harytlar!$C$5:$C$44,MATCH(B171,Harytlar!$A$5:$A$44,0)),""))</f>
        <v/>
      </c>
      <c r="F171" s="10" t="str">
        <f t="shared" si="2"/>
        <v/>
      </c>
      <c r="G171" s="10" t="str">
        <f>IF(OR(C171="",B171=""),"",IFERROR(C171*INDEX(Harytlar!$D$5:$D$44,MATCH(B171,Harytlar!$A$5:$A$44,0)),""))</f>
        <v/>
      </c>
    </row>
    <row r="172" spans="1:7" x14ac:dyDescent="0.3">
      <c r="A172" s="17"/>
      <c r="B172" s="18"/>
      <c r="C172" s="18"/>
      <c r="D172" s="18"/>
      <c r="E172" s="10" t="str">
        <f>IF(B172="","",IFERROR(INDEX(Harytlar!$C$5:$C$44,MATCH(B172,Harytlar!$A$5:$A$44,0)),""))</f>
        <v/>
      </c>
      <c r="F172" s="10" t="str">
        <f t="shared" si="2"/>
        <v/>
      </c>
      <c r="G172" s="10" t="str">
        <f>IF(OR(C172="",B172=""),"",IFERROR(C172*INDEX(Harytlar!$D$5:$D$44,MATCH(B172,Harytlar!$A$5:$A$44,0)),""))</f>
        <v/>
      </c>
    </row>
    <row r="173" spans="1:7" x14ac:dyDescent="0.3">
      <c r="A173" s="17"/>
      <c r="B173" s="18"/>
      <c r="C173" s="18"/>
      <c r="D173" s="18"/>
      <c r="E173" s="10" t="str">
        <f>IF(B173="","",IFERROR(INDEX(Harytlar!$C$5:$C$44,MATCH(B173,Harytlar!$A$5:$A$44,0)),""))</f>
        <v/>
      </c>
      <c r="F173" s="10" t="str">
        <f t="shared" si="2"/>
        <v/>
      </c>
      <c r="G173" s="10" t="str">
        <f>IF(OR(C173="",B173=""),"",IFERROR(C173*INDEX(Harytlar!$D$5:$D$44,MATCH(B173,Harytlar!$A$5:$A$44,0)),""))</f>
        <v/>
      </c>
    </row>
    <row r="174" spans="1:7" x14ac:dyDescent="0.3">
      <c r="A174" s="17"/>
      <c r="B174" s="18"/>
      <c r="C174" s="18"/>
      <c r="D174" s="18"/>
      <c r="E174" s="10" t="str">
        <f>IF(B174="","",IFERROR(INDEX(Harytlar!$C$5:$C$44,MATCH(B174,Harytlar!$A$5:$A$44,0)),""))</f>
        <v/>
      </c>
      <c r="F174" s="10" t="str">
        <f t="shared" si="2"/>
        <v/>
      </c>
      <c r="G174" s="10" t="str">
        <f>IF(OR(C174="",B174=""),"",IFERROR(C174*INDEX(Harytlar!$D$5:$D$44,MATCH(B174,Harytlar!$A$5:$A$44,0)),""))</f>
        <v/>
      </c>
    </row>
    <row r="175" spans="1:7" x14ac:dyDescent="0.3">
      <c r="A175" s="17"/>
      <c r="B175" s="18"/>
      <c r="C175" s="18"/>
      <c r="D175" s="18"/>
      <c r="E175" s="10" t="str">
        <f>IF(B175="","",IFERROR(INDEX(Harytlar!$C$5:$C$44,MATCH(B175,Harytlar!$A$5:$A$44,0)),""))</f>
        <v/>
      </c>
      <c r="F175" s="10" t="str">
        <f t="shared" si="2"/>
        <v/>
      </c>
      <c r="G175" s="10" t="str">
        <f>IF(OR(C175="",B175=""),"",IFERROR(C175*INDEX(Harytlar!$D$5:$D$44,MATCH(B175,Harytlar!$A$5:$A$44,0)),""))</f>
        <v/>
      </c>
    </row>
    <row r="176" spans="1:7" x14ac:dyDescent="0.3">
      <c r="A176" s="17"/>
      <c r="B176" s="18"/>
      <c r="C176" s="18"/>
      <c r="D176" s="18"/>
      <c r="E176" s="10" t="str">
        <f>IF(B176="","",IFERROR(INDEX(Harytlar!$C$5:$C$44,MATCH(B176,Harytlar!$A$5:$A$44,0)),""))</f>
        <v/>
      </c>
      <c r="F176" s="10" t="str">
        <f t="shared" si="2"/>
        <v/>
      </c>
      <c r="G176" s="10" t="str">
        <f>IF(OR(C176="",B176=""),"",IFERROR(C176*INDEX(Harytlar!$D$5:$D$44,MATCH(B176,Harytlar!$A$5:$A$44,0)),""))</f>
        <v/>
      </c>
    </row>
    <row r="177" spans="1:7" x14ac:dyDescent="0.3">
      <c r="A177" s="17"/>
      <c r="B177" s="18"/>
      <c r="C177" s="18"/>
      <c r="D177" s="18"/>
      <c r="E177" s="10" t="str">
        <f>IF(B177="","",IFERROR(INDEX(Harytlar!$C$5:$C$44,MATCH(B177,Harytlar!$A$5:$A$44,0)),""))</f>
        <v/>
      </c>
      <c r="F177" s="10" t="str">
        <f t="shared" si="2"/>
        <v/>
      </c>
      <c r="G177" s="10" t="str">
        <f>IF(OR(C177="",B177=""),"",IFERROR(C177*INDEX(Harytlar!$D$5:$D$44,MATCH(B177,Harytlar!$A$5:$A$44,0)),""))</f>
        <v/>
      </c>
    </row>
    <row r="178" spans="1:7" x14ac:dyDescent="0.3">
      <c r="A178" s="17"/>
      <c r="B178" s="18"/>
      <c r="C178" s="18"/>
      <c r="D178" s="18"/>
      <c r="E178" s="10" t="str">
        <f>IF(B178="","",IFERROR(INDEX(Harytlar!$C$5:$C$44,MATCH(B178,Harytlar!$A$5:$A$44,0)),""))</f>
        <v/>
      </c>
      <c r="F178" s="10" t="str">
        <f t="shared" si="2"/>
        <v/>
      </c>
      <c r="G178" s="10" t="str">
        <f>IF(OR(C178="",B178=""),"",IFERROR(C178*INDEX(Harytlar!$D$5:$D$44,MATCH(B178,Harytlar!$A$5:$A$44,0)),""))</f>
        <v/>
      </c>
    </row>
    <row r="179" spans="1:7" x14ac:dyDescent="0.3">
      <c r="A179" s="17"/>
      <c r="B179" s="18"/>
      <c r="C179" s="18"/>
      <c r="D179" s="18"/>
      <c r="E179" s="10" t="str">
        <f>IF(B179="","",IFERROR(INDEX(Harytlar!$C$5:$C$44,MATCH(B179,Harytlar!$A$5:$A$44,0)),""))</f>
        <v/>
      </c>
      <c r="F179" s="10" t="str">
        <f t="shared" si="2"/>
        <v/>
      </c>
      <c r="G179" s="10" t="str">
        <f>IF(OR(C179="",B179=""),"",IFERROR(C179*INDEX(Harytlar!$D$5:$D$44,MATCH(B179,Harytlar!$A$5:$A$44,0)),""))</f>
        <v/>
      </c>
    </row>
    <row r="180" spans="1:7" x14ac:dyDescent="0.3">
      <c r="A180" s="17"/>
      <c r="B180" s="18"/>
      <c r="C180" s="18"/>
      <c r="D180" s="18"/>
      <c r="E180" s="10" t="str">
        <f>IF(B180="","",IFERROR(INDEX(Harytlar!$C$5:$C$44,MATCH(B180,Harytlar!$A$5:$A$44,0)),""))</f>
        <v/>
      </c>
      <c r="F180" s="10" t="str">
        <f t="shared" si="2"/>
        <v/>
      </c>
      <c r="G180" s="10" t="str">
        <f>IF(OR(C180="",B180=""),"",IFERROR(C180*INDEX(Harytlar!$D$5:$D$44,MATCH(B180,Harytlar!$A$5:$A$44,0)),""))</f>
        <v/>
      </c>
    </row>
    <row r="181" spans="1:7" x14ac:dyDescent="0.3">
      <c r="A181" s="17"/>
      <c r="B181" s="18"/>
      <c r="C181" s="18"/>
      <c r="D181" s="18"/>
      <c r="E181" s="10" t="str">
        <f>IF(B181="","",IFERROR(INDEX(Harytlar!$C$5:$C$44,MATCH(B181,Harytlar!$A$5:$A$44,0)),""))</f>
        <v/>
      </c>
      <c r="F181" s="10" t="str">
        <f t="shared" si="2"/>
        <v/>
      </c>
      <c r="G181" s="10" t="str">
        <f>IF(OR(C181="",B181=""),"",IFERROR(C181*INDEX(Harytlar!$D$5:$D$44,MATCH(B181,Harytlar!$A$5:$A$44,0)),""))</f>
        <v/>
      </c>
    </row>
    <row r="182" spans="1:7" x14ac:dyDescent="0.3">
      <c r="A182" s="17"/>
      <c r="B182" s="18"/>
      <c r="C182" s="18"/>
      <c r="D182" s="18"/>
      <c r="E182" s="10" t="str">
        <f>IF(B182="","",IFERROR(INDEX(Harytlar!$C$5:$C$44,MATCH(B182,Harytlar!$A$5:$A$44,0)),""))</f>
        <v/>
      </c>
      <c r="F182" s="10" t="str">
        <f t="shared" si="2"/>
        <v/>
      </c>
      <c r="G182" s="10" t="str">
        <f>IF(OR(C182="",B182=""),"",IFERROR(C182*INDEX(Harytlar!$D$5:$D$44,MATCH(B182,Harytlar!$A$5:$A$44,0)),""))</f>
        <v/>
      </c>
    </row>
    <row r="183" spans="1:7" x14ac:dyDescent="0.3">
      <c r="A183" s="17"/>
      <c r="B183" s="18"/>
      <c r="C183" s="18"/>
      <c r="D183" s="18"/>
      <c r="E183" s="10" t="str">
        <f>IF(B183="","",IFERROR(INDEX(Harytlar!$C$5:$C$44,MATCH(B183,Harytlar!$A$5:$A$44,0)),""))</f>
        <v/>
      </c>
      <c r="F183" s="10" t="str">
        <f t="shared" si="2"/>
        <v/>
      </c>
      <c r="G183" s="10" t="str">
        <f>IF(OR(C183="",B183=""),"",IFERROR(C183*INDEX(Harytlar!$D$5:$D$44,MATCH(B183,Harytlar!$A$5:$A$44,0)),""))</f>
        <v/>
      </c>
    </row>
    <row r="184" spans="1:7" x14ac:dyDescent="0.3">
      <c r="A184" s="17"/>
      <c r="B184" s="18"/>
      <c r="C184" s="18"/>
      <c r="D184" s="18"/>
      <c r="E184" s="10" t="str">
        <f>IF(B184="","",IFERROR(INDEX(Harytlar!$C$5:$C$44,MATCH(B184,Harytlar!$A$5:$A$44,0)),""))</f>
        <v/>
      </c>
      <c r="F184" s="10" t="str">
        <f t="shared" si="2"/>
        <v/>
      </c>
      <c r="G184" s="10" t="str">
        <f>IF(OR(C184="",B184=""),"",IFERROR(C184*INDEX(Harytlar!$D$5:$D$44,MATCH(B184,Harytlar!$A$5:$A$44,0)),""))</f>
        <v/>
      </c>
    </row>
    <row r="185" spans="1:7" x14ac:dyDescent="0.3">
      <c r="A185" s="17"/>
      <c r="B185" s="18"/>
      <c r="C185" s="18"/>
      <c r="D185" s="18"/>
      <c r="E185" s="10" t="str">
        <f>IF(B185="","",IFERROR(INDEX(Harytlar!$C$5:$C$44,MATCH(B185,Harytlar!$A$5:$A$44,0)),""))</f>
        <v/>
      </c>
      <c r="F185" s="10" t="str">
        <f t="shared" si="2"/>
        <v/>
      </c>
      <c r="G185" s="10" t="str">
        <f>IF(OR(C185="",B185=""),"",IFERROR(C185*INDEX(Harytlar!$D$5:$D$44,MATCH(B185,Harytlar!$A$5:$A$44,0)),""))</f>
        <v/>
      </c>
    </row>
    <row r="186" spans="1:7" x14ac:dyDescent="0.3">
      <c r="A186" s="17"/>
      <c r="B186" s="18"/>
      <c r="C186" s="18"/>
      <c r="D186" s="18"/>
      <c r="E186" s="10" t="str">
        <f>IF(B186="","",IFERROR(INDEX(Harytlar!$C$5:$C$44,MATCH(B186,Harytlar!$A$5:$A$44,0)),""))</f>
        <v/>
      </c>
      <c r="F186" s="10" t="str">
        <f t="shared" si="2"/>
        <v/>
      </c>
      <c r="G186" s="10" t="str">
        <f>IF(OR(C186="",B186=""),"",IFERROR(C186*INDEX(Harytlar!$D$5:$D$44,MATCH(B186,Harytlar!$A$5:$A$44,0)),""))</f>
        <v/>
      </c>
    </row>
    <row r="187" spans="1:7" x14ac:dyDescent="0.3">
      <c r="A187" s="17"/>
      <c r="B187" s="18"/>
      <c r="C187" s="18"/>
      <c r="D187" s="18"/>
      <c r="E187" s="10" t="str">
        <f>IF(B187="","",IFERROR(INDEX(Harytlar!$C$5:$C$44,MATCH(B187,Harytlar!$A$5:$A$44,0)),""))</f>
        <v/>
      </c>
      <c r="F187" s="10" t="str">
        <f t="shared" si="2"/>
        <v/>
      </c>
      <c r="G187" s="10" t="str">
        <f>IF(OR(C187="",B187=""),"",IFERROR(C187*INDEX(Harytlar!$D$5:$D$44,MATCH(B187,Harytlar!$A$5:$A$44,0)),""))</f>
        <v/>
      </c>
    </row>
    <row r="188" spans="1:7" x14ac:dyDescent="0.3">
      <c r="A188" s="17"/>
      <c r="B188" s="18"/>
      <c r="C188" s="18"/>
      <c r="D188" s="18"/>
      <c r="E188" s="10" t="str">
        <f>IF(B188="","",IFERROR(INDEX(Harytlar!$C$5:$C$44,MATCH(B188,Harytlar!$A$5:$A$44,0)),""))</f>
        <v/>
      </c>
      <c r="F188" s="10" t="str">
        <f t="shared" si="2"/>
        <v/>
      </c>
      <c r="G188" s="10" t="str">
        <f>IF(OR(C188="",B188=""),"",IFERROR(C188*INDEX(Harytlar!$D$5:$D$44,MATCH(B188,Harytlar!$A$5:$A$44,0)),""))</f>
        <v/>
      </c>
    </row>
    <row r="189" spans="1:7" x14ac:dyDescent="0.3">
      <c r="A189" s="17"/>
      <c r="B189" s="18"/>
      <c r="C189" s="18"/>
      <c r="D189" s="18"/>
      <c r="E189" s="10" t="str">
        <f>IF(B189="","",IFERROR(INDEX(Harytlar!$C$5:$C$44,MATCH(B189,Harytlar!$A$5:$A$44,0)),""))</f>
        <v/>
      </c>
      <c r="F189" s="10" t="str">
        <f t="shared" si="2"/>
        <v/>
      </c>
      <c r="G189" s="10" t="str">
        <f>IF(OR(C189="",B189=""),"",IFERROR(C189*INDEX(Harytlar!$D$5:$D$44,MATCH(B189,Harytlar!$A$5:$A$44,0)),""))</f>
        <v/>
      </c>
    </row>
    <row r="190" spans="1:7" x14ac:dyDescent="0.3">
      <c r="A190" s="17"/>
      <c r="B190" s="18"/>
      <c r="C190" s="18"/>
      <c r="D190" s="18"/>
      <c r="E190" s="10" t="str">
        <f>IF(B190="","",IFERROR(INDEX(Harytlar!$C$5:$C$44,MATCH(B190,Harytlar!$A$5:$A$44,0)),""))</f>
        <v/>
      </c>
      <c r="F190" s="10" t="str">
        <f t="shared" si="2"/>
        <v/>
      </c>
      <c r="G190" s="10" t="str">
        <f>IF(OR(C190="",B190=""),"",IFERROR(C190*INDEX(Harytlar!$D$5:$D$44,MATCH(B190,Harytlar!$A$5:$A$44,0)),""))</f>
        <v/>
      </c>
    </row>
    <row r="191" spans="1:7" x14ac:dyDescent="0.3">
      <c r="A191" s="17"/>
      <c r="B191" s="18"/>
      <c r="C191" s="18"/>
      <c r="D191" s="18"/>
      <c r="E191" s="10" t="str">
        <f>IF(B191="","",IFERROR(INDEX(Harytlar!$C$5:$C$44,MATCH(B191,Harytlar!$A$5:$A$44,0)),""))</f>
        <v/>
      </c>
      <c r="F191" s="10" t="str">
        <f t="shared" si="2"/>
        <v/>
      </c>
      <c r="G191" s="10" t="str">
        <f>IF(OR(C191="",B191=""),"",IFERROR(C191*INDEX(Harytlar!$D$5:$D$44,MATCH(B191,Harytlar!$A$5:$A$44,0)),""))</f>
        <v/>
      </c>
    </row>
    <row r="192" spans="1:7" x14ac:dyDescent="0.3">
      <c r="A192" s="17"/>
      <c r="B192" s="18"/>
      <c r="C192" s="18"/>
      <c r="D192" s="18"/>
      <c r="E192" s="10" t="str">
        <f>IF(B192="","",IFERROR(INDEX(Harytlar!$C$5:$C$44,MATCH(B192,Harytlar!$A$5:$A$44,0)),""))</f>
        <v/>
      </c>
      <c r="F192" s="10" t="str">
        <f t="shared" si="2"/>
        <v/>
      </c>
      <c r="G192" s="10" t="str">
        <f>IF(OR(C192="",B192=""),"",IFERROR(C192*INDEX(Harytlar!$D$5:$D$44,MATCH(B192,Harytlar!$A$5:$A$44,0)),""))</f>
        <v/>
      </c>
    </row>
    <row r="193" spans="1:7" x14ac:dyDescent="0.3">
      <c r="A193" s="17"/>
      <c r="B193" s="18"/>
      <c r="C193" s="18"/>
      <c r="D193" s="18"/>
      <c r="E193" s="10" t="str">
        <f>IF(B193="","",IFERROR(INDEX(Harytlar!$C$5:$C$44,MATCH(B193,Harytlar!$A$5:$A$44,0)),""))</f>
        <v/>
      </c>
      <c r="F193" s="10" t="str">
        <f t="shared" si="2"/>
        <v/>
      </c>
      <c r="G193" s="10" t="str">
        <f>IF(OR(C193="",B193=""),"",IFERROR(C193*INDEX(Harytlar!$D$5:$D$44,MATCH(B193,Harytlar!$A$5:$A$44,0)),""))</f>
        <v/>
      </c>
    </row>
    <row r="194" spans="1:7" x14ac:dyDescent="0.3">
      <c r="A194" s="17"/>
      <c r="B194" s="18"/>
      <c r="C194" s="18"/>
      <c r="D194" s="18"/>
      <c r="E194" s="10" t="str">
        <f>IF(B194="","",IFERROR(INDEX(Harytlar!$C$5:$C$44,MATCH(B194,Harytlar!$A$5:$A$44,0)),""))</f>
        <v/>
      </c>
      <c r="F194" s="10" t="str">
        <f t="shared" si="2"/>
        <v/>
      </c>
      <c r="G194" s="10" t="str">
        <f>IF(OR(C194="",B194=""),"",IFERROR(C194*INDEX(Harytlar!$D$5:$D$44,MATCH(B194,Harytlar!$A$5:$A$44,0)),""))</f>
        <v/>
      </c>
    </row>
    <row r="195" spans="1:7" x14ac:dyDescent="0.3">
      <c r="A195" s="17"/>
      <c r="B195" s="18"/>
      <c r="C195" s="18"/>
      <c r="D195" s="18"/>
      <c r="E195" s="10" t="str">
        <f>IF(B195="","",IFERROR(INDEX(Harytlar!$C$5:$C$44,MATCH(B195,Harytlar!$A$5:$A$44,0)),""))</f>
        <v/>
      </c>
      <c r="F195" s="10" t="str">
        <f t="shared" si="2"/>
        <v/>
      </c>
      <c r="G195" s="10" t="str">
        <f>IF(OR(C195="",B195=""),"",IFERROR(C195*INDEX(Harytlar!$D$5:$D$44,MATCH(B195,Harytlar!$A$5:$A$44,0)),""))</f>
        <v/>
      </c>
    </row>
    <row r="196" spans="1:7" x14ac:dyDescent="0.3">
      <c r="A196" s="17"/>
      <c r="B196" s="18"/>
      <c r="C196" s="18"/>
      <c r="D196" s="18"/>
      <c r="E196" s="10" t="str">
        <f>IF(B196="","",IFERROR(INDEX(Harytlar!$C$5:$C$44,MATCH(B196,Harytlar!$A$5:$A$44,0)),""))</f>
        <v/>
      </c>
      <c r="F196" s="10" t="str">
        <f t="shared" si="2"/>
        <v/>
      </c>
      <c r="G196" s="10" t="str">
        <f>IF(OR(C196="",B196=""),"",IFERROR(C196*INDEX(Harytlar!$D$5:$D$44,MATCH(B196,Harytlar!$A$5:$A$44,0)),""))</f>
        <v/>
      </c>
    </row>
    <row r="197" spans="1:7" x14ac:dyDescent="0.3">
      <c r="A197" s="17"/>
      <c r="B197" s="18"/>
      <c r="C197" s="18"/>
      <c r="D197" s="18"/>
      <c r="E197" s="10" t="str">
        <f>IF(B197="","",IFERROR(INDEX(Harytlar!$C$5:$C$44,MATCH(B197,Harytlar!$A$5:$A$44,0)),""))</f>
        <v/>
      </c>
      <c r="F197" s="10" t="str">
        <f t="shared" si="2"/>
        <v/>
      </c>
      <c r="G197" s="10" t="str">
        <f>IF(OR(C197="",B197=""),"",IFERROR(C197*INDEX(Harytlar!$D$5:$D$44,MATCH(B197,Harytlar!$A$5:$A$44,0)),""))</f>
        <v/>
      </c>
    </row>
    <row r="198" spans="1:7" x14ac:dyDescent="0.3">
      <c r="A198" s="17"/>
      <c r="B198" s="18"/>
      <c r="C198" s="18"/>
      <c r="D198" s="18"/>
      <c r="E198" s="10" t="str">
        <f>IF(B198="","",IFERROR(INDEX(Harytlar!$C$5:$C$44,MATCH(B198,Harytlar!$A$5:$A$44,0)),""))</f>
        <v/>
      </c>
      <c r="F198" s="10" t="str">
        <f t="shared" ref="F198:F261" si="3">IF(OR(C198="",E198=""),"",C198*E198)</f>
        <v/>
      </c>
      <c r="G198" s="10" t="str">
        <f>IF(OR(C198="",B198=""),"",IFERROR(C198*INDEX(Harytlar!$D$5:$D$44,MATCH(B198,Harytlar!$A$5:$A$44,0)),""))</f>
        <v/>
      </c>
    </row>
    <row r="199" spans="1:7" x14ac:dyDescent="0.3">
      <c r="A199" s="17"/>
      <c r="B199" s="18"/>
      <c r="C199" s="18"/>
      <c r="D199" s="18"/>
      <c r="E199" s="10" t="str">
        <f>IF(B199="","",IFERROR(INDEX(Harytlar!$C$5:$C$44,MATCH(B199,Harytlar!$A$5:$A$44,0)),""))</f>
        <v/>
      </c>
      <c r="F199" s="10" t="str">
        <f t="shared" si="3"/>
        <v/>
      </c>
      <c r="G199" s="10" t="str">
        <f>IF(OR(C199="",B199=""),"",IFERROR(C199*INDEX(Harytlar!$D$5:$D$44,MATCH(B199,Harytlar!$A$5:$A$44,0)),""))</f>
        <v/>
      </c>
    </row>
    <row r="200" spans="1:7" x14ac:dyDescent="0.3">
      <c r="A200" s="17"/>
      <c r="B200" s="18"/>
      <c r="C200" s="18"/>
      <c r="D200" s="18"/>
      <c r="E200" s="10" t="str">
        <f>IF(B200="","",IFERROR(INDEX(Harytlar!$C$5:$C$44,MATCH(B200,Harytlar!$A$5:$A$44,0)),""))</f>
        <v/>
      </c>
      <c r="F200" s="10" t="str">
        <f t="shared" si="3"/>
        <v/>
      </c>
      <c r="G200" s="10" t="str">
        <f>IF(OR(C200="",B200=""),"",IFERROR(C200*INDEX(Harytlar!$D$5:$D$44,MATCH(B200,Harytlar!$A$5:$A$44,0)),""))</f>
        <v/>
      </c>
    </row>
    <row r="201" spans="1:7" x14ac:dyDescent="0.3">
      <c r="A201" s="17"/>
      <c r="B201" s="18"/>
      <c r="C201" s="18"/>
      <c r="D201" s="18"/>
      <c r="E201" s="10" t="str">
        <f>IF(B201="","",IFERROR(INDEX(Harytlar!$C$5:$C$44,MATCH(B201,Harytlar!$A$5:$A$44,0)),""))</f>
        <v/>
      </c>
      <c r="F201" s="10" t="str">
        <f t="shared" si="3"/>
        <v/>
      </c>
      <c r="G201" s="10" t="str">
        <f>IF(OR(C201="",B201=""),"",IFERROR(C201*INDEX(Harytlar!$D$5:$D$44,MATCH(B201,Harytlar!$A$5:$A$44,0)),""))</f>
        <v/>
      </c>
    </row>
    <row r="202" spans="1:7" x14ac:dyDescent="0.3">
      <c r="A202" s="17"/>
      <c r="B202" s="18"/>
      <c r="C202" s="18"/>
      <c r="D202" s="18"/>
      <c r="E202" s="10" t="str">
        <f>IF(B202="","",IFERROR(INDEX(Harytlar!$C$5:$C$44,MATCH(B202,Harytlar!$A$5:$A$44,0)),""))</f>
        <v/>
      </c>
      <c r="F202" s="10" t="str">
        <f t="shared" si="3"/>
        <v/>
      </c>
      <c r="G202" s="10" t="str">
        <f>IF(OR(C202="",B202=""),"",IFERROR(C202*INDEX(Harytlar!$D$5:$D$44,MATCH(B202,Harytlar!$A$5:$A$44,0)),""))</f>
        <v/>
      </c>
    </row>
    <row r="203" spans="1:7" x14ac:dyDescent="0.3">
      <c r="A203" s="17"/>
      <c r="B203" s="18"/>
      <c r="C203" s="18"/>
      <c r="D203" s="18"/>
      <c r="E203" s="10" t="str">
        <f>IF(B203="","",IFERROR(INDEX(Harytlar!$C$5:$C$44,MATCH(B203,Harytlar!$A$5:$A$44,0)),""))</f>
        <v/>
      </c>
      <c r="F203" s="10" t="str">
        <f t="shared" si="3"/>
        <v/>
      </c>
      <c r="G203" s="10" t="str">
        <f>IF(OR(C203="",B203=""),"",IFERROR(C203*INDEX(Harytlar!$D$5:$D$44,MATCH(B203,Harytlar!$A$5:$A$44,0)),""))</f>
        <v/>
      </c>
    </row>
    <row r="204" spans="1:7" x14ac:dyDescent="0.3">
      <c r="A204" s="17"/>
      <c r="B204" s="18"/>
      <c r="C204" s="18"/>
      <c r="D204" s="18"/>
      <c r="E204" s="10" t="str">
        <f>IF(B204="","",IFERROR(INDEX(Harytlar!$C$5:$C$44,MATCH(B204,Harytlar!$A$5:$A$44,0)),""))</f>
        <v/>
      </c>
      <c r="F204" s="10" t="str">
        <f t="shared" si="3"/>
        <v/>
      </c>
      <c r="G204" s="10" t="str">
        <f>IF(OR(C204="",B204=""),"",IFERROR(C204*INDEX(Harytlar!$D$5:$D$44,MATCH(B204,Harytlar!$A$5:$A$44,0)),""))</f>
        <v/>
      </c>
    </row>
    <row r="205" spans="1:7" x14ac:dyDescent="0.3">
      <c r="A205" s="17"/>
      <c r="B205" s="18"/>
      <c r="C205" s="18"/>
      <c r="D205" s="18"/>
      <c r="E205" s="10" t="str">
        <f>IF(B205="","",IFERROR(INDEX(Harytlar!$C$5:$C$44,MATCH(B205,Harytlar!$A$5:$A$44,0)),""))</f>
        <v/>
      </c>
      <c r="F205" s="10" t="str">
        <f t="shared" si="3"/>
        <v/>
      </c>
      <c r="G205" s="10" t="str">
        <f>IF(OR(C205="",B205=""),"",IFERROR(C205*INDEX(Harytlar!$D$5:$D$44,MATCH(B205,Harytlar!$A$5:$A$44,0)),""))</f>
        <v/>
      </c>
    </row>
    <row r="206" spans="1:7" x14ac:dyDescent="0.3">
      <c r="A206" s="17"/>
      <c r="B206" s="18"/>
      <c r="C206" s="18"/>
      <c r="D206" s="18"/>
      <c r="E206" s="10" t="str">
        <f>IF(B206="","",IFERROR(INDEX(Harytlar!$C$5:$C$44,MATCH(B206,Harytlar!$A$5:$A$44,0)),""))</f>
        <v/>
      </c>
      <c r="F206" s="10" t="str">
        <f t="shared" si="3"/>
        <v/>
      </c>
      <c r="G206" s="10" t="str">
        <f>IF(OR(C206="",B206=""),"",IFERROR(C206*INDEX(Harytlar!$D$5:$D$44,MATCH(B206,Harytlar!$A$5:$A$44,0)),""))</f>
        <v/>
      </c>
    </row>
    <row r="207" spans="1:7" x14ac:dyDescent="0.3">
      <c r="A207" s="17"/>
      <c r="B207" s="18"/>
      <c r="C207" s="18"/>
      <c r="D207" s="18"/>
      <c r="E207" s="10" t="str">
        <f>IF(B207="","",IFERROR(INDEX(Harytlar!$C$5:$C$44,MATCH(B207,Harytlar!$A$5:$A$44,0)),""))</f>
        <v/>
      </c>
      <c r="F207" s="10" t="str">
        <f t="shared" si="3"/>
        <v/>
      </c>
      <c r="G207" s="10" t="str">
        <f>IF(OR(C207="",B207=""),"",IFERROR(C207*INDEX(Harytlar!$D$5:$D$44,MATCH(B207,Harytlar!$A$5:$A$44,0)),""))</f>
        <v/>
      </c>
    </row>
    <row r="208" spans="1:7" x14ac:dyDescent="0.3">
      <c r="A208" s="17"/>
      <c r="B208" s="18"/>
      <c r="C208" s="18"/>
      <c r="D208" s="18"/>
      <c r="E208" s="10" t="str">
        <f>IF(B208="","",IFERROR(INDEX(Harytlar!$C$5:$C$44,MATCH(B208,Harytlar!$A$5:$A$44,0)),""))</f>
        <v/>
      </c>
      <c r="F208" s="10" t="str">
        <f t="shared" si="3"/>
        <v/>
      </c>
      <c r="G208" s="10" t="str">
        <f>IF(OR(C208="",B208=""),"",IFERROR(C208*INDEX(Harytlar!$D$5:$D$44,MATCH(B208,Harytlar!$A$5:$A$44,0)),""))</f>
        <v/>
      </c>
    </row>
    <row r="209" spans="1:7" x14ac:dyDescent="0.3">
      <c r="A209" s="17"/>
      <c r="B209" s="18"/>
      <c r="C209" s="18"/>
      <c r="D209" s="18"/>
      <c r="E209" s="10" t="str">
        <f>IF(B209="","",IFERROR(INDEX(Harytlar!$C$5:$C$44,MATCH(B209,Harytlar!$A$5:$A$44,0)),""))</f>
        <v/>
      </c>
      <c r="F209" s="10" t="str">
        <f t="shared" si="3"/>
        <v/>
      </c>
      <c r="G209" s="10" t="str">
        <f>IF(OR(C209="",B209=""),"",IFERROR(C209*INDEX(Harytlar!$D$5:$D$44,MATCH(B209,Harytlar!$A$5:$A$44,0)),""))</f>
        <v/>
      </c>
    </row>
    <row r="210" spans="1:7" x14ac:dyDescent="0.3">
      <c r="A210" s="17"/>
      <c r="B210" s="18"/>
      <c r="C210" s="18"/>
      <c r="D210" s="18"/>
      <c r="E210" s="10" t="str">
        <f>IF(B210="","",IFERROR(INDEX(Harytlar!$C$5:$C$44,MATCH(B210,Harytlar!$A$5:$A$44,0)),""))</f>
        <v/>
      </c>
      <c r="F210" s="10" t="str">
        <f t="shared" si="3"/>
        <v/>
      </c>
      <c r="G210" s="10" t="str">
        <f>IF(OR(C210="",B210=""),"",IFERROR(C210*INDEX(Harytlar!$D$5:$D$44,MATCH(B210,Harytlar!$A$5:$A$44,0)),""))</f>
        <v/>
      </c>
    </row>
    <row r="211" spans="1:7" x14ac:dyDescent="0.3">
      <c r="A211" s="17"/>
      <c r="B211" s="18"/>
      <c r="C211" s="18"/>
      <c r="D211" s="18"/>
      <c r="E211" s="10" t="str">
        <f>IF(B211="","",IFERROR(INDEX(Harytlar!$C$5:$C$44,MATCH(B211,Harytlar!$A$5:$A$44,0)),""))</f>
        <v/>
      </c>
      <c r="F211" s="10" t="str">
        <f t="shared" si="3"/>
        <v/>
      </c>
      <c r="G211" s="10" t="str">
        <f>IF(OR(C211="",B211=""),"",IFERROR(C211*INDEX(Harytlar!$D$5:$D$44,MATCH(B211,Harytlar!$A$5:$A$44,0)),""))</f>
        <v/>
      </c>
    </row>
    <row r="212" spans="1:7" x14ac:dyDescent="0.3">
      <c r="A212" s="17"/>
      <c r="B212" s="18"/>
      <c r="C212" s="18"/>
      <c r="D212" s="18"/>
      <c r="E212" s="10" t="str">
        <f>IF(B212="","",IFERROR(INDEX(Harytlar!$C$5:$C$44,MATCH(B212,Harytlar!$A$5:$A$44,0)),""))</f>
        <v/>
      </c>
      <c r="F212" s="10" t="str">
        <f t="shared" si="3"/>
        <v/>
      </c>
      <c r="G212" s="10" t="str">
        <f>IF(OR(C212="",B212=""),"",IFERROR(C212*INDEX(Harytlar!$D$5:$D$44,MATCH(B212,Harytlar!$A$5:$A$44,0)),""))</f>
        <v/>
      </c>
    </row>
    <row r="213" spans="1:7" x14ac:dyDescent="0.3">
      <c r="A213" s="17"/>
      <c r="B213" s="18"/>
      <c r="C213" s="18"/>
      <c r="D213" s="18"/>
      <c r="E213" s="10" t="str">
        <f>IF(B213="","",IFERROR(INDEX(Harytlar!$C$5:$C$44,MATCH(B213,Harytlar!$A$5:$A$44,0)),""))</f>
        <v/>
      </c>
      <c r="F213" s="10" t="str">
        <f t="shared" si="3"/>
        <v/>
      </c>
      <c r="G213" s="10" t="str">
        <f>IF(OR(C213="",B213=""),"",IFERROR(C213*INDEX(Harytlar!$D$5:$D$44,MATCH(B213,Harytlar!$A$5:$A$44,0)),""))</f>
        <v/>
      </c>
    </row>
    <row r="214" spans="1:7" x14ac:dyDescent="0.3">
      <c r="A214" s="17"/>
      <c r="B214" s="18"/>
      <c r="C214" s="18"/>
      <c r="D214" s="18"/>
      <c r="E214" s="10" t="str">
        <f>IF(B214="","",IFERROR(INDEX(Harytlar!$C$5:$C$44,MATCH(B214,Harytlar!$A$5:$A$44,0)),""))</f>
        <v/>
      </c>
      <c r="F214" s="10" t="str">
        <f t="shared" si="3"/>
        <v/>
      </c>
      <c r="G214" s="10" t="str">
        <f>IF(OR(C214="",B214=""),"",IFERROR(C214*INDEX(Harytlar!$D$5:$D$44,MATCH(B214,Harytlar!$A$5:$A$44,0)),""))</f>
        <v/>
      </c>
    </row>
    <row r="215" spans="1:7" x14ac:dyDescent="0.3">
      <c r="A215" s="17"/>
      <c r="B215" s="18"/>
      <c r="C215" s="18"/>
      <c r="D215" s="18"/>
      <c r="E215" s="10" t="str">
        <f>IF(B215="","",IFERROR(INDEX(Harytlar!$C$5:$C$44,MATCH(B215,Harytlar!$A$5:$A$44,0)),""))</f>
        <v/>
      </c>
      <c r="F215" s="10" t="str">
        <f t="shared" si="3"/>
        <v/>
      </c>
      <c r="G215" s="10" t="str">
        <f>IF(OR(C215="",B215=""),"",IFERROR(C215*INDEX(Harytlar!$D$5:$D$44,MATCH(B215,Harytlar!$A$5:$A$44,0)),""))</f>
        <v/>
      </c>
    </row>
    <row r="216" spans="1:7" x14ac:dyDescent="0.3">
      <c r="A216" s="17"/>
      <c r="B216" s="18"/>
      <c r="C216" s="18"/>
      <c r="D216" s="18"/>
      <c r="E216" s="10" t="str">
        <f>IF(B216="","",IFERROR(INDEX(Harytlar!$C$5:$C$44,MATCH(B216,Harytlar!$A$5:$A$44,0)),""))</f>
        <v/>
      </c>
      <c r="F216" s="10" t="str">
        <f t="shared" si="3"/>
        <v/>
      </c>
      <c r="G216" s="10" t="str">
        <f>IF(OR(C216="",B216=""),"",IFERROR(C216*INDEX(Harytlar!$D$5:$D$44,MATCH(B216,Harytlar!$A$5:$A$44,0)),""))</f>
        <v/>
      </c>
    </row>
    <row r="217" spans="1:7" x14ac:dyDescent="0.3">
      <c r="A217" s="17"/>
      <c r="B217" s="18"/>
      <c r="C217" s="18"/>
      <c r="D217" s="18"/>
      <c r="E217" s="10" t="str">
        <f>IF(B217="","",IFERROR(INDEX(Harytlar!$C$5:$C$44,MATCH(B217,Harytlar!$A$5:$A$44,0)),""))</f>
        <v/>
      </c>
      <c r="F217" s="10" t="str">
        <f t="shared" si="3"/>
        <v/>
      </c>
      <c r="G217" s="10" t="str">
        <f>IF(OR(C217="",B217=""),"",IFERROR(C217*INDEX(Harytlar!$D$5:$D$44,MATCH(B217,Harytlar!$A$5:$A$44,0)),""))</f>
        <v/>
      </c>
    </row>
    <row r="218" spans="1:7" x14ac:dyDescent="0.3">
      <c r="A218" s="17"/>
      <c r="B218" s="18"/>
      <c r="C218" s="18"/>
      <c r="D218" s="18"/>
      <c r="E218" s="10" t="str">
        <f>IF(B218="","",IFERROR(INDEX(Harytlar!$C$5:$C$44,MATCH(B218,Harytlar!$A$5:$A$44,0)),""))</f>
        <v/>
      </c>
      <c r="F218" s="10" t="str">
        <f t="shared" si="3"/>
        <v/>
      </c>
      <c r="G218" s="10" t="str">
        <f>IF(OR(C218="",B218=""),"",IFERROR(C218*INDEX(Harytlar!$D$5:$D$44,MATCH(B218,Harytlar!$A$5:$A$44,0)),""))</f>
        <v/>
      </c>
    </row>
    <row r="219" spans="1:7" x14ac:dyDescent="0.3">
      <c r="A219" s="17"/>
      <c r="B219" s="18"/>
      <c r="C219" s="18"/>
      <c r="D219" s="18"/>
      <c r="E219" s="10" t="str">
        <f>IF(B219="","",IFERROR(INDEX(Harytlar!$C$5:$C$44,MATCH(B219,Harytlar!$A$5:$A$44,0)),""))</f>
        <v/>
      </c>
      <c r="F219" s="10" t="str">
        <f t="shared" si="3"/>
        <v/>
      </c>
      <c r="G219" s="10" t="str">
        <f>IF(OR(C219="",B219=""),"",IFERROR(C219*INDEX(Harytlar!$D$5:$D$44,MATCH(B219,Harytlar!$A$5:$A$44,0)),""))</f>
        <v/>
      </c>
    </row>
    <row r="220" spans="1:7" x14ac:dyDescent="0.3">
      <c r="A220" s="17"/>
      <c r="B220" s="18"/>
      <c r="C220" s="18"/>
      <c r="D220" s="18"/>
      <c r="E220" s="10" t="str">
        <f>IF(B220="","",IFERROR(INDEX(Harytlar!$C$5:$C$44,MATCH(B220,Harytlar!$A$5:$A$44,0)),""))</f>
        <v/>
      </c>
      <c r="F220" s="10" t="str">
        <f t="shared" si="3"/>
        <v/>
      </c>
      <c r="G220" s="10" t="str">
        <f>IF(OR(C220="",B220=""),"",IFERROR(C220*INDEX(Harytlar!$D$5:$D$44,MATCH(B220,Harytlar!$A$5:$A$44,0)),""))</f>
        <v/>
      </c>
    </row>
    <row r="221" spans="1:7" x14ac:dyDescent="0.3">
      <c r="A221" s="17"/>
      <c r="B221" s="18"/>
      <c r="C221" s="18"/>
      <c r="D221" s="18"/>
      <c r="E221" s="10" t="str">
        <f>IF(B221="","",IFERROR(INDEX(Harytlar!$C$5:$C$44,MATCH(B221,Harytlar!$A$5:$A$44,0)),""))</f>
        <v/>
      </c>
      <c r="F221" s="10" t="str">
        <f t="shared" si="3"/>
        <v/>
      </c>
      <c r="G221" s="10" t="str">
        <f>IF(OR(C221="",B221=""),"",IFERROR(C221*INDEX(Harytlar!$D$5:$D$44,MATCH(B221,Harytlar!$A$5:$A$44,0)),""))</f>
        <v/>
      </c>
    </row>
    <row r="222" spans="1:7" x14ac:dyDescent="0.3">
      <c r="A222" s="17"/>
      <c r="B222" s="18"/>
      <c r="C222" s="18"/>
      <c r="D222" s="18"/>
      <c r="E222" s="10" t="str">
        <f>IF(B222="","",IFERROR(INDEX(Harytlar!$C$5:$C$44,MATCH(B222,Harytlar!$A$5:$A$44,0)),""))</f>
        <v/>
      </c>
      <c r="F222" s="10" t="str">
        <f t="shared" si="3"/>
        <v/>
      </c>
      <c r="G222" s="10" t="str">
        <f>IF(OR(C222="",B222=""),"",IFERROR(C222*INDEX(Harytlar!$D$5:$D$44,MATCH(B222,Harytlar!$A$5:$A$44,0)),""))</f>
        <v/>
      </c>
    </row>
    <row r="223" spans="1:7" x14ac:dyDescent="0.3">
      <c r="A223" s="17"/>
      <c r="B223" s="18"/>
      <c r="C223" s="18"/>
      <c r="D223" s="18"/>
      <c r="E223" s="10" t="str">
        <f>IF(B223="","",IFERROR(INDEX(Harytlar!$C$5:$C$44,MATCH(B223,Harytlar!$A$5:$A$44,0)),""))</f>
        <v/>
      </c>
      <c r="F223" s="10" t="str">
        <f t="shared" si="3"/>
        <v/>
      </c>
      <c r="G223" s="10" t="str">
        <f>IF(OR(C223="",B223=""),"",IFERROR(C223*INDEX(Harytlar!$D$5:$D$44,MATCH(B223,Harytlar!$A$5:$A$44,0)),""))</f>
        <v/>
      </c>
    </row>
    <row r="224" spans="1:7" x14ac:dyDescent="0.3">
      <c r="A224" s="17"/>
      <c r="B224" s="18"/>
      <c r="C224" s="18"/>
      <c r="D224" s="18"/>
      <c r="E224" s="10" t="str">
        <f>IF(B224="","",IFERROR(INDEX(Harytlar!$C$5:$C$44,MATCH(B224,Harytlar!$A$5:$A$44,0)),""))</f>
        <v/>
      </c>
      <c r="F224" s="10" t="str">
        <f t="shared" si="3"/>
        <v/>
      </c>
      <c r="G224" s="10" t="str">
        <f>IF(OR(C224="",B224=""),"",IFERROR(C224*INDEX(Harytlar!$D$5:$D$44,MATCH(B224,Harytlar!$A$5:$A$44,0)),""))</f>
        <v/>
      </c>
    </row>
    <row r="225" spans="1:7" x14ac:dyDescent="0.3">
      <c r="A225" s="17"/>
      <c r="B225" s="18"/>
      <c r="C225" s="18"/>
      <c r="D225" s="18"/>
      <c r="E225" s="10" t="str">
        <f>IF(B225="","",IFERROR(INDEX(Harytlar!$C$5:$C$44,MATCH(B225,Harytlar!$A$5:$A$44,0)),""))</f>
        <v/>
      </c>
      <c r="F225" s="10" t="str">
        <f t="shared" si="3"/>
        <v/>
      </c>
      <c r="G225" s="10" t="str">
        <f>IF(OR(C225="",B225=""),"",IFERROR(C225*INDEX(Harytlar!$D$5:$D$44,MATCH(B225,Harytlar!$A$5:$A$44,0)),""))</f>
        <v/>
      </c>
    </row>
    <row r="226" spans="1:7" x14ac:dyDescent="0.3">
      <c r="A226" s="17"/>
      <c r="B226" s="18"/>
      <c r="C226" s="18"/>
      <c r="D226" s="18"/>
      <c r="E226" s="10" t="str">
        <f>IF(B226="","",IFERROR(INDEX(Harytlar!$C$5:$C$44,MATCH(B226,Harytlar!$A$5:$A$44,0)),""))</f>
        <v/>
      </c>
      <c r="F226" s="10" t="str">
        <f t="shared" si="3"/>
        <v/>
      </c>
      <c r="G226" s="10" t="str">
        <f>IF(OR(C226="",B226=""),"",IFERROR(C226*INDEX(Harytlar!$D$5:$D$44,MATCH(B226,Harytlar!$A$5:$A$44,0)),""))</f>
        <v/>
      </c>
    </row>
    <row r="227" spans="1:7" x14ac:dyDescent="0.3">
      <c r="A227" s="17"/>
      <c r="B227" s="18"/>
      <c r="C227" s="18"/>
      <c r="D227" s="18"/>
      <c r="E227" s="10" t="str">
        <f>IF(B227="","",IFERROR(INDEX(Harytlar!$C$5:$C$44,MATCH(B227,Harytlar!$A$5:$A$44,0)),""))</f>
        <v/>
      </c>
      <c r="F227" s="10" t="str">
        <f t="shared" si="3"/>
        <v/>
      </c>
      <c r="G227" s="10" t="str">
        <f>IF(OR(C227="",B227=""),"",IFERROR(C227*INDEX(Harytlar!$D$5:$D$44,MATCH(B227,Harytlar!$A$5:$A$44,0)),""))</f>
        <v/>
      </c>
    </row>
    <row r="228" spans="1:7" x14ac:dyDescent="0.3">
      <c r="A228" s="17"/>
      <c r="B228" s="18"/>
      <c r="C228" s="18"/>
      <c r="D228" s="18"/>
      <c r="E228" s="10" t="str">
        <f>IF(B228="","",IFERROR(INDEX(Harytlar!$C$5:$C$44,MATCH(B228,Harytlar!$A$5:$A$44,0)),""))</f>
        <v/>
      </c>
      <c r="F228" s="10" t="str">
        <f t="shared" si="3"/>
        <v/>
      </c>
      <c r="G228" s="10" t="str">
        <f>IF(OR(C228="",B228=""),"",IFERROR(C228*INDEX(Harytlar!$D$5:$D$44,MATCH(B228,Harytlar!$A$5:$A$44,0)),""))</f>
        <v/>
      </c>
    </row>
    <row r="229" spans="1:7" x14ac:dyDescent="0.3">
      <c r="A229" s="17"/>
      <c r="B229" s="18"/>
      <c r="C229" s="18"/>
      <c r="D229" s="18"/>
      <c r="E229" s="10" t="str">
        <f>IF(B229="","",IFERROR(INDEX(Harytlar!$C$5:$C$44,MATCH(B229,Harytlar!$A$5:$A$44,0)),""))</f>
        <v/>
      </c>
      <c r="F229" s="10" t="str">
        <f t="shared" si="3"/>
        <v/>
      </c>
      <c r="G229" s="10" t="str">
        <f>IF(OR(C229="",B229=""),"",IFERROR(C229*INDEX(Harytlar!$D$5:$D$44,MATCH(B229,Harytlar!$A$5:$A$44,0)),""))</f>
        <v/>
      </c>
    </row>
    <row r="230" spans="1:7" x14ac:dyDescent="0.3">
      <c r="A230" s="17"/>
      <c r="B230" s="18"/>
      <c r="C230" s="18"/>
      <c r="D230" s="18"/>
      <c r="E230" s="10" t="str">
        <f>IF(B230="","",IFERROR(INDEX(Harytlar!$C$5:$C$44,MATCH(B230,Harytlar!$A$5:$A$44,0)),""))</f>
        <v/>
      </c>
      <c r="F230" s="10" t="str">
        <f t="shared" si="3"/>
        <v/>
      </c>
      <c r="G230" s="10" t="str">
        <f>IF(OR(C230="",B230=""),"",IFERROR(C230*INDEX(Harytlar!$D$5:$D$44,MATCH(B230,Harytlar!$A$5:$A$44,0)),""))</f>
        <v/>
      </c>
    </row>
    <row r="231" spans="1:7" x14ac:dyDescent="0.3">
      <c r="A231" s="17"/>
      <c r="B231" s="18"/>
      <c r="C231" s="18"/>
      <c r="D231" s="18"/>
      <c r="E231" s="10" t="str">
        <f>IF(B231="","",IFERROR(INDEX(Harytlar!$C$5:$C$44,MATCH(B231,Harytlar!$A$5:$A$44,0)),""))</f>
        <v/>
      </c>
      <c r="F231" s="10" t="str">
        <f t="shared" si="3"/>
        <v/>
      </c>
      <c r="G231" s="10" t="str">
        <f>IF(OR(C231="",B231=""),"",IFERROR(C231*INDEX(Harytlar!$D$5:$D$44,MATCH(B231,Harytlar!$A$5:$A$44,0)),""))</f>
        <v/>
      </c>
    </row>
    <row r="232" spans="1:7" x14ac:dyDescent="0.3">
      <c r="A232" s="17"/>
      <c r="B232" s="18"/>
      <c r="C232" s="18"/>
      <c r="D232" s="18"/>
      <c r="E232" s="10" t="str">
        <f>IF(B232="","",IFERROR(INDEX(Harytlar!$C$5:$C$44,MATCH(B232,Harytlar!$A$5:$A$44,0)),""))</f>
        <v/>
      </c>
      <c r="F232" s="10" t="str">
        <f t="shared" si="3"/>
        <v/>
      </c>
      <c r="G232" s="10" t="str">
        <f>IF(OR(C232="",B232=""),"",IFERROR(C232*INDEX(Harytlar!$D$5:$D$44,MATCH(B232,Harytlar!$A$5:$A$44,0)),""))</f>
        <v/>
      </c>
    </row>
    <row r="233" spans="1:7" x14ac:dyDescent="0.3">
      <c r="A233" s="17"/>
      <c r="B233" s="18"/>
      <c r="C233" s="18"/>
      <c r="D233" s="18"/>
      <c r="E233" s="10" t="str">
        <f>IF(B233="","",IFERROR(INDEX(Harytlar!$C$5:$C$44,MATCH(B233,Harytlar!$A$5:$A$44,0)),""))</f>
        <v/>
      </c>
      <c r="F233" s="10" t="str">
        <f t="shared" si="3"/>
        <v/>
      </c>
      <c r="G233" s="10" t="str">
        <f>IF(OR(C233="",B233=""),"",IFERROR(C233*INDEX(Harytlar!$D$5:$D$44,MATCH(B233,Harytlar!$A$5:$A$44,0)),""))</f>
        <v/>
      </c>
    </row>
    <row r="234" spans="1:7" x14ac:dyDescent="0.3">
      <c r="A234" s="17"/>
      <c r="B234" s="18"/>
      <c r="C234" s="18"/>
      <c r="D234" s="18"/>
      <c r="E234" s="10" t="str">
        <f>IF(B234="","",IFERROR(INDEX(Harytlar!$C$5:$C$44,MATCH(B234,Harytlar!$A$5:$A$44,0)),""))</f>
        <v/>
      </c>
      <c r="F234" s="10" t="str">
        <f t="shared" si="3"/>
        <v/>
      </c>
      <c r="G234" s="10" t="str">
        <f>IF(OR(C234="",B234=""),"",IFERROR(C234*INDEX(Harytlar!$D$5:$D$44,MATCH(B234,Harytlar!$A$5:$A$44,0)),""))</f>
        <v/>
      </c>
    </row>
    <row r="235" spans="1:7" x14ac:dyDescent="0.3">
      <c r="A235" s="17"/>
      <c r="B235" s="18"/>
      <c r="C235" s="18"/>
      <c r="D235" s="18"/>
      <c r="E235" s="10" t="str">
        <f>IF(B235="","",IFERROR(INDEX(Harytlar!$C$5:$C$44,MATCH(B235,Harytlar!$A$5:$A$44,0)),""))</f>
        <v/>
      </c>
      <c r="F235" s="10" t="str">
        <f t="shared" si="3"/>
        <v/>
      </c>
      <c r="G235" s="10" t="str">
        <f>IF(OR(C235="",B235=""),"",IFERROR(C235*INDEX(Harytlar!$D$5:$D$44,MATCH(B235,Harytlar!$A$5:$A$44,0)),""))</f>
        <v/>
      </c>
    </row>
    <row r="236" spans="1:7" x14ac:dyDescent="0.3">
      <c r="A236" s="17"/>
      <c r="B236" s="18"/>
      <c r="C236" s="18"/>
      <c r="D236" s="18"/>
      <c r="E236" s="10" t="str">
        <f>IF(B236="","",IFERROR(INDEX(Harytlar!$C$5:$C$44,MATCH(B236,Harytlar!$A$5:$A$44,0)),""))</f>
        <v/>
      </c>
      <c r="F236" s="10" t="str">
        <f t="shared" si="3"/>
        <v/>
      </c>
      <c r="G236" s="10" t="str">
        <f>IF(OR(C236="",B236=""),"",IFERROR(C236*INDEX(Harytlar!$D$5:$D$44,MATCH(B236,Harytlar!$A$5:$A$44,0)),""))</f>
        <v/>
      </c>
    </row>
    <row r="237" spans="1:7" x14ac:dyDescent="0.3">
      <c r="A237" s="17"/>
      <c r="B237" s="18"/>
      <c r="C237" s="18"/>
      <c r="D237" s="18"/>
      <c r="E237" s="10" t="str">
        <f>IF(B237="","",IFERROR(INDEX(Harytlar!$C$5:$C$44,MATCH(B237,Harytlar!$A$5:$A$44,0)),""))</f>
        <v/>
      </c>
      <c r="F237" s="10" t="str">
        <f t="shared" si="3"/>
        <v/>
      </c>
      <c r="G237" s="10" t="str">
        <f>IF(OR(C237="",B237=""),"",IFERROR(C237*INDEX(Harytlar!$D$5:$D$44,MATCH(B237,Harytlar!$A$5:$A$44,0)),""))</f>
        <v/>
      </c>
    </row>
    <row r="238" spans="1:7" x14ac:dyDescent="0.3">
      <c r="A238" s="17"/>
      <c r="B238" s="18"/>
      <c r="C238" s="18"/>
      <c r="D238" s="18"/>
      <c r="E238" s="10" t="str">
        <f>IF(B238="","",IFERROR(INDEX(Harytlar!$C$5:$C$44,MATCH(B238,Harytlar!$A$5:$A$44,0)),""))</f>
        <v/>
      </c>
      <c r="F238" s="10" t="str">
        <f t="shared" si="3"/>
        <v/>
      </c>
      <c r="G238" s="10" t="str">
        <f>IF(OR(C238="",B238=""),"",IFERROR(C238*INDEX(Harytlar!$D$5:$D$44,MATCH(B238,Harytlar!$A$5:$A$44,0)),""))</f>
        <v/>
      </c>
    </row>
    <row r="239" spans="1:7" x14ac:dyDescent="0.3">
      <c r="A239" s="17"/>
      <c r="B239" s="18"/>
      <c r="C239" s="18"/>
      <c r="D239" s="18"/>
      <c r="E239" s="10" t="str">
        <f>IF(B239="","",IFERROR(INDEX(Harytlar!$C$5:$C$44,MATCH(B239,Harytlar!$A$5:$A$44,0)),""))</f>
        <v/>
      </c>
      <c r="F239" s="10" t="str">
        <f t="shared" si="3"/>
        <v/>
      </c>
      <c r="G239" s="10" t="str">
        <f>IF(OR(C239="",B239=""),"",IFERROR(C239*INDEX(Harytlar!$D$5:$D$44,MATCH(B239,Harytlar!$A$5:$A$44,0)),""))</f>
        <v/>
      </c>
    </row>
    <row r="240" spans="1:7" x14ac:dyDescent="0.3">
      <c r="A240" s="17"/>
      <c r="B240" s="18"/>
      <c r="C240" s="18"/>
      <c r="D240" s="18"/>
      <c r="E240" s="10" t="str">
        <f>IF(B240="","",IFERROR(INDEX(Harytlar!$C$5:$C$44,MATCH(B240,Harytlar!$A$5:$A$44,0)),""))</f>
        <v/>
      </c>
      <c r="F240" s="10" t="str">
        <f t="shared" si="3"/>
        <v/>
      </c>
      <c r="G240" s="10" t="str">
        <f>IF(OR(C240="",B240=""),"",IFERROR(C240*INDEX(Harytlar!$D$5:$D$44,MATCH(B240,Harytlar!$A$5:$A$44,0)),""))</f>
        <v/>
      </c>
    </row>
    <row r="241" spans="1:7" x14ac:dyDescent="0.3">
      <c r="A241" s="17"/>
      <c r="B241" s="18"/>
      <c r="C241" s="18"/>
      <c r="D241" s="18"/>
      <c r="E241" s="10" t="str">
        <f>IF(B241="","",IFERROR(INDEX(Harytlar!$C$5:$C$44,MATCH(B241,Harytlar!$A$5:$A$44,0)),""))</f>
        <v/>
      </c>
      <c r="F241" s="10" t="str">
        <f t="shared" si="3"/>
        <v/>
      </c>
      <c r="G241" s="10" t="str">
        <f>IF(OR(C241="",B241=""),"",IFERROR(C241*INDEX(Harytlar!$D$5:$D$44,MATCH(B241,Harytlar!$A$5:$A$44,0)),""))</f>
        <v/>
      </c>
    </row>
    <row r="242" spans="1:7" x14ac:dyDescent="0.3">
      <c r="A242" s="17"/>
      <c r="B242" s="18"/>
      <c r="C242" s="18"/>
      <c r="D242" s="18"/>
      <c r="E242" s="10" t="str">
        <f>IF(B242="","",IFERROR(INDEX(Harytlar!$C$5:$C$44,MATCH(B242,Harytlar!$A$5:$A$44,0)),""))</f>
        <v/>
      </c>
      <c r="F242" s="10" t="str">
        <f t="shared" si="3"/>
        <v/>
      </c>
      <c r="G242" s="10" t="str">
        <f>IF(OR(C242="",B242=""),"",IFERROR(C242*INDEX(Harytlar!$D$5:$D$44,MATCH(B242,Harytlar!$A$5:$A$44,0)),""))</f>
        <v/>
      </c>
    </row>
    <row r="243" spans="1:7" x14ac:dyDescent="0.3">
      <c r="A243" s="17"/>
      <c r="B243" s="18"/>
      <c r="C243" s="18"/>
      <c r="D243" s="18"/>
      <c r="E243" s="10" t="str">
        <f>IF(B243="","",IFERROR(INDEX(Harytlar!$C$5:$C$44,MATCH(B243,Harytlar!$A$5:$A$44,0)),""))</f>
        <v/>
      </c>
      <c r="F243" s="10" t="str">
        <f t="shared" si="3"/>
        <v/>
      </c>
      <c r="G243" s="10" t="str">
        <f>IF(OR(C243="",B243=""),"",IFERROR(C243*INDEX(Harytlar!$D$5:$D$44,MATCH(B243,Harytlar!$A$5:$A$44,0)),""))</f>
        <v/>
      </c>
    </row>
    <row r="244" spans="1:7" x14ac:dyDescent="0.3">
      <c r="A244" s="17"/>
      <c r="B244" s="18"/>
      <c r="C244" s="18"/>
      <c r="D244" s="18"/>
      <c r="E244" s="10" t="str">
        <f>IF(B244="","",IFERROR(INDEX(Harytlar!$C$5:$C$44,MATCH(B244,Harytlar!$A$5:$A$44,0)),""))</f>
        <v/>
      </c>
      <c r="F244" s="10" t="str">
        <f t="shared" si="3"/>
        <v/>
      </c>
      <c r="G244" s="10" t="str">
        <f>IF(OR(C244="",B244=""),"",IFERROR(C244*INDEX(Harytlar!$D$5:$D$44,MATCH(B244,Harytlar!$A$5:$A$44,0)),""))</f>
        <v/>
      </c>
    </row>
    <row r="245" spans="1:7" x14ac:dyDescent="0.3">
      <c r="A245" s="17"/>
      <c r="B245" s="18"/>
      <c r="C245" s="18"/>
      <c r="D245" s="18"/>
      <c r="E245" s="10" t="str">
        <f>IF(B245="","",IFERROR(INDEX(Harytlar!$C$5:$C$44,MATCH(B245,Harytlar!$A$5:$A$44,0)),""))</f>
        <v/>
      </c>
      <c r="F245" s="10" t="str">
        <f t="shared" si="3"/>
        <v/>
      </c>
      <c r="G245" s="10" t="str">
        <f>IF(OR(C245="",B245=""),"",IFERROR(C245*INDEX(Harytlar!$D$5:$D$44,MATCH(B245,Harytlar!$A$5:$A$44,0)),""))</f>
        <v/>
      </c>
    </row>
    <row r="246" spans="1:7" x14ac:dyDescent="0.3">
      <c r="A246" s="17"/>
      <c r="B246" s="18"/>
      <c r="C246" s="18"/>
      <c r="D246" s="18"/>
      <c r="E246" s="10" t="str">
        <f>IF(B246="","",IFERROR(INDEX(Harytlar!$C$5:$C$44,MATCH(B246,Harytlar!$A$5:$A$44,0)),""))</f>
        <v/>
      </c>
      <c r="F246" s="10" t="str">
        <f t="shared" si="3"/>
        <v/>
      </c>
      <c r="G246" s="10" t="str">
        <f>IF(OR(C246="",B246=""),"",IFERROR(C246*INDEX(Harytlar!$D$5:$D$44,MATCH(B246,Harytlar!$A$5:$A$44,0)),""))</f>
        <v/>
      </c>
    </row>
    <row r="247" spans="1:7" x14ac:dyDescent="0.3">
      <c r="A247" s="17"/>
      <c r="B247" s="18"/>
      <c r="C247" s="18"/>
      <c r="D247" s="18"/>
      <c r="E247" s="10" t="str">
        <f>IF(B247="","",IFERROR(INDEX(Harytlar!$C$5:$C$44,MATCH(B247,Harytlar!$A$5:$A$44,0)),""))</f>
        <v/>
      </c>
      <c r="F247" s="10" t="str">
        <f t="shared" si="3"/>
        <v/>
      </c>
      <c r="G247" s="10" t="str">
        <f>IF(OR(C247="",B247=""),"",IFERROR(C247*INDEX(Harytlar!$D$5:$D$44,MATCH(B247,Harytlar!$A$5:$A$44,0)),""))</f>
        <v/>
      </c>
    </row>
    <row r="248" spans="1:7" x14ac:dyDescent="0.3">
      <c r="A248" s="17"/>
      <c r="B248" s="18"/>
      <c r="C248" s="18"/>
      <c r="D248" s="18"/>
      <c r="E248" s="10" t="str">
        <f>IF(B248="","",IFERROR(INDEX(Harytlar!$C$5:$C$44,MATCH(B248,Harytlar!$A$5:$A$44,0)),""))</f>
        <v/>
      </c>
      <c r="F248" s="10" t="str">
        <f t="shared" si="3"/>
        <v/>
      </c>
      <c r="G248" s="10" t="str">
        <f>IF(OR(C248="",B248=""),"",IFERROR(C248*INDEX(Harytlar!$D$5:$D$44,MATCH(B248,Harytlar!$A$5:$A$44,0)),""))</f>
        <v/>
      </c>
    </row>
    <row r="249" spans="1:7" x14ac:dyDescent="0.3">
      <c r="A249" s="17"/>
      <c r="B249" s="18"/>
      <c r="C249" s="18"/>
      <c r="D249" s="18"/>
      <c r="E249" s="10" t="str">
        <f>IF(B249="","",IFERROR(INDEX(Harytlar!$C$5:$C$44,MATCH(B249,Harytlar!$A$5:$A$44,0)),""))</f>
        <v/>
      </c>
      <c r="F249" s="10" t="str">
        <f t="shared" si="3"/>
        <v/>
      </c>
      <c r="G249" s="10" t="str">
        <f>IF(OR(C249="",B249=""),"",IFERROR(C249*INDEX(Harytlar!$D$5:$D$44,MATCH(B249,Harytlar!$A$5:$A$44,0)),""))</f>
        <v/>
      </c>
    </row>
    <row r="250" spans="1:7" x14ac:dyDescent="0.3">
      <c r="A250" s="17"/>
      <c r="B250" s="18"/>
      <c r="C250" s="18"/>
      <c r="D250" s="18"/>
      <c r="E250" s="10" t="str">
        <f>IF(B250="","",IFERROR(INDEX(Harytlar!$C$5:$C$44,MATCH(B250,Harytlar!$A$5:$A$44,0)),""))</f>
        <v/>
      </c>
      <c r="F250" s="10" t="str">
        <f t="shared" si="3"/>
        <v/>
      </c>
      <c r="G250" s="10" t="str">
        <f>IF(OR(C250="",B250=""),"",IFERROR(C250*INDEX(Harytlar!$D$5:$D$44,MATCH(B250,Harytlar!$A$5:$A$44,0)),""))</f>
        <v/>
      </c>
    </row>
    <row r="251" spans="1:7" x14ac:dyDescent="0.3">
      <c r="A251" s="17"/>
      <c r="B251" s="18"/>
      <c r="C251" s="18"/>
      <c r="D251" s="18"/>
      <c r="E251" s="10" t="str">
        <f>IF(B251="","",IFERROR(INDEX(Harytlar!$C$5:$C$44,MATCH(B251,Harytlar!$A$5:$A$44,0)),""))</f>
        <v/>
      </c>
      <c r="F251" s="10" t="str">
        <f t="shared" si="3"/>
        <v/>
      </c>
      <c r="G251" s="10" t="str">
        <f>IF(OR(C251="",B251=""),"",IFERROR(C251*INDEX(Harytlar!$D$5:$D$44,MATCH(B251,Harytlar!$A$5:$A$44,0)),""))</f>
        <v/>
      </c>
    </row>
    <row r="252" spans="1:7" x14ac:dyDescent="0.3">
      <c r="A252" s="17"/>
      <c r="B252" s="18"/>
      <c r="C252" s="18"/>
      <c r="D252" s="18"/>
      <c r="E252" s="10" t="str">
        <f>IF(B252="","",IFERROR(INDEX(Harytlar!$C$5:$C$44,MATCH(B252,Harytlar!$A$5:$A$44,0)),""))</f>
        <v/>
      </c>
      <c r="F252" s="10" t="str">
        <f t="shared" si="3"/>
        <v/>
      </c>
      <c r="G252" s="10" t="str">
        <f>IF(OR(C252="",B252=""),"",IFERROR(C252*INDEX(Harytlar!$D$5:$D$44,MATCH(B252,Harytlar!$A$5:$A$44,0)),""))</f>
        <v/>
      </c>
    </row>
    <row r="253" spans="1:7" x14ac:dyDescent="0.3">
      <c r="A253" s="17"/>
      <c r="B253" s="18"/>
      <c r="C253" s="18"/>
      <c r="D253" s="18"/>
      <c r="E253" s="10" t="str">
        <f>IF(B253="","",IFERROR(INDEX(Harytlar!$C$5:$C$44,MATCH(B253,Harytlar!$A$5:$A$44,0)),""))</f>
        <v/>
      </c>
      <c r="F253" s="10" t="str">
        <f t="shared" si="3"/>
        <v/>
      </c>
      <c r="G253" s="10" t="str">
        <f>IF(OR(C253="",B253=""),"",IFERROR(C253*INDEX(Harytlar!$D$5:$D$44,MATCH(B253,Harytlar!$A$5:$A$44,0)),""))</f>
        <v/>
      </c>
    </row>
    <row r="254" spans="1:7" x14ac:dyDescent="0.3">
      <c r="A254" s="17"/>
      <c r="B254" s="18"/>
      <c r="C254" s="18"/>
      <c r="D254" s="18"/>
      <c r="E254" s="10" t="str">
        <f>IF(B254="","",IFERROR(INDEX(Harytlar!$C$5:$C$44,MATCH(B254,Harytlar!$A$5:$A$44,0)),""))</f>
        <v/>
      </c>
      <c r="F254" s="10" t="str">
        <f t="shared" si="3"/>
        <v/>
      </c>
      <c r="G254" s="10" t="str">
        <f>IF(OR(C254="",B254=""),"",IFERROR(C254*INDEX(Harytlar!$D$5:$D$44,MATCH(B254,Harytlar!$A$5:$A$44,0)),""))</f>
        <v/>
      </c>
    </row>
    <row r="255" spans="1:7" x14ac:dyDescent="0.3">
      <c r="A255" s="17"/>
      <c r="B255" s="18"/>
      <c r="C255" s="18"/>
      <c r="D255" s="18"/>
      <c r="E255" s="10" t="str">
        <f>IF(B255="","",IFERROR(INDEX(Harytlar!$C$5:$C$44,MATCH(B255,Harytlar!$A$5:$A$44,0)),""))</f>
        <v/>
      </c>
      <c r="F255" s="10" t="str">
        <f t="shared" si="3"/>
        <v/>
      </c>
      <c r="G255" s="10" t="str">
        <f>IF(OR(C255="",B255=""),"",IFERROR(C255*INDEX(Harytlar!$D$5:$D$44,MATCH(B255,Harytlar!$A$5:$A$44,0)),""))</f>
        <v/>
      </c>
    </row>
    <row r="256" spans="1:7" x14ac:dyDescent="0.3">
      <c r="A256" s="17"/>
      <c r="B256" s="18"/>
      <c r="C256" s="18"/>
      <c r="D256" s="18"/>
      <c r="E256" s="10" t="str">
        <f>IF(B256="","",IFERROR(INDEX(Harytlar!$C$5:$C$44,MATCH(B256,Harytlar!$A$5:$A$44,0)),""))</f>
        <v/>
      </c>
      <c r="F256" s="10" t="str">
        <f t="shared" si="3"/>
        <v/>
      </c>
      <c r="G256" s="10" t="str">
        <f>IF(OR(C256="",B256=""),"",IFERROR(C256*INDEX(Harytlar!$D$5:$D$44,MATCH(B256,Harytlar!$A$5:$A$44,0)),""))</f>
        <v/>
      </c>
    </row>
    <row r="257" spans="1:7" x14ac:dyDescent="0.3">
      <c r="A257" s="17"/>
      <c r="B257" s="18"/>
      <c r="C257" s="18"/>
      <c r="D257" s="18"/>
      <c r="E257" s="10" t="str">
        <f>IF(B257="","",IFERROR(INDEX(Harytlar!$C$5:$C$44,MATCH(B257,Harytlar!$A$5:$A$44,0)),""))</f>
        <v/>
      </c>
      <c r="F257" s="10" t="str">
        <f t="shared" si="3"/>
        <v/>
      </c>
      <c r="G257" s="10" t="str">
        <f>IF(OR(C257="",B257=""),"",IFERROR(C257*INDEX(Harytlar!$D$5:$D$44,MATCH(B257,Harytlar!$A$5:$A$44,0)),""))</f>
        <v/>
      </c>
    </row>
    <row r="258" spans="1:7" x14ac:dyDescent="0.3">
      <c r="A258" s="17"/>
      <c r="B258" s="18"/>
      <c r="C258" s="18"/>
      <c r="D258" s="18"/>
      <c r="E258" s="10" t="str">
        <f>IF(B258="","",IFERROR(INDEX(Harytlar!$C$5:$C$44,MATCH(B258,Harytlar!$A$5:$A$44,0)),""))</f>
        <v/>
      </c>
      <c r="F258" s="10" t="str">
        <f t="shared" si="3"/>
        <v/>
      </c>
      <c r="G258" s="10" t="str">
        <f>IF(OR(C258="",B258=""),"",IFERROR(C258*INDEX(Harytlar!$D$5:$D$44,MATCH(B258,Harytlar!$A$5:$A$44,0)),""))</f>
        <v/>
      </c>
    </row>
    <row r="259" spans="1:7" x14ac:dyDescent="0.3">
      <c r="A259" s="17"/>
      <c r="B259" s="18"/>
      <c r="C259" s="18"/>
      <c r="D259" s="18"/>
      <c r="E259" s="10" t="str">
        <f>IF(B259="","",IFERROR(INDEX(Harytlar!$C$5:$C$44,MATCH(B259,Harytlar!$A$5:$A$44,0)),""))</f>
        <v/>
      </c>
      <c r="F259" s="10" t="str">
        <f t="shared" si="3"/>
        <v/>
      </c>
      <c r="G259" s="10" t="str">
        <f>IF(OR(C259="",B259=""),"",IFERROR(C259*INDEX(Harytlar!$D$5:$D$44,MATCH(B259,Harytlar!$A$5:$A$44,0)),""))</f>
        <v/>
      </c>
    </row>
    <row r="260" spans="1:7" x14ac:dyDescent="0.3">
      <c r="A260" s="17"/>
      <c r="B260" s="18"/>
      <c r="C260" s="18"/>
      <c r="D260" s="18"/>
      <c r="E260" s="10" t="str">
        <f>IF(B260="","",IFERROR(INDEX(Harytlar!$C$5:$C$44,MATCH(B260,Harytlar!$A$5:$A$44,0)),""))</f>
        <v/>
      </c>
      <c r="F260" s="10" t="str">
        <f t="shared" si="3"/>
        <v/>
      </c>
      <c r="G260" s="10" t="str">
        <f>IF(OR(C260="",B260=""),"",IFERROR(C260*INDEX(Harytlar!$D$5:$D$44,MATCH(B260,Harytlar!$A$5:$A$44,0)),""))</f>
        <v/>
      </c>
    </row>
    <row r="261" spans="1:7" x14ac:dyDescent="0.3">
      <c r="A261" s="17"/>
      <c r="B261" s="18"/>
      <c r="C261" s="18"/>
      <c r="D261" s="18"/>
      <c r="E261" s="10" t="str">
        <f>IF(B261="","",IFERROR(INDEX(Harytlar!$C$5:$C$44,MATCH(B261,Harytlar!$A$5:$A$44,0)),""))</f>
        <v/>
      </c>
      <c r="F261" s="10" t="str">
        <f t="shared" si="3"/>
        <v/>
      </c>
      <c r="G261" s="10" t="str">
        <f>IF(OR(C261="",B261=""),"",IFERROR(C261*INDEX(Harytlar!$D$5:$D$44,MATCH(B261,Harytlar!$A$5:$A$44,0)),""))</f>
        <v/>
      </c>
    </row>
    <row r="262" spans="1:7" x14ac:dyDescent="0.3">
      <c r="A262" s="17"/>
      <c r="B262" s="18"/>
      <c r="C262" s="18"/>
      <c r="D262" s="18"/>
      <c r="E262" s="10" t="str">
        <f>IF(B262="","",IFERROR(INDEX(Harytlar!$C$5:$C$44,MATCH(B262,Harytlar!$A$5:$A$44,0)),""))</f>
        <v/>
      </c>
      <c r="F262" s="10" t="str">
        <f t="shared" ref="F262:F325" si="4">IF(OR(C262="",E262=""),"",C262*E262)</f>
        <v/>
      </c>
      <c r="G262" s="10" t="str">
        <f>IF(OR(C262="",B262=""),"",IFERROR(C262*INDEX(Harytlar!$D$5:$D$44,MATCH(B262,Harytlar!$A$5:$A$44,0)),""))</f>
        <v/>
      </c>
    </row>
    <row r="263" spans="1:7" x14ac:dyDescent="0.3">
      <c r="A263" s="17"/>
      <c r="B263" s="18"/>
      <c r="C263" s="18"/>
      <c r="D263" s="18"/>
      <c r="E263" s="10" t="str">
        <f>IF(B263="","",IFERROR(INDEX(Harytlar!$C$5:$C$44,MATCH(B263,Harytlar!$A$5:$A$44,0)),""))</f>
        <v/>
      </c>
      <c r="F263" s="10" t="str">
        <f t="shared" si="4"/>
        <v/>
      </c>
      <c r="G263" s="10" t="str">
        <f>IF(OR(C263="",B263=""),"",IFERROR(C263*INDEX(Harytlar!$D$5:$D$44,MATCH(B263,Harytlar!$A$5:$A$44,0)),""))</f>
        <v/>
      </c>
    </row>
    <row r="264" spans="1:7" x14ac:dyDescent="0.3">
      <c r="A264" s="17"/>
      <c r="B264" s="18"/>
      <c r="C264" s="18"/>
      <c r="D264" s="18"/>
      <c r="E264" s="10" t="str">
        <f>IF(B264="","",IFERROR(INDEX(Harytlar!$C$5:$C$44,MATCH(B264,Harytlar!$A$5:$A$44,0)),""))</f>
        <v/>
      </c>
      <c r="F264" s="10" t="str">
        <f t="shared" si="4"/>
        <v/>
      </c>
      <c r="G264" s="10" t="str">
        <f>IF(OR(C264="",B264=""),"",IFERROR(C264*INDEX(Harytlar!$D$5:$D$44,MATCH(B264,Harytlar!$A$5:$A$44,0)),""))</f>
        <v/>
      </c>
    </row>
    <row r="265" spans="1:7" x14ac:dyDescent="0.3">
      <c r="A265" s="17"/>
      <c r="B265" s="18"/>
      <c r="C265" s="18"/>
      <c r="D265" s="18"/>
      <c r="E265" s="10" t="str">
        <f>IF(B265="","",IFERROR(INDEX(Harytlar!$C$5:$C$44,MATCH(B265,Harytlar!$A$5:$A$44,0)),""))</f>
        <v/>
      </c>
      <c r="F265" s="10" t="str">
        <f t="shared" si="4"/>
        <v/>
      </c>
      <c r="G265" s="10" t="str">
        <f>IF(OR(C265="",B265=""),"",IFERROR(C265*INDEX(Harytlar!$D$5:$D$44,MATCH(B265,Harytlar!$A$5:$A$44,0)),""))</f>
        <v/>
      </c>
    </row>
    <row r="266" spans="1:7" x14ac:dyDescent="0.3">
      <c r="A266" s="17"/>
      <c r="B266" s="18"/>
      <c r="C266" s="18"/>
      <c r="D266" s="18"/>
      <c r="E266" s="10" t="str">
        <f>IF(B266="","",IFERROR(INDEX(Harytlar!$C$5:$C$44,MATCH(B266,Harytlar!$A$5:$A$44,0)),""))</f>
        <v/>
      </c>
      <c r="F266" s="10" t="str">
        <f t="shared" si="4"/>
        <v/>
      </c>
      <c r="G266" s="10" t="str">
        <f>IF(OR(C266="",B266=""),"",IFERROR(C266*INDEX(Harytlar!$D$5:$D$44,MATCH(B266,Harytlar!$A$5:$A$44,0)),""))</f>
        <v/>
      </c>
    </row>
    <row r="267" spans="1:7" x14ac:dyDescent="0.3">
      <c r="A267" s="17"/>
      <c r="B267" s="18"/>
      <c r="C267" s="18"/>
      <c r="D267" s="18"/>
      <c r="E267" s="10" t="str">
        <f>IF(B267="","",IFERROR(INDEX(Harytlar!$C$5:$C$44,MATCH(B267,Harytlar!$A$5:$A$44,0)),""))</f>
        <v/>
      </c>
      <c r="F267" s="10" t="str">
        <f t="shared" si="4"/>
        <v/>
      </c>
      <c r="G267" s="10" t="str">
        <f>IF(OR(C267="",B267=""),"",IFERROR(C267*INDEX(Harytlar!$D$5:$D$44,MATCH(B267,Harytlar!$A$5:$A$44,0)),""))</f>
        <v/>
      </c>
    </row>
    <row r="268" spans="1:7" x14ac:dyDescent="0.3">
      <c r="A268" s="17"/>
      <c r="B268" s="18"/>
      <c r="C268" s="18"/>
      <c r="D268" s="18"/>
      <c r="E268" s="10" t="str">
        <f>IF(B268="","",IFERROR(INDEX(Harytlar!$C$5:$C$44,MATCH(B268,Harytlar!$A$5:$A$44,0)),""))</f>
        <v/>
      </c>
      <c r="F268" s="10" t="str">
        <f t="shared" si="4"/>
        <v/>
      </c>
      <c r="G268" s="10" t="str">
        <f>IF(OR(C268="",B268=""),"",IFERROR(C268*INDEX(Harytlar!$D$5:$D$44,MATCH(B268,Harytlar!$A$5:$A$44,0)),""))</f>
        <v/>
      </c>
    </row>
    <row r="269" spans="1:7" x14ac:dyDescent="0.3">
      <c r="A269" s="17"/>
      <c r="B269" s="18"/>
      <c r="C269" s="18"/>
      <c r="D269" s="18"/>
      <c r="E269" s="10" t="str">
        <f>IF(B269="","",IFERROR(INDEX(Harytlar!$C$5:$C$44,MATCH(B269,Harytlar!$A$5:$A$44,0)),""))</f>
        <v/>
      </c>
      <c r="F269" s="10" t="str">
        <f t="shared" si="4"/>
        <v/>
      </c>
      <c r="G269" s="10" t="str">
        <f>IF(OR(C269="",B269=""),"",IFERROR(C269*INDEX(Harytlar!$D$5:$D$44,MATCH(B269,Harytlar!$A$5:$A$44,0)),""))</f>
        <v/>
      </c>
    </row>
    <row r="270" spans="1:7" x14ac:dyDescent="0.3">
      <c r="A270" s="17"/>
      <c r="B270" s="18"/>
      <c r="C270" s="18"/>
      <c r="D270" s="18"/>
      <c r="E270" s="10" t="str">
        <f>IF(B270="","",IFERROR(INDEX(Harytlar!$C$5:$C$44,MATCH(B270,Harytlar!$A$5:$A$44,0)),""))</f>
        <v/>
      </c>
      <c r="F270" s="10" t="str">
        <f t="shared" si="4"/>
        <v/>
      </c>
      <c r="G270" s="10" t="str">
        <f>IF(OR(C270="",B270=""),"",IFERROR(C270*INDEX(Harytlar!$D$5:$D$44,MATCH(B270,Harytlar!$A$5:$A$44,0)),""))</f>
        <v/>
      </c>
    </row>
    <row r="271" spans="1:7" x14ac:dyDescent="0.3">
      <c r="A271" s="17"/>
      <c r="B271" s="18"/>
      <c r="C271" s="18"/>
      <c r="D271" s="18"/>
      <c r="E271" s="10" t="str">
        <f>IF(B271="","",IFERROR(INDEX(Harytlar!$C$5:$C$44,MATCH(B271,Harytlar!$A$5:$A$44,0)),""))</f>
        <v/>
      </c>
      <c r="F271" s="10" t="str">
        <f t="shared" si="4"/>
        <v/>
      </c>
      <c r="G271" s="10" t="str">
        <f>IF(OR(C271="",B271=""),"",IFERROR(C271*INDEX(Harytlar!$D$5:$D$44,MATCH(B271,Harytlar!$A$5:$A$44,0)),""))</f>
        <v/>
      </c>
    </row>
    <row r="272" spans="1:7" x14ac:dyDescent="0.3">
      <c r="A272" s="17"/>
      <c r="B272" s="18"/>
      <c r="C272" s="18"/>
      <c r="D272" s="18"/>
      <c r="E272" s="10" t="str">
        <f>IF(B272="","",IFERROR(INDEX(Harytlar!$C$5:$C$44,MATCH(B272,Harytlar!$A$5:$A$44,0)),""))</f>
        <v/>
      </c>
      <c r="F272" s="10" t="str">
        <f t="shared" si="4"/>
        <v/>
      </c>
      <c r="G272" s="10" t="str">
        <f>IF(OR(C272="",B272=""),"",IFERROR(C272*INDEX(Harytlar!$D$5:$D$44,MATCH(B272,Harytlar!$A$5:$A$44,0)),""))</f>
        <v/>
      </c>
    </row>
    <row r="273" spans="1:7" x14ac:dyDescent="0.3">
      <c r="A273" s="17"/>
      <c r="B273" s="18"/>
      <c r="C273" s="18"/>
      <c r="D273" s="18"/>
      <c r="E273" s="10" t="str">
        <f>IF(B273="","",IFERROR(INDEX(Harytlar!$C$5:$C$44,MATCH(B273,Harytlar!$A$5:$A$44,0)),""))</f>
        <v/>
      </c>
      <c r="F273" s="10" t="str">
        <f t="shared" si="4"/>
        <v/>
      </c>
      <c r="G273" s="10" t="str">
        <f>IF(OR(C273="",B273=""),"",IFERROR(C273*INDEX(Harytlar!$D$5:$D$44,MATCH(B273,Harytlar!$A$5:$A$44,0)),""))</f>
        <v/>
      </c>
    </row>
    <row r="274" spans="1:7" x14ac:dyDescent="0.3">
      <c r="A274" s="17"/>
      <c r="B274" s="18"/>
      <c r="C274" s="18"/>
      <c r="D274" s="18"/>
      <c r="E274" s="10" t="str">
        <f>IF(B274="","",IFERROR(INDEX(Harytlar!$C$5:$C$44,MATCH(B274,Harytlar!$A$5:$A$44,0)),""))</f>
        <v/>
      </c>
      <c r="F274" s="10" t="str">
        <f t="shared" si="4"/>
        <v/>
      </c>
      <c r="G274" s="10" t="str">
        <f>IF(OR(C274="",B274=""),"",IFERROR(C274*INDEX(Harytlar!$D$5:$D$44,MATCH(B274,Harytlar!$A$5:$A$44,0)),""))</f>
        <v/>
      </c>
    </row>
    <row r="275" spans="1:7" x14ac:dyDescent="0.3">
      <c r="A275" s="17"/>
      <c r="B275" s="18"/>
      <c r="C275" s="18"/>
      <c r="D275" s="18"/>
      <c r="E275" s="10" t="str">
        <f>IF(B275="","",IFERROR(INDEX(Harytlar!$C$5:$C$44,MATCH(B275,Harytlar!$A$5:$A$44,0)),""))</f>
        <v/>
      </c>
      <c r="F275" s="10" t="str">
        <f t="shared" si="4"/>
        <v/>
      </c>
      <c r="G275" s="10" t="str">
        <f>IF(OR(C275="",B275=""),"",IFERROR(C275*INDEX(Harytlar!$D$5:$D$44,MATCH(B275,Harytlar!$A$5:$A$44,0)),""))</f>
        <v/>
      </c>
    </row>
    <row r="276" spans="1:7" x14ac:dyDescent="0.3">
      <c r="A276" s="17"/>
      <c r="B276" s="18"/>
      <c r="C276" s="18"/>
      <c r="D276" s="18"/>
      <c r="E276" s="10" t="str">
        <f>IF(B276="","",IFERROR(INDEX(Harytlar!$C$5:$C$44,MATCH(B276,Harytlar!$A$5:$A$44,0)),""))</f>
        <v/>
      </c>
      <c r="F276" s="10" t="str">
        <f t="shared" si="4"/>
        <v/>
      </c>
      <c r="G276" s="10" t="str">
        <f>IF(OR(C276="",B276=""),"",IFERROR(C276*INDEX(Harytlar!$D$5:$D$44,MATCH(B276,Harytlar!$A$5:$A$44,0)),""))</f>
        <v/>
      </c>
    </row>
    <row r="277" spans="1:7" x14ac:dyDescent="0.3">
      <c r="A277" s="17"/>
      <c r="B277" s="18"/>
      <c r="C277" s="18"/>
      <c r="D277" s="18"/>
      <c r="E277" s="10" t="str">
        <f>IF(B277="","",IFERROR(INDEX(Harytlar!$C$5:$C$44,MATCH(B277,Harytlar!$A$5:$A$44,0)),""))</f>
        <v/>
      </c>
      <c r="F277" s="10" t="str">
        <f t="shared" si="4"/>
        <v/>
      </c>
      <c r="G277" s="10" t="str">
        <f>IF(OR(C277="",B277=""),"",IFERROR(C277*INDEX(Harytlar!$D$5:$D$44,MATCH(B277,Harytlar!$A$5:$A$44,0)),""))</f>
        <v/>
      </c>
    </row>
    <row r="278" spans="1:7" x14ac:dyDescent="0.3">
      <c r="A278" s="17"/>
      <c r="B278" s="18"/>
      <c r="C278" s="18"/>
      <c r="D278" s="18"/>
      <c r="E278" s="10" t="str">
        <f>IF(B278="","",IFERROR(INDEX(Harytlar!$C$5:$C$44,MATCH(B278,Harytlar!$A$5:$A$44,0)),""))</f>
        <v/>
      </c>
      <c r="F278" s="10" t="str">
        <f t="shared" si="4"/>
        <v/>
      </c>
      <c r="G278" s="10" t="str">
        <f>IF(OR(C278="",B278=""),"",IFERROR(C278*INDEX(Harytlar!$D$5:$D$44,MATCH(B278,Harytlar!$A$5:$A$44,0)),""))</f>
        <v/>
      </c>
    </row>
    <row r="279" spans="1:7" x14ac:dyDescent="0.3">
      <c r="A279" s="17"/>
      <c r="B279" s="18"/>
      <c r="C279" s="18"/>
      <c r="D279" s="18"/>
      <c r="E279" s="10" t="str">
        <f>IF(B279="","",IFERROR(INDEX(Harytlar!$C$5:$C$44,MATCH(B279,Harytlar!$A$5:$A$44,0)),""))</f>
        <v/>
      </c>
      <c r="F279" s="10" t="str">
        <f t="shared" si="4"/>
        <v/>
      </c>
      <c r="G279" s="10" t="str">
        <f>IF(OR(C279="",B279=""),"",IFERROR(C279*INDEX(Harytlar!$D$5:$D$44,MATCH(B279,Harytlar!$A$5:$A$44,0)),""))</f>
        <v/>
      </c>
    </row>
    <row r="280" spans="1:7" x14ac:dyDescent="0.3">
      <c r="A280" s="17"/>
      <c r="B280" s="18"/>
      <c r="C280" s="18"/>
      <c r="D280" s="18"/>
      <c r="E280" s="10" t="str">
        <f>IF(B280="","",IFERROR(INDEX(Harytlar!$C$5:$C$44,MATCH(B280,Harytlar!$A$5:$A$44,0)),""))</f>
        <v/>
      </c>
      <c r="F280" s="10" t="str">
        <f t="shared" si="4"/>
        <v/>
      </c>
      <c r="G280" s="10" t="str">
        <f>IF(OR(C280="",B280=""),"",IFERROR(C280*INDEX(Harytlar!$D$5:$D$44,MATCH(B280,Harytlar!$A$5:$A$44,0)),""))</f>
        <v/>
      </c>
    </row>
    <row r="281" spans="1:7" x14ac:dyDescent="0.3">
      <c r="A281" s="17"/>
      <c r="B281" s="18"/>
      <c r="C281" s="18"/>
      <c r="D281" s="18"/>
      <c r="E281" s="10" t="str">
        <f>IF(B281="","",IFERROR(INDEX(Harytlar!$C$5:$C$44,MATCH(B281,Harytlar!$A$5:$A$44,0)),""))</f>
        <v/>
      </c>
      <c r="F281" s="10" t="str">
        <f t="shared" si="4"/>
        <v/>
      </c>
      <c r="G281" s="10" t="str">
        <f>IF(OR(C281="",B281=""),"",IFERROR(C281*INDEX(Harytlar!$D$5:$D$44,MATCH(B281,Harytlar!$A$5:$A$44,0)),""))</f>
        <v/>
      </c>
    </row>
    <row r="282" spans="1:7" x14ac:dyDescent="0.3">
      <c r="A282" s="17"/>
      <c r="B282" s="18"/>
      <c r="C282" s="18"/>
      <c r="D282" s="18"/>
      <c r="E282" s="10" t="str">
        <f>IF(B282="","",IFERROR(INDEX(Harytlar!$C$5:$C$44,MATCH(B282,Harytlar!$A$5:$A$44,0)),""))</f>
        <v/>
      </c>
      <c r="F282" s="10" t="str">
        <f t="shared" si="4"/>
        <v/>
      </c>
      <c r="G282" s="10" t="str">
        <f>IF(OR(C282="",B282=""),"",IFERROR(C282*INDEX(Harytlar!$D$5:$D$44,MATCH(B282,Harytlar!$A$5:$A$44,0)),""))</f>
        <v/>
      </c>
    </row>
    <row r="283" spans="1:7" x14ac:dyDescent="0.3">
      <c r="A283" s="17"/>
      <c r="B283" s="18"/>
      <c r="C283" s="18"/>
      <c r="D283" s="18"/>
      <c r="E283" s="10" t="str">
        <f>IF(B283="","",IFERROR(INDEX(Harytlar!$C$5:$C$44,MATCH(B283,Harytlar!$A$5:$A$44,0)),""))</f>
        <v/>
      </c>
      <c r="F283" s="10" t="str">
        <f t="shared" si="4"/>
        <v/>
      </c>
      <c r="G283" s="10" t="str">
        <f>IF(OR(C283="",B283=""),"",IFERROR(C283*INDEX(Harytlar!$D$5:$D$44,MATCH(B283,Harytlar!$A$5:$A$44,0)),""))</f>
        <v/>
      </c>
    </row>
    <row r="284" spans="1:7" x14ac:dyDescent="0.3">
      <c r="A284" s="17"/>
      <c r="B284" s="18"/>
      <c r="C284" s="18"/>
      <c r="D284" s="18"/>
      <c r="E284" s="10" t="str">
        <f>IF(B284="","",IFERROR(INDEX(Harytlar!$C$5:$C$44,MATCH(B284,Harytlar!$A$5:$A$44,0)),""))</f>
        <v/>
      </c>
      <c r="F284" s="10" t="str">
        <f t="shared" si="4"/>
        <v/>
      </c>
      <c r="G284" s="10" t="str">
        <f>IF(OR(C284="",B284=""),"",IFERROR(C284*INDEX(Harytlar!$D$5:$D$44,MATCH(B284,Harytlar!$A$5:$A$44,0)),""))</f>
        <v/>
      </c>
    </row>
    <row r="285" spans="1:7" x14ac:dyDescent="0.3">
      <c r="A285" s="17"/>
      <c r="B285" s="18"/>
      <c r="C285" s="18"/>
      <c r="D285" s="18"/>
      <c r="E285" s="10" t="str">
        <f>IF(B285="","",IFERROR(INDEX(Harytlar!$C$5:$C$44,MATCH(B285,Harytlar!$A$5:$A$44,0)),""))</f>
        <v/>
      </c>
      <c r="F285" s="10" t="str">
        <f t="shared" si="4"/>
        <v/>
      </c>
      <c r="G285" s="10" t="str">
        <f>IF(OR(C285="",B285=""),"",IFERROR(C285*INDEX(Harytlar!$D$5:$D$44,MATCH(B285,Harytlar!$A$5:$A$44,0)),""))</f>
        <v/>
      </c>
    </row>
    <row r="286" spans="1:7" x14ac:dyDescent="0.3">
      <c r="A286" s="17"/>
      <c r="B286" s="18"/>
      <c r="C286" s="18"/>
      <c r="D286" s="18"/>
      <c r="E286" s="10" t="str">
        <f>IF(B286="","",IFERROR(INDEX(Harytlar!$C$5:$C$44,MATCH(B286,Harytlar!$A$5:$A$44,0)),""))</f>
        <v/>
      </c>
      <c r="F286" s="10" t="str">
        <f t="shared" si="4"/>
        <v/>
      </c>
      <c r="G286" s="10" t="str">
        <f>IF(OR(C286="",B286=""),"",IFERROR(C286*INDEX(Harytlar!$D$5:$D$44,MATCH(B286,Harytlar!$A$5:$A$44,0)),""))</f>
        <v/>
      </c>
    </row>
    <row r="287" spans="1:7" x14ac:dyDescent="0.3">
      <c r="A287" s="17"/>
      <c r="B287" s="18"/>
      <c r="C287" s="18"/>
      <c r="D287" s="18"/>
      <c r="E287" s="10" t="str">
        <f>IF(B287="","",IFERROR(INDEX(Harytlar!$C$5:$C$44,MATCH(B287,Harytlar!$A$5:$A$44,0)),""))</f>
        <v/>
      </c>
      <c r="F287" s="10" t="str">
        <f t="shared" si="4"/>
        <v/>
      </c>
      <c r="G287" s="10" t="str">
        <f>IF(OR(C287="",B287=""),"",IFERROR(C287*INDEX(Harytlar!$D$5:$D$44,MATCH(B287,Harytlar!$A$5:$A$44,0)),""))</f>
        <v/>
      </c>
    </row>
    <row r="288" spans="1:7" x14ac:dyDescent="0.3">
      <c r="A288" s="17"/>
      <c r="B288" s="18"/>
      <c r="C288" s="18"/>
      <c r="D288" s="18"/>
      <c r="E288" s="10" t="str">
        <f>IF(B288="","",IFERROR(INDEX(Harytlar!$C$5:$C$44,MATCH(B288,Harytlar!$A$5:$A$44,0)),""))</f>
        <v/>
      </c>
      <c r="F288" s="10" t="str">
        <f t="shared" si="4"/>
        <v/>
      </c>
      <c r="G288" s="10" t="str">
        <f>IF(OR(C288="",B288=""),"",IFERROR(C288*INDEX(Harytlar!$D$5:$D$44,MATCH(B288,Harytlar!$A$5:$A$44,0)),""))</f>
        <v/>
      </c>
    </row>
    <row r="289" spans="1:7" x14ac:dyDescent="0.3">
      <c r="A289" s="17"/>
      <c r="B289" s="18"/>
      <c r="C289" s="18"/>
      <c r="D289" s="18"/>
      <c r="E289" s="10" t="str">
        <f>IF(B289="","",IFERROR(INDEX(Harytlar!$C$5:$C$44,MATCH(B289,Harytlar!$A$5:$A$44,0)),""))</f>
        <v/>
      </c>
      <c r="F289" s="10" t="str">
        <f t="shared" si="4"/>
        <v/>
      </c>
      <c r="G289" s="10" t="str">
        <f>IF(OR(C289="",B289=""),"",IFERROR(C289*INDEX(Harytlar!$D$5:$D$44,MATCH(B289,Harytlar!$A$5:$A$44,0)),""))</f>
        <v/>
      </c>
    </row>
    <row r="290" spans="1:7" x14ac:dyDescent="0.3">
      <c r="A290" s="17"/>
      <c r="B290" s="18"/>
      <c r="C290" s="18"/>
      <c r="D290" s="18"/>
      <c r="E290" s="10" t="str">
        <f>IF(B290="","",IFERROR(INDEX(Harytlar!$C$5:$C$44,MATCH(B290,Harytlar!$A$5:$A$44,0)),""))</f>
        <v/>
      </c>
      <c r="F290" s="10" t="str">
        <f t="shared" si="4"/>
        <v/>
      </c>
      <c r="G290" s="10" t="str">
        <f>IF(OR(C290="",B290=""),"",IFERROR(C290*INDEX(Harytlar!$D$5:$D$44,MATCH(B290,Harytlar!$A$5:$A$44,0)),""))</f>
        <v/>
      </c>
    </row>
    <row r="291" spans="1:7" x14ac:dyDescent="0.3">
      <c r="A291" s="17"/>
      <c r="B291" s="18"/>
      <c r="C291" s="18"/>
      <c r="D291" s="18"/>
      <c r="E291" s="10" t="str">
        <f>IF(B291="","",IFERROR(INDEX(Harytlar!$C$5:$C$44,MATCH(B291,Harytlar!$A$5:$A$44,0)),""))</f>
        <v/>
      </c>
      <c r="F291" s="10" t="str">
        <f t="shared" si="4"/>
        <v/>
      </c>
      <c r="G291" s="10" t="str">
        <f>IF(OR(C291="",B291=""),"",IFERROR(C291*INDEX(Harytlar!$D$5:$D$44,MATCH(B291,Harytlar!$A$5:$A$44,0)),""))</f>
        <v/>
      </c>
    </row>
    <row r="292" spans="1:7" x14ac:dyDescent="0.3">
      <c r="A292" s="17"/>
      <c r="B292" s="18"/>
      <c r="C292" s="18"/>
      <c r="D292" s="18"/>
      <c r="E292" s="10" t="str">
        <f>IF(B292="","",IFERROR(INDEX(Harytlar!$C$5:$C$44,MATCH(B292,Harytlar!$A$5:$A$44,0)),""))</f>
        <v/>
      </c>
      <c r="F292" s="10" t="str">
        <f t="shared" si="4"/>
        <v/>
      </c>
      <c r="G292" s="10" t="str">
        <f>IF(OR(C292="",B292=""),"",IFERROR(C292*INDEX(Harytlar!$D$5:$D$44,MATCH(B292,Harytlar!$A$5:$A$44,0)),""))</f>
        <v/>
      </c>
    </row>
    <row r="293" spans="1:7" x14ac:dyDescent="0.3">
      <c r="A293" s="17"/>
      <c r="B293" s="18"/>
      <c r="C293" s="18"/>
      <c r="D293" s="18"/>
      <c r="E293" s="10" t="str">
        <f>IF(B293="","",IFERROR(INDEX(Harytlar!$C$5:$C$44,MATCH(B293,Harytlar!$A$5:$A$44,0)),""))</f>
        <v/>
      </c>
      <c r="F293" s="10" t="str">
        <f t="shared" si="4"/>
        <v/>
      </c>
      <c r="G293" s="10" t="str">
        <f>IF(OR(C293="",B293=""),"",IFERROR(C293*INDEX(Harytlar!$D$5:$D$44,MATCH(B293,Harytlar!$A$5:$A$44,0)),""))</f>
        <v/>
      </c>
    </row>
    <row r="294" spans="1:7" x14ac:dyDescent="0.3">
      <c r="A294" s="17"/>
      <c r="B294" s="18"/>
      <c r="C294" s="18"/>
      <c r="D294" s="18"/>
      <c r="E294" s="10" t="str">
        <f>IF(B294="","",IFERROR(INDEX(Harytlar!$C$5:$C$44,MATCH(B294,Harytlar!$A$5:$A$44,0)),""))</f>
        <v/>
      </c>
      <c r="F294" s="10" t="str">
        <f t="shared" si="4"/>
        <v/>
      </c>
      <c r="G294" s="10" t="str">
        <f>IF(OR(C294="",B294=""),"",IFERROR(C294*INDEX(Harytlar!$D$5:$D$44,MATCH(B294,Harytlar!$A$5:$A$44,0)),""))</f>
        <v/>
      </c>
    </row>
    <row r="295" spans="1:7" x14ac:dyDescent="0.3">
      <c r="A295" s="17"/>
      <c r="B295" s="18"/>
      <c r="C295" s="18"/>
      <c r="D295" s="18"/>
      <c r="E295" s="10" t="str">
        <f>IF(B295="","",IFERROR(INDEX(Harytlar!$C$5:$C$44,MATCH(B295,Harytlar!$A$5:$A$44,0)),""))</f>
        <v/>
      </c>
      <c r="F295" s="10" t="str">
        <f t="shared" si="4"/>
        <v/>
      </c>
      <c r="G295" s="10" t="str">
        <f>IF(OR(C295="",B295=""),"",IFERROR(C295*INDEX(Harytlar!$D$5:$D$44,MATCH(B295,Harytlar!$A$5:$A$44,0)),""))</f>
        <v/>
      </c>
    </row>
    <row r="296" spans="1:7" x14ac:dyDescent="0.3">
      <c r="A296" s="17"/>
      <c r="B296" s="18"/>
      <c r="C296" s="18"/>
      <c r="D296" s="18"/>
      <c r="E296" s="10" t="str">
        <f>IF(B296="","",IFERROR(INDEX(Harytlar!$C$5:$C$44,MATCH(B296,Harytlar!$A$5:$A$44,0)),""))</f>
        <v/>
      </c>
      <c r="F296" s="10" t="str">
        <f t="shared" si="4"/>
        <v/>
      </c>
      <c r="G296" s="10" t="str">
        <f>IF(OR(C296="",B296=""),"",IFERROR(C296*INDEX(Harytlar!$D$5:$D$44,MATCH(B296,Harytlar!$A$5:$A$44,0)),""))</f>
        <v/>
      </c>
    </row>
    <row r="297" spans="1:7" x14ac:dyDescent="0.3">
      <c r="A297" s="17"/>
      <c r="B297" s="18"/>
      <c r="C297" s="18"/>
      <c r="D297" s="18"/>
      <c r="E297" s="10" t="str">
        <f>IF(B297="","",IFERROR(INDEX(Harytlar!$C$5:$C$44,MATCH(B297,Harytlar!$A$5:$A$44,0)),""))</f>
        <v/>
      </c>
      <c r="F297" s="10" t="str">
        <f t="shared" si="4"/>
        <v/>
      </c>
      <c r="G297" s="10" t="str">
        <f>IF(OR(C297="",B297=""),"",IFERROR(C297*INDEX(Harytlar!$D$5:$D$44,MATCH(B297,Harytlar!$A$5:$A$44,0)),""))</f>
        <v/>
      </c>
    </row>
    <row r="298" spans="1:7" x14ac:dyDescent="0.3">
      <c r="A298" s="17"/>
      <c r="B298" s="18"/>
      <c r="C298" s="18"/>
      <c r="D298" s="18"/>
      <c r="E298" s="10" t="str">
        <f>IF(B298="","",IFERROR(INDEX(Harytlar!$C$5:$C$44,MATCH(B298,Harytlar!$A$5:$A$44,0)),""))</f>
        <v/>
      </c>
      <c r="F298" s="10" t="str">
        <f t="shared" si="4"/>
        <v/>
      </c>
      <c r="G298" s="10" t="str">
        <f>IF(OR(C298="",B298=""),"",IFERROR(C298*INDEX(Harytlar!$D$5:$D$44,MATCH(B298,Harytlar!$A$5:$A$44,0)),""))</f>
        <v/>
      </c>
    </row>
    <row r="299" spans="1:7" x14ac:dyDescent="0.3">
      <c r="A299" s="17"/>
      <c r="B299" s="18"/>
      <c r="C299" s="18"/>
      <c r="D299" s="18"/>
      <c r="E299" s="10" t="str">
        <f>IF(B299="","",IFERROR(INDEX(Harytlar!$C$5:$C$44,MATCH(B299,Harytlar!$A$5:$A$44,0)),""))</f>
        <v/>
      </c>
      <c r="F299" s="10" t="str">
        <f t="shared" si="4"/>
        <v/>
      </c>
      <c r="G299" s="10" t="str">
        <f>IF(OR(C299="",B299=""),"",IFERROR(C299*INDEX(Harytlar!$D$5:$D$44,MATCH(B299,Harytlar!$A$5:$A$44,0)),""))</f>
        <v/>
      </c>
    </row>
    <row r="300" spans="1:7" x14ac:dyDescent="0.3">
      <c r="A300" s="17"/>
      <c r="B300" s="18"/>
      <c r="C300" s="18"/>
      <c r="D300" s="18"/>
      <c r="E300" s="10" t="str">
        <f>IF(B300="","",IFERROR(INDEX(Harytlar!$C$5:$C$44,MATCH(B300,Harytlar!$A$5:$A$44,0)),""))</f>
        <v/>
      </c>
      <c r="F300" s="10" t="str">
        <f t="shared" si="4"/>
        <v/>
      </c>
      <c r="G300" s="10" t="str">
        <f>IF(OR(C300="",B300=""),"",IFERROR(C300*INDEX(Harytlar!$D$5:$D$44,MATCH(B300,Harytlar!$A$5:$A$44,0)),""))</f>
        <v/>
      </c>
    </row>
    <row r="301" spans="1:7" x14ac:dyDescent="0.3">
      <c r="A301" s="17"/>
      <c r="B301" s="18"/>
      <c r="C301" s="18"/>
      <c r="D301" s="18"/>
      <c r="E301" s="10" t="str">
        <f>IF(B301="","",IFERROR(INDEX(Harytlar!$C$5:$C$44,MATCH(B301,Harytlar!$A$5:$A$44,0)),""))</f>
        <v/>
      </c>
      <c r="F301" s="10" t="str">
        <f t="shared" si="4"/>
        <v/>
      </c>
      <c r="G301" s="10" t="str">
        <f>IF(OR(C301="",B301=""),"",IFERROR(C301*INDEX(Harytlar!$D$5:$D$44,MATCH(B301,Harytlar!$A$5:$A$44,0)),""))</f>
        <v/>
      </c>
    </row>
    <row r="302" spans="1:7" x14ac:dyDescent="0.3">
      <c r="A302" s="17"/>
      <c r="B302" s="18"/>
      <c r="C302" s="18"/>
      <c r="D302" s="18"/>
      <c r="E302" s="10" t="str">
        <f>IF(B302="","",IFERROR(INDEX(Harytlar!$C$5:$C$44,MATCH(B302,Harytlar!$A$5:$A$44,0)),""))</f>
        <v/>
      </c>
      <c r="F302" s="10" t="str">
        <f t="shared" si="4"/>
        <v/>
      </c>
      <c r="G302" s="10" t="str">
        <f>IF(OR(C302="",B302=""),"",IFERROR(C302*INDEX(Harytlar!$D$5:$D$44,MATCH(B302,Harytlar!$A$5:$A$44,0)),""))</f>
        <v/>
      </c>
    </row>
    <row r="303" spans="1:7" x14ac:dyDescent="0.3">
      <c r="A303" s="17"/>
      <c r="B303" s="18"/>
      <c r="C303" s="18"/>
      <c r="D303" s="18"/>
      <c r="E303" s="10" t="str">
        <f>IF(B303="","",IFERROR(INDEX(Harytlar!$C$5:$C$44,MATCH(B303,Harytlar!$A$5:$A$44,0)),""))</f>
        <v/>
      </c>
      <c r="F303" s="10" t="str">
        <f t="shared" si="4"/>
        <v/>
      </c>
      <c r="G303" s="10" t="str">
        <f>IF(OR(C303="",B303=""),"",IFERROR(C303*INDEX(Harytlar!$D$5:$D$44,MATCH(B303,Harytlar!$A$5:$A$44,0)),""))</f>
        <v/>
      </c>
    </row>
    <row r="304" spans="1:7" x14ac:dyDescent="0.3">
      <c r="A304" s="17"/>
      <c r="B304" s="18"/>
      <c r="C304" s="18"/>
      <c r="D304" s="18"/>
      <c r="E304" s="10" t="str">
        <f>IF(B304="","",IFERROR(INDEX(Harytlar!$C$5:$C$44,MATCH(B304,Harytlar!$A$5:$A$44,0)),""))</f>
        <v/>
      </c>
      <c r="F304" s="10" t="str">
        <f t="shared" si="4"/>
        <v/>
      </c>
      <c r="G304" s="10" t="str">
        <f>IF(OR(C304="",B304=""),"",IFERROR(C304*INDEX(Harytlar!$D$5:$D$44,MATCH(B304,Harytlar!$A$5:$A$44,0)),""))</f>
        <v/>
      </c>
    </row>
    <row r="305" spans="1:7" x14ac:dyDescent="0.3">
      <c r="A305" s="17"/>
      <c r="B305" s="18"/>
      <c r="C305" s="18"/>
      <c r="D305" s="18"/>
      <c r="E305" s="10" t="str">
        <f>IF(B305="","",IFERROR(INDEX(Harytlar!$C$5:$C$44,MATCH(B305,Harytlar!$A$5:$A$44,0)),""))</f>
        <v/>
      </c>
      <c r="F305" s="10" t="str">
        <f t="shared" si="4"/>
        <v/>
      </c>
      <c r="G305" s="10" t="str">
        <f>IF(OR(C305="",B305=""),"",IFERROR(C305*INDEX(Harytlar!$D$5:$D$44,MATCH(B305,Harytlar!$A$5:$A$44,0)),""))</f>
        <v/>
      </c>
    </row>
    <row r="306" spans="1:7" x14ac:dyDescent="0.3">
      <c r="A306" s="17"/>
      <c r="B306" s="18"/>
      <c r="C306" s="18"/>
      <c r="D306" s="18"/>
      <c r="E306" s="10" t="str">
        <f>IF(B306="","",IFERROR(INDEX(Harytlar!$C$5:$C$44,MATCH(B306,Harytlar!$A$5:$A$44,0)),""))</f>
        <v/>
      </c>
      <c r="F306" s="10" t="str">
        <f t="shared" si="4"/>
        <v/>
      </c>
      <c r="G306" s="10" t="str">
        <f>IF(OR(C306="",B306=""),"",IFERROR(C306*INDEX(Harytlar!$D$5:$D$44,MATCH(B306,Harytlar!$A$5:$A$44,0)),""))</f>
        <v/>
      </c>
    </row>
    <row r="307" spans="1:7" x14ac:dyDescent="0.3">
      <c r="A307" s="17"/>
      <c r="B307" s="18"/>
      <c r="C307" s="18"/>
      <c r="D307" s="18"/>
      <c r="E307" s="10" t="str">
        <f>IF(B307="","",IFERROR(INDEX(Harytlar!$C$5:$C$44,MATCH(B307,Harytlar!$A$5:$A$44,0)),""))</f>
        <v/>
      </c>
      <c r="F307" s="10" t="str">
        <f t="shared" si="4"/>
        <v/>
      </c>
      <c r="G307" s="10" t="str">
        <f>IF(OR(C307="",B307=""),"",IFERROR(C307*INDEX(Harytlar!$D$5:$D$44,MATCH(B307,Harytlar!$A$5:$A$44,0)),""))</f>
        <v/>
      </c>
    </row>
    <row r="308" spans="1:7" x14ac:dyDescent="0.3">
      <c r="A308" s="17"/>
      <c r="B308" s="18"/>
      <c r="C308" s="18"/>
      <c r="D308" s="18"/>
      <c r="E308" s="10" t="str">
        <f>IF(B308="","",IFERROR(INDEX(Harytlar!$C$5:$C$44,MATCH(B308,Harytlar!$A$5:$A$44,0)),""))</f>
        <v/>
      </c>
      <c r="F308" s="10" t="str">
        <f t="shared" si="4"/>
        <v/>
      </c>
      <c r="G308" s="10" t="str">
        <f>IF(OR(C308="",B308=""),"",IFERROR(C308*INDEX(Harytlar!$D$5:$D$44,MATCH(B308,Harytlar!$A$5:$A$44,0)),""))</f>
        <v/>
      </c>
    </row>
    <row r="309" spans="1:7" x14ac:dyDescent="0.3">
      <c r="A309" s="17"/>
      <c r="B309" s="18"/>
      <c r="C309" s="18"/>
      <c r="D309" s="18"/>
      <c r="E309" s="10" t="str">
        <f>IF(B309="","",IFERROR(INDEX(Harytlar!$C$5:$C$44,MATCH(B309,Harytlar!$A$5:$A$44,0)),""))</f>
        <v/>
      </c>
      <c r="F309" s="10" t="str">
        <f t="shared" si="4"/>
        <v/>
      </c>
      <c r="G309" s="10" t="str">
        <f>IF(OR(C309="",B309=""),"",IFERROR(C309*INDEX(Harytlar!$D$5:$D$44,MATCH(B309,Harytlar!$A$5:$A$44,0)),""))</f>
        <v/>
      </c>
    </row>
    <row r="310" spans="1:7" x14ac:dyDescent="0.3">
      <c r="A310" s="17"/>
      <c r="B310" s="18"/>
      <c r="C310" s="18"/>
      <c r="D310" s="18"/>
      <c r="E310" s="10" t="str">
        <f>IF(B310="","",IFERROR(INDEX(Harytlar!$C$5:$C$44,MATCH(B310,Harytlar!$A$5:$A$44,0)),""))</f>
        <v/>
      </c>
      <c r="F310" s="10" t="str">
        <f t="shared" si="4"/>
        <v/>
      </c>
      <c r="G310" s="10" t="str">
        <f>IF(OR(C310="",B310=""),"",IFERROR(C310*INDEX(Harytlar!$D$5:$D$44,MATCH(B310,Harytlar!$A$5:$A$44,0)),""))</f>
        <v/>
      </c>
    </row>
    <row r="311" spans="1:7" x14ac:dyDescent="0.3">
      <c r="A311" s="17"/>
      <c r="B311" s="18"/>
      <c r="C311" s="18"/>
      <c r="D311" s="18"/>
      <c r="E311" s="10" t="str">
        <f>IF(B311="","",IFERROR(INDEX(Harytlar!$C$5:$C$44,MATCH(B311,Harytlar!$A$5:$A$44,0)),""))</f>
        <v/>
      </c>
      <c r="F311" s="10" t="str">
        <f t="shared" si="4"/>
        <v/>
      </c>
      <c r="G311" s="10" t="str">
        <f>IF(OR(C311="",B311=""),"",IFERROR(C311*INDEX(Harytlar!$D$5:$D$44,MATCH(B311,Harytlar!$A$5:$A$44,0)),""))</f>
        <v/>
      </c>
    </row>
    <row r="312" spans="1:7" x14ac:dyDescent="0.3">
      <c r="A312" s="17"/>
      <c r="B312" s="18"/>
      <c r="C312" s="18"/>
      <c r="D312" s="18"/>
      <c r="E312" s="10" t="str">
        <f>IF(B312="","",IFERROR(INDEX(Harytlar!$C$5:$C$44,MATCH(B312,Harytlar!$A$5:$A$44,0)),""))</f>
        <v/>
      </c>
      <c r="F312" s="10" t="str">
        <f t="shared" si="4"/>
        <v/>
      </c>
      <c r="G312" s="10" t="str">
        <f>IF(OR(C312="",B312=""),"",IFERROR(C312*INDEX(Harytlar!$D$5:$D$44,MATCH(B312,Harytlar!$A$5:$A$44,0)),""))</f>
        <v/>
      </c>
    </row>
    <row r="313" spans="1:7" x14ac:dyDescent="0.3">
      <c r="A313" s="17"/>
      <c r="B313" s="18"/>
      <c r="C313" s="18"/>
      <c r="D313" s="18"/>
      <c r="E313" s="10" t="str">
        <f>IF(B313="","",IFERROR(INDEX(Harytlar!$C$5:$C$44,MATCH(B313,Harytlar!$A$5:$A$44,0)),""))</f>
        <v/>
      </c>
      <c r="F313" s="10" t="str">
        <f t="shared" si="4"/>
        <v/>
      </c>
      <c r="G313" s="10" t="str">
        <f>IF(OR(C313="",B313=""),"",IFERROR(C313*INDEX(Harytlar!$D$5:$D$44,MATCH(B313,Harytlar!$A$5:$A$44,0)),""))</f>
        <v/>
      </c>
    </row>
    <row r="314" spans="1:7" x14ac:dyDescent="0.3">
      <c r="A314" s="17"/>
      <c r="B314" s="18"/>
      <c r="C314" s="18"/>
      <c r="D314" s="18"/>
      <c r="E314" s="10" t="str">
        <f>IF(B314="","",IFERROR(INDEX(Harytlar!$C$5:$C$44,MATCH(B314,Harytlar!$A$5:$A$44,0)),""))</f>
        <v/>
      </c>
      <c r="F314" s="10" t="str">
        <f t="shared" si="4"/>
        <v/>
      </c>
      <c r="G314" s="10" t="str">
        <f>IF(OR(C314="",B314=""),"",IFERROR(C314*INDEX(Harytlar!$D$5:$D$44,MATCH(B314,Harytlar!$A$5:$A$44,0)),""))</f>
        <v/>
      </c>
    </row>
    <row r="315" spans="1:7" x14ac:dyDescent="0.3">
      <c r="A315" s="17"/>
      <c r="B315" s="18"/>
      <c r="C315" s="18"/>
      <c r="D315" s="18"/>
      <c r="E315" s="10" t="str">
        <f>IF(B315="","",IFERROR(INDEX(Harytlar!$C$5:$C$44,MATCH(B315,Harytlar!$A$5:$A$44,0)),""))</f>
        <v/>
      </c>
      <c r="F315" s="10" t="str">
        <f t="shared" si="4"/>
        <v/>
      </c>
      <c r="G315" s="10" t="str">
        <f>IF(OR(C315="",B315=""),"",IFERROR(C315*INDEX(Harytlar!$D$5:$D$44,MATCH(B315,Harytlar!$A$5:$A$44,0)),""))</f>
        <v/>
      </c>
    </row>
    <row r="316" spans="1:7" x14ac:dyDescent="0.3">
      <c r="A316" s="17"/>
      <c r="B316" s="18"/>
      <c r="C316" s="18"/>
      <c r="D316" s="18"/>
      <c r="E316" s="10" t="str">
        <f>IF(B316="","",IFERROR(INDEX(Harytlar!$C$5:$C$44,MATCH(B316,Harytlar!$A$5:$A$44,0)),""))</f>
        <v/>
      </c>
      <c r="F316" s="10" t="str">
        <f t="shared" si="4"/>
        <v/>
      </c>
      <c r="G316" s="10" t="str">
        <f>IF(OR(C316="",B316=""),"",IFERROR(C316*INDEX(Harytlar!$D$5:$D$44,MATCH(B316,Harytlar!$A$5:$A$44,0)),""))</f>
        <v/>
      </c>
    </row>
    <row r="317" spans="1:7" x14ac:dyDescent="0.3">
      <c r="A317" s="17"/>
      <c r="B317" s="18"/>
      <c r="C317" s="18"/>
      <c r="D317" s="18"/>
      <c r="E317" s="10" t="str">
        <f>IF(B317="","",IFERROR(INDEX(Harytlar!$C$5:$C$44,MATCH(B317,Harytlar!$A$5:$A$44,0)),""))</f>
        <v/>
      </c>
      <c r="F317" s="10" t="str">
        <f t="shared" si="4"/>
        <v/>
      </c>
      <c r="G317" s="10" t="str">
        <f>IF(OR(C317="",B317=""),"",IFERROR(C317*INDEX(Harytlar!$D$5:$D$44,MATCH(B317,Harytlar!$A$5:$A$44,0)),""))</f>
        <v/>
      </c>
    </row>
    <row r="318" spans="1:7" x14ac:dyDescent="0.3">
      <c r="A318" s="17"/>
      <c r="B318" s="18"/>
      <c r="C318" s="18"/>
      <c r="D318" s="18"/>
      <c r="E318" s="10" t="str">
        <f>IF(B318="","",IFERROR(INDEX(Harytlar!$C$5:$C$44,MATCH(B318,Harytlar!$A$5:$A$44,0)),""))</f>
        <v/>
      </c>
      <c r="F318" s="10" t="str">
        <f t="shared" si="4"/>
        <v/>
      </c>
      <c r="G318" s="10" t="str">
        <f>IF(OR(C318="",B318=""),"",IFERROR(C318*INDEX(Harytlar!$D$5:$D$44,MATCH(B318,Harytlar!$A$5:$A$44,0)),""))</f>
        <v/>
      </c>
    </row>
    <row r="319" spans="1:7" x14ac:dyDescent="0.3">
      <c r="A319" s="17"/>
      <c r="B319" s="18"/>
      <c r="C319" s="18"/>
      <c r="D319" s="18"/>
      <c r="E319" s="10" t="str">
        <f>IF(B319="","",IFERROR(INDEX(Harytlar!$C$5:$C$44,MATCH(B319,Harytlar!$A$5:$A$44,0)),""))</f>
        <v/>
      </c>
      <c r="F319" s="10" t="str">
        <f t="shared" si="4"/>
        <v/>
      </c>
      <c r="G319" s="10" t="str">
        <f>IF(OR(C319="",B319=""),"",IFERROR(C319*INDEX(Harytlar!$D$5:$D$44,MATCH(B319,Harytlar!$A$5:$A$44,0)),""))</f>
        <v/>
      </c>
    </row>
    <row r="320" spans="1:7" x14ac:dyDescent="0.3">
      <c r="A320" s="17"/>
      <c r="B320" s="18"/>
      <c r="C320" s="18"/>
      <c r="D320" s="18"/>
      <c r="E320" s="10" t="str">
        <f>IF(B320="","",IFERROR(INDEX(Harytlar!$C$5:$C$44,MATCH(B320,Harytlar!$A$5:$A$44,0)),""))</f>
        <v/>
      </c>
      <c r="F320" s="10" t="str">
        <f t="shared" si="4"/>
        <v/>
      </c>
      <c r="G320" s="10" t="str">
        <f>IF(OR(C320="",B320=""),"",IFERROR(C320*INDEX(Harytlar!$D$5:$D$44,MATCH(B320,Harytlar!$A$5:$A$44,0)),""))</f>
        <v/>
      </c>
    </row>
    <row r="321" spans="1:7" x14ac:dyDescent="0.3">
      <c r="A321" s="17"/>
      <c r="B321" s="18"/>
      <c r="C321" s="18"/>
      <c r="D321" s="18"/>
      <c r="E321" s="10" t="str">
        <f>IF(B321="","",IFERROR(INDEX(Harytlar!$C$5:$C$44,MATCH(B321,Harytlar!$A$5:$A$44,0)),""))</f>
        <v/>
      </c>
      <c r="F321" s="10" t="str">
        <f t="shared" si="4"/>
        <v/>
      </c>
      <c r="G321" s="10" t="str">
        <f>IF(OR(C321="",B321=""),"",IFERROR(C321*INDEX(Harytlar!$D$5:$D$44,MATCH(B321,Harytlar!$A$5:$A$44,0)),""))</f>
        <v/>
      </c>
    </row>
    <row r="322" spans="1:7" x14ac:dyDescent="0.3">
      <c r="A322" s="17"/>
      <c r="B322" s="18"/>
      <c r="C322" s="18"/>
      <c r="D322" s="18"/>
      <c r="E322" s="10" t="str">
        <f>IF(B322="","",IFERROR(INDEX(Harytlar!$C$5:$C$44,MATCH(B322,Harytlar!$A$5:$A$44,0)),""))</f>
        <v/>
      </c>
      <c r="F322" s="10" t="str">
        <f t="shared" si="4"/>
        <v/>
      </c>
      <c r="G322" s="10" t="str">
        <f>IF(OR(C322="",B322=""),"",IFERROR(C322*INDEX(Harytlar!$D$5:$D$44,MATCH(B322,Harytlar!$A$5:$A$44,0)),""))</f>
        <v/>
      </c>
    </row>
    <row r="323" spans="1:7" x14ac:dyDescent="0.3">
      <c r="A323" s="17"/>
      <c r="B323" s="18"/>
      <c r="C323" s="18"/>
      <c r="D323" s="18"/>
      <c r="E323" s="10" t="str">
        <f>IF(B323="","",IFERROR(INDEX(Harytlar!$C$5:$C$44,MATCH(B323,Harytlar!$A$5:$A$44,0)),""))</f>
        <v/>
      </c>
      <c r="F323" s="10" t="str">
        <f t="shared" si="4"/>
        <v/>
      </c>
      <c r="G323" s="10" t="str">
        <f>IF(OR(C323="",B323=""),"",IFERROR(C323*INDEX(Harytlar!$D$5:$D$44,MATCH(B323,Harytlar!$A$5:$A$44,0)),""))</f>
        <v/>
      </c>
    </row>
    <row r="324" spans="1:7" x14ac:dyDescent="0.3">
      <c r="A324" s="17"/>
      <c r="B324" s="18"/>
      <c r="C324" s="18"/>
      <c r="D324" s="18"/>
      <c r="E324" s="10" t="str">
        <f>IF(B324="","",IFERROR(INDEX(Harytlar!$C$5:$C$44,MATCH(B324,Harytlar!$A$5:$A$44,0)),""))</f>
        <v/>
      </c>
      <c r="F324" s="10" t="str">
        <f t="shared" si="4"/>
        <v/>
      </c>
      <c r="G324" s="10" t="str">
        <f>IF(OR(C324="",B324=""),"",IFERROR(C324*INDEX(Harytlar!$D$5:$D$44,MATCH(B324,Harytlar!$A$5:$A$44,0)),""))</f>
        <v/>
      </c>
    </row>
    <row r="325" spans="1:7" x14ac:dyDescent="0.3">
      <c r="A325" s="17"/>
      <c r="B325" s="18"/>
      <c r="C325" s="18"/>
      <c r="D325" s="18"/>
      <c r="E325" s="10" t="str">
        <f>IF(B325="","",IFERROR(INDEX(Harytlar!$C$5:$C$44,MATCH(B325,Harytlar!$A$5:$A$44,0)),""))</f>
        <v/>
      </c>
      <c r="F325" s="10" t="str">
        <f t="shared" si="4"/>
        <v/>
      </c>
      <c r="G325" s="10" t="str">
        <f>IF(OR(C325="",B325=""),"",IFERROR(C325*INDEX(Harytlar!$D$5:$D$44,MATCH(B325,Harytlar!$A$5:$A$44,0)),""))</f>
        <v/>
      </c>
    </row>
    <row r="326" spans="1:7" x14ac:dyDescent="0.3">
      <c r="A326" s="17"/>
      <c r="B326" s="18"/>
      <c r="C326" s="18"/>
      <c r="D326" s="18"/>
      <c r="E326" s="10" t="str">
        <f>IF(B326="","",IFERROR(INDEX(Harytlar!$C$5:$C$44,MATCH(B326,Harytlar!$A$5:$A$44,0)),""))</f>
        <v/>
      </c>
      <c r="F326" s="10" t="str">
        <f t="shared" ref="F326:F389" si="5">IF(OR(C326="",E326=""),"",C326*E326)</f>
        <v/>
      </c>
      <c r="G326" s="10" t="str">
        <f>IF(OR(C326="",B326=""),"",IFERROR(C326*INDEX(Harytlar!$D$5:$D$44,MATCH(B326,Harytlar!$A$5:$A$44,0)),""))</f>
        <v/>
      </c>
    </row>
    <row r="327" spans="1:7" x14ac:dyDescent="0.3">
      <c r="A327" s="17"/>
      <c r="B327" s="18"/>
      <c r="C327" s="18"/>
      <c r="D327" s="18"/>
      <c r="E327" s="10" t="str">
        <f>IF(B327="","",IFERROR(INDEX(Harytlar!$C$5:$C$44,MATCH(B327,Harytlar!$A$5:$A$44,0)),""))</f>
        <v/>
      </c>
      <c r="F327" s="10" t="str">
        <f t="shared" si="5"/>
        <v/>
      </c>
      <c r="G327" s="10" t="str">
        <f>IF(OR(C327="",B327=""),"",IFERROR(C327*INDEX(Harytlar!$D$5:$D$44,MATCH(B327,Harytlar!$A$5:$A$44,0)),""))</f>
        <v/>
      </c>
    </row>
    <row r="328" spans="1:7" x14ac:dyDescent="0.3">
      <c r="A328" s="17"/>
      <c r="B328" s="18"/>
      <c r="C328" s="18"/>
      <c r="D328" s="18"/>
      <c r="E328" s="10" t="str">
        <f>IF(B328="","",IFERROR(INDEX(Harytlar!$C$5:$C$44,MATCH(B328,Harytlar!$A$5:$A$44,0)),""))</f>
        <v/>
      </c>
      <c r="F328" s="10" t="str">
        <f t="shared" si="5"/>
        <v/>
      </c>
      <c r="G328" s="10" t="str">
        <f>IF(OR(C328="",B328=""),"",IFERROR(C328*INDEX(Harytlar!$D$5:$D$44,MATCH(B328,Harytlar!$A$5:$A$44,0)),""))</f>
        <v/>
      </c>
    </row>
    <row r="329" spans="1:7" x14ac:dyDescent="0.3">
      <c r="A329" s="17"/>
      <c r="B329" s="18"/>
      <c r="C329" s="18"/>
      <c r="D329" s="18"/>
      <c r="E329" s="10" t="str">
        <f>IF(B329="","",IFERROR(INDEX(Harytlar!$C$5:$C$44,MATCH(B329,Harytlar!$A$5:$A$44,0)),""))</f>
        <v/>
      </c>
      <c r="F329" s="10" t="str">
        <f t="shared" si="5"/>
        <v/>
      </c>
      <c r="G329" s="10" t="str">
        <f>IF(OR(C329="",B329=""),"",IFERROR(C329*INDEX(Harytlar!$D$5:$D$44,MATCH(B329,Harytlar!$A$5:$A$44,0)),""))</f>
        <v/>
      </c>
    </row>
    <row r="330" spans="1:7" x14ac:dyDescent="0.3">
      <c r="A330" s="17"/>
      <c r="B330" s="18"/>
      <c r="C330" s="18"/>
      <c r="D330" s="18"/>
      <c r="E330" s="10" t="str">
        <f>IF(B330="","",IFERROR(INDEX(Harytlar!$C$5:$C$44,MATCH(B330,Harytlar!$A$5:$A$44,0)),""))</f>
        <v/>
      </c>
      <c r="F330" s="10" t="str">
        <f t="shared" si="5"/>
        <v/>
      </c>
      <c r="G330" s="10" t="str">
        <f>IF(OR(C330="",B330=""),"",IFERROR(C330*INDEX(Harytlar!$D$5:$D$44,MATCH(B330,Harytlar!$A$5:$A$44,0)),""))</f>
        <v/>
      </c>
    </row>
    <row r="331" spans="1:7" x14ac:dyDescent="0.3">
      <c r="A331" s="17"/>
      <c r="B331" s="18"/>
      <c r="C331" s="18"/>
      <c r="D331" s="18"/>
      <c r="E331" s="10" t="str">
        <f>IF(B331="","",IFERROR(INDEX(Harytlar!$C$5:$C$44,MATCH(B331,Harytlar!$A$5:$A$44,0)),""))</f>
        <v/>
      </c>
      <c r="F331" s="10" t="str">
        <f t="shared" si="5"/>
        <v/>
      </c>
      <c r="G331" s="10" t="str">
        <f>IF(OR(C331="",B331=""),"",IFERROR(C331*INDEX(Harytlar!$D$5:$D$44,MATCH(B331,Harytlar!$A$5:$A$44,0)),""))</f>
        <v/>
      </c>
    </row>
    <row r="332" spans="1:7" x14ac:dyDescent="0.3">
      <c r="A332" s="17"/>
      <c r="B332" s="18"/>
      <c r="C332" s="18"/>
      <c r="D332" s="18"/>
      <c r="E332" s="10" t="str">
        <f>IF(B332="","",IFERROR(INDEX(Harytlar!$C$5:$C$44,MATCH(B332,Harytlar!$A$5:$A$44,0)),""))</f>
        <v/>
      </c>
      <c r="F332" s="10" t="str">
        <f t="shared" si="5"/>
        <v/>
      </c>
      <c r="G332" s="10" t="str">
        <f>IF(OR(C332="",B332=""),"",IFERROR(C332*INDEX(Harytlar!$D$5:$D$44,MATCH(B332,Harytlar!$A$5:$A$44,0)),""))</f>
        <v/>
      </c>
    </row>
    <row r="333" spans="1:7" x14ac:dyDescent="0.3">
      <c r="A333" s="17"/>
      <c r="B333" s="18"/>
      <c r="C333" s="18"/>
      <c r="D333" s="18"/>
      <c r="E333" s="10" t="str">
        <f>IF(B333="","",IFERROR(INDEX(Harytlar!$C$5:$C$44,MATCH(B333,Harytlar!$A$5:$A$44,0)),""))</f>
        <v/>
      </c>
      <c r="F333" s="10" t="str">
        <f t="shared" si="5"/>
        <v/>
      </c>
      <c r="G333" s="10" t="str">
        <f>IF(OR(C333="",B333=""),"",IFERROR(C333*INDEX(Harytlar!$D$5:$D$44,MATCH(B333,Harytlar!$A$5:$A$44,0)),""))</f>
        <v/>
      </c>
    </row>
    <row r="334" spans="1:7" x14ac:dyDescent="0.3">
      <c r="A334" s="17"/>
      <c r="B334" s="18"/>
      <c r="C334" s="18"/>
      <c r="D334" s="18"/>
      <c r="E334" s="10" t="str">
        <f>IF(B334="","",IFERROR(INDEX(Harytlar!$C$5:$C$44,MATCH(B334,Harytlar!$A$5:$A$44,0)),""))</f>
        <v/>
      </c>
      <c r="F334" s="10" t="str">
        <f t="shared" si="5"/>
        <v/>
      </c>
      <c r="G334" s="10" t="str">
        <f>IF(OR(C334="",B334=""),"",IFERROR(C334*INDEX(Harytlar!$D$5:$D$44,MATCH(B334,Harytlar!$A$5:$A$44,0)),""))</f>
        <v/>
      </c>
    </row>
    <row r="335" spans="1:7" x14ac:dyDescent="0.3">
      <c r="A335" s="17"/>
      <c r="B335" s="18"/>
      <c r="C335" s="18"/>
      <c r="D335" s="18"/>
      <c r="E335" s="10" t="str">
        <f>IF(B335="","",IFERROR(INDEX(Harytlar!$C$5:$C$44,MATCH(B335,Harytlar!$A$5:$A$44,0)),""))</f>
        <v/>
      </c>
      <c r="F335" s="10" t="str">
        <f t="shared" si="5"/>
        <v/>
      </c>
      <c r="G335" s="10" t="str">
        <f>IF(OR(C335="",B335=""),"",IFERROR(C335*INDEX(Harytlar!$D$5:$D$44,MATCH(B335,Harytlar!$A$5:$A$44,0)),""))</f>
        <v/>
      </c>
    </row>
    <row r="336" spans="1:7" x14ac:dyDescent="0.3">
      <c r="A336" s="17"/>
      <c r="B336" s="18"/>
      <c r="C336" s="18"/>
      <c r="D336" s="18"/>
      <c r="E336" s="10" t="str">
        <f>IF(B336="","",IFERROR(INDEX(Harytlar!$C$5:$C$44,MATCH(B336,Harytlar!$A$5:$A$44,0)),""))</f>
        <v/>
      </c>
      <c r="F336" s="10" t="str">
        <f t="shared" si="5"/>
        <v/>
      </c>
      <c r="G336" s="10" t="str">
        <f>IF(OR(C336="",B336=""),"",IFERROR(C336*INDEX(Harytlar!$D$5:$D$44,MATCH(B336,Harytlar!$A$5:$A$44,0)),""))</f>
        <v/>
      </c>
    </row>
    <row r="337" spans="1:7" x14ac:dyDescent="0.3">
      <c r="A337" s="17"/>
      <c r="B337" s="18"/>
      <c r="C337" s="18"/>
      <c r="D337" s="18"/>
      <c r="E337" s="10" t="str">
        <f>IF(B337="","",IFERROR(INDEX(Harytlar!$C$5:$C$44,MATCH(B337,Harytlar!$A$5:$A$44,0)),""))</f>
        <v/>
      </c>
      <c r="F337" s="10" t="str">
        <f t="shared" si="5"/>
        <v/>
      </c>
      <c r="G337" s="10" t="str">
        <f>IF(OR(C337="",B337=""),"",IFERROR(C337*INDEX(Harytlar!$D$5:$D$44,MATCH(B337,Harytlar!$A$5:$A$44,0)),""))</f>
        <v/>
      </c>
    </row>
    <row r="338" spans="1:7" x14ac:dyDescent="0.3">
      <c r="A338" s="17"/>
      <c r="B338" s="18"/>
      <c r="C338" s="18"/>
      <c r="D338" s="18"/>
      <c r="E338" s="10" t="str">
        <f>IF(B338="","",IFERROR(INDEX(Harytlar!$C$5:$C$44,MATCH(B338,Harytlar!$A$5:$A$44,0)),""))</f>
        <v/>
      </c>
      <c r="F338" s="10" t="str">
        <f t="shared" si="5"/>
        <v/>
      </c>
      <c r="G338" s="10" t="str">
        <f>IF(OR(C338="",B338=""),"",IFERROR(C338*INDEX(Harytlar!$D$5:$D$44,MATCH(B338,Harytlar!$A$5:$A$44,0)),""))</f>
        <v/>
      </c>
    </row>
    <row r="339" spans="1:7" x14ac:dyDescent="0.3">
      <c r="A339" s="17"/>
      <c r="B339" s="18"/>
      <c r="C339" s="18"/>
      <c r="D339" s="18"/>
      <c r="E339" s="10" t="str">
        <f>IF(B339="","",IFERROR(INDEX(Harytlar!$C$5:$C$44,MATCH(B339,Harytlar!$A$5:$A$44,0)),""))</f>
        <v/>
      </c>
      <c r="F339" s="10" t="str">
        <f t="shared" si="5"/>
        <v/>
      </c>
      <c r="G339" s="10" t="str">
        <f>IF(OR(C339="",B339=""),"",IFERROR(C339*INDEX(Harytlar!$D$5:$D$44,MATCH(B339,Harytlar!$A$5:$A$44,0)),""))</f>
        <v/>
      </c>
    </row>
    <row r="340" spans="1:7" x14ac:dyDescent="0.3">
      <c r="A340" s="17"/>
      <c r="B340" s="18"/>
      <c r="C340" s="18"/>
      <c r="D340" s="18"/>
      <c r="E340" s="10" t="str">
        <f>IF(B340="","",IFERROR(INDEX(Harytlar!$C$5:$C$44,MATCH(B340,Harytlar!$A$5:$A$44,0)),""))</f>
        <v/>
      </c>
      <c r="F340" s="10" t="str">
        <f t="shared" si="5"/>
        <v/>
      </c>
      <c r="G340" s="10" t="str">
        <f>IF(OR(C340="",B340=""),"",IFERROR(C340*INDEX(Harytlar!$D$5:$D$44,MATCH(B340,Harytlar!$A$5:$A$44,0)),""))</f>
        <v/>
      </c>
    </row>
    <row r="341" spans="1:7" x14ac:dyDescent="0.3">
      <c r="A341" s="17"/>
      <c r="B341" s="18"/>
      <c r="C341" s="18"/>
      <c r="D341" s="18"/>
      <c r="E341" s="10" t="str">
        <f>IF(B341="","",IFERROR(INDEX(Harytlar!$C$5:$C$44,MATCH(B341,Harytlar!$A$5:$A$44,0)),""))</f>
        <v/>
      </c>
      <c r="F341" s="10" t="str">
        <f t="shared" si="5"/>
        <v/>
      </c>
      <c r="G341" s="10" t="str">
        <f>IF(OR(C341="",B341=""),"",IFERROR(C341*INDEX(Harytlar!$D$5:$D$44,MATCH(B341,Harytlar!$A$5:$A$44,0)),""))</f>
        <v/>
      </c>
    </row>
    <row r="342" spans="1:7" x14ac:dyDescent="0.3">
      <c r="A342" s="17"/>
      <c r="B342" s="18"/>
      <c r="C342" s="18"/>
      <c r="D342" s="18"/>
      <c r="E342" s="10" t="str">
        <f>IF(B342="","",IFERROR(INDEX(Harytlar!$C$5:$C$44,MATCH(B342,Harytlar!$A$5:$A$44,0)),""))</f>
        <v/>
      </c>
      <c r="F342" s="10" t="str">
        <f t="shared" si="5"/>
        <v/>
      </c>
      <c r="G342" s="10" t="str">
        <f>IF(OR(C342="",B342=""),"",IFERROR(C342*INDEX(Harytlar!$D$5:$D$44,MATCH(B342,Harytlar!$A$5:$A$44,0)),""))</f>
        <v/>
      </c>
    </row>
    <row r="343" spans="1:7" x14ac:dyDescent="0.3">
      <c r="A343" s="17"/>
      <c r="B343" s="18"/>
      <c r="C343" s="18"/>
      <c r="D343" s="18"/>
      <c r="E343" s="10" t="str">
        <f>IF(B343="","",IFERROR(INDEX(Harytlar!$C$5:$C$44,MATCH(B343,Harytlar!$A$5:$A$44,0)),""))</f>
        <v/>
      </c>
      <c r="F343" s="10" t="str">
        <f t="shared" si="5"/>
        <v/>
      </c>
      <c r="G343" s="10" t="str">
        <f>IF(OR(C343="",B343=""),"",IFERROR(C343*INDEX(Harytlar!$D$5:$D$44,MATCH(B343,Harytlar!$A$5:$A$44,0)),""))</f>
        <v/>
      </c>
    </row>
    <row r="344" spans="1:7" x14ac:dyDescent="0.3">
      <c r="A344" s="17"/>
      <c r="B344" s="18"/>
      <c r="C344" s="18"/>
      <c r="D344" s="18"/>
      <c r="E344" s="10" t="str">
        <f>IF(B344="","",IFERROR(INDEX(Harytlar!$C$5:$C$44,MATCH(B344,Harytlar!$A$5:$A$44,0)),""))</f>
        <v/>
      </c>
      <c r="F344" s="10" t="str">
        <f t="shared" si="5"/>
        <v/>
      </c>
      <c r="G344" s="10" t="str">
        <f>IF(OR(C344="",B344=""),"",IFERROR(C344*INDEX(Harytlar!$D$5:$D$44,MATCH(B344,Harytlar!$A$5:$A$44,0)),""))</f>
        <v/>
      </c>
    </row>
    <row r="345" spans="1:7" x14ac:dyDescent="0.3">
      <c r="A345" s="17"/>
      <c r="B345" s="18"/>
      <c r="C345" s="18"/>
      <c r="D345" s="18"/>
      <c r="E345" s="10" t="str">
        <f>IF(B345="","",IFERROR(INDEX(Harytlar!$C$5:$C$44,MATCH(B345,Harytlar!$A$5:$A$44,0)),""))</f>
        <v/>
      </c>
      <c r="F345" s="10" t="str">
        <f t="shared" si="5"/>
        <v/>
      </c>
      <c r="G345" s="10" t="str">
        <f>IF(OR(C345="",B345=""),"",IFERROR(C345*INDEX(Harytlar!$D$5:$D$44,MATCH(B345,Harytlar!$A$5:$A$44,0)),""))</f>
        <v/>
      </c>
    </row>
    <row r="346" spans="1:7" x14ac:dyDescent="0.3">
      <c r="A346" s="17"/>
      <c r="B346" s="18"/>
      <c r="C346" s="18"/>
      <c r="D346" s="18"/>
      <c r="E346" s="10" t="str">
        <f>IF(B346="","",IFERROR(INDEX(Harytlar!$C$5:$C$44,MATCH(B346,Harytlar!$A$5:$A$44,0)),""))</f>
        <v/>
      </c>
      <c r="F346" s="10" t="str">
        <f t="shared" si="5"/>
        <v/>
      </c>
      <c r="G346" s="10" t="str">
        <f>IF(OR(C346="",B346=""),"",IFERROR(C346*INDEX(Harytlar!$D$5:$D$44,MATCH(B346,Harytlar!$A$5:$A$44,0)),""))</f>
        <v/>
      </c>
    </row>
    <row r="347" spans="1:7" x14ac:dyDescent="0.3">
      <c r="A347" s="17"/>
      <c r="B347" s="18"/>
      <c r="C347" s="18"/>
      <c r="D347" s="18"/>
      <c r="E347" s="10" t="str">
        <f>IF(B347="","",IFERROR(INDEX(Harytlar!$C$5:$C$44,MATCH(B347,Harytlar!$A$5:$A$44,0)),""))</f>
        <v/>
      </c>
      <c r="F347" s="10" t="str">
        <f t="shared" si="5"/>
        <v/>
      </c>
      <c r="G347" s="10" t="str">
        <f>IF(OR(C347="",B347=""),"",IFERROR(C347*INDEX(Harytlar!$D$5:$D$44,MATCH(B347,Harytlar!$A$5:$A$44,0)),""))</f>
        <v/>
      </c>
    </row>
    <row r="348" spans="1:7" x14ac:dyDescent="0.3">
      <c r="A348" s="17"/>
      <c r="B348" s="18"/>
      <c r="C348" s="18"/>
      <c r="D348" s="18"/>
      <c r="E348" s="10" t="str">
        <f>IF(B348="","",IFERROR(INDEX(Harytlar!$C$5:$C$44,MATCH(B348,Harytlar!$A$5:$A$44,0)),""))</f>
        <v/>
      </c>
      <c r="F348" s="10" t="str">
        <f t="shared" si="5"/>
        <v/>
      </c>
      <c r="G348" s="10" t="str">
        <f>IF(OR(C348="",B348=""),"",IFERROR(C348*INDEX(Harytlar!$D$5:$D$44,MATCH(B348,Harytlar!$A$5:$A$44,0)),""))</f>
        <v/>
      </c>
    </row>
    <row r="349" spans="1:7" x14ac:dyDescent="0.3">
      <c r="A349" s="17"/>
      <c r="B349" s="18"/>
      <c r="C349" s="18"/>
      <c r="D349" s="18"/>
      <c r="E349" s="10" t="str">
        <f>IF(B349="","",IFERROR(INDEX(Harytlar!$C$5:$C$44,MATCH(B349,Harytlar!$A$5:$A$44,0)),""))</f>
        <v/>
      </c>
      <c r="F349" s="10" t="str">
        <f t="shared" si="5"/>
        <v/>
      </c>
      <c r="G349" s="10" t="str">
        <f>IF(OR(C349="",B349=""),"",IFERROR(C349*INDEX(Harytlar!$D$5:$D$44,MATCH(B349,Harytlar!$A$5:$A$44,0)),""))</f>
        <v/>
      </c>
    </row>
    <row r="350" spans="1:7" x14ac:dyDescent="0.3">
      <c r="A350" s="17"/>
      <c r="B350" s="18"/>
      <c r="C350" s="18"/>
      <c r="D350" s="18"/>
      <c r="E350" s="10" t="str">
        <f>IF(B350="","",IFERROR(INDEX(Harytlar!$C$5:$C$44,MATCH(B350,Harytlar!$A$5:$A$44,0)),""))</f>
        <v/>
      </c>
      <c r="F350" s="10" t="str">
        <f t="shared" si="5"/>
        <v/>
      </c>
      <c r="G350" s="10" t="str">
        <f>IF(OR(C350="",B350=""),"",IFERROR(C350*INDEX(Harytlar!$D$5:$D$44,MATCH(B350,Harytlar!$A$5:$A$44,0)),""))</f>
        <v/>
      </c>
    </row>
    <row r="351" spans="1:7" x14ac:dyDescent="0.3">
      <c r="A351" s="17"/>
      <c r="B351" s="18"/>
      <c r="C351" s="18"/>
      <c r="D351" s="18"/>
      <c r="E351" s="10" t="str">
        <f>IF(B351="","",IFERROR(INDEX(Harytlar!$C$5:$C$44,MATCH(B351,Harytlar!$A$5:$A$44,0)),""))</f>
        <v/>
      </c>
      <c r="F351" s="10" t="str">
        <f t="shared" si="5"/>
        <v/>
      </c>
      <c r="G351" s="10" t="str">
        <f>IF(OR(C351="",B351=""),"",IFERROR(C351*INDEX(Harytlar!$D$5:$D$44,MATCH(B351,Harytlar!$A$5:$A$44,0)),""))</f>
        <v/>
      </c>
    </row>
    <row r="352" spans="1:7" x14ac:dyDescent="0.3">
      <c r="A352" s="17"/>
      <c r="B352" s="18"/>
      <c r="C352" s="18"/>
      <c r="D352" s="18"/>
      <c r="E352" s="10" t="str">
        <f>IF(B352="","",IFERROR(INDEX(Harytlar!$C$5:$C$44,MATCH(B352,Harytlar!$A$5:$A$44,0)),""))</f>
        <v/>
      </c>
      <c r="F352" s="10" t="str">
        <f t="shared" si="5"/>
        <v/>
      </c>
      <c r="G352" s="10" t="str">
        <f>IF(OR(C352="",B352=""),"",IFERROR(C352*INDEX(Harytlar!$D$5:$D$44,MATCH(B352,Harytlar!$A$5:$A$44,0)),""))</f>
        <v/>
      </c>
    </row>
    <row r="353" spans="1:7" x14ac:dyDescent="0.3">
      <c r="A353" s="17"/>
      <c r="B353" s="18"/>
      <c r="C353" s="18"/>
      <c r="D353" s="18"/>
      <c r="E353" s="10" t="str">
        <f>IF(B353="","",IFERROR(INDEX(Harytlar!$C$5:$C$44,MATCH(B353,Harytlar!$A$5:$A$44,0)),""))</f>
        <v/>
      </c>
      <c r="F353" s="10" t="str">
        <f t="shared" si="5"/>
        <v/>
      </c>
      <c r="G353" s="10" t="str">
        <f>IF(OR(C353="",B353=""),"",IFERROR(C353*INDEX(Harytlar!$D$5:$D$44,MATCH(B353,Harytlar!$A$5:$A$44,0)),""))</f>
        <v/>
      </c>
    </row>
    <row r="354" spans="1:7" x14ac:dyDescent="0.3">
      <c r="A354" s="17"/>
      <c r="B354" s="18"/>
      <c r="C354" s="18"/>
      <c r="D354" s="18"/>
      <c r="E354" s="10" t="str">
        <f>IF(B354="","",IFERROR(INDEX(Harytlar!$C$5:$C$44,MATCH(B354,Harytlar!$A$5:$A$44,0)),""))</f>
        <v/>
      </c>
      <c r="F354" s="10" t="str">
        <f t="shared" si="5"/>
        <v/>
      </c>
      <c r="G354" s="10" t="str">
        <f>IF(OR(C354="",B354=""),"",IFERROR(C354*INDEX(Harytlar!$D$5:$D$44,MATCH(B354,Harytlar!$A$5:$A$44,0)),""))</f>
        <v/>
      </c>
    </row>
    <row r="355" spans="1:7" x14ac:dyDescent="0.3">
      <c r="A355" s="17"/>
      <c r="B355" s="18"/>
      <c r="C355" s="18"/>
      <c r="D355" s="18"/>
      <c r="E355" s="10" t="str">
        <f>IF(B355="","",IFERROR(INDEX(Harytlar!$C$5:$C$44,MATCH(B355,Harytlar!$A$5:$A$44,0)),""))</f>
        <v/>
      </c>
      <c r="F355" s="10" t="str">
        <f t="shared" si="5"/>
        <v/>
      </c>
      <c r="G355" s="10" t="str">
        <f>IF(OR(C355="",B355=""),"",IFERROR(C355*INDEX(Harytlar!$D$5:$D$44,MATCH(B355,Harytlar!$A$5:$A$44,0)),""))</f>
        <v/>
      </c>
    </row>
    <row r="356" spans="1:7" x14ac:dyDescent="0.3">
      <c r="A356" s="17"/>
      <c r="B356" s="18"/>
      <c r="C356" s="18"/>
      <c r="D356" s="18"/>
      <c r="E356" s="10" t="str">
        <f>IF(B356="","",IFERROR(INDEX(Harytlar!$C$5:$C$44,MATCH(B356,Harytlar!$A$5:$A$44,0)),""))</f>
        <v/>
      </c>
      <c r="F356" s="10" t="str">
        <f t="shared" si="5"/>
        <v/>
      </c>
      <c r="G356" s="10" t="str">
        <f>IF(OR(C356="",B356=""),"",IFERROR(C356*INDEX(Harytlar!$D$5:$D$44,MATCH(B356,Harytlar!$A$5:$A$44,0)),""))</f>
        <v/>
      </c>
    </row>
    <row r="357" spans="1:7" x14ac:dyDescent="0.3">
      <c r="A357" s="17"/>
      <c r="B357" s="18"/>
      <c r="C357" s="18"/>
      <c r="D357" s="18"/>
      <c r="E357" s="10" t="str">
        <f>IF(B357="","",IFERROR(INDEX(Harytlar!$C$5:$C$44,MATCH(B357,Harytlar!$A$5:$A$44,0)),""))</f>
        <v/>
      </c>
      <c r="F357" s="10" t="str">
        <f t="shared" si="5"/>
        <v/>
      </c>
      <c r="G357" s="10" t="str">
        <f>IF(OR(C357="",B357=""),"",IFERROR(C357*INDEX(Harytlar!$D$5:$D$44,MATCH(B357,Harytlar!$A$5:$A$44,0)),""))</f>
        <v/>
      </c>
    </row>
    <row r="358" spans="1:7" x14ac:dyDescent="0.3">
      <c r="A358" s="17"/>
      <c r="B358" s="18"/>
      <c r="C358" s="18"/>
      <c r="D358" s="18"/>
      <c r="E358" s="10" t="str">
        <f>IF(B358="","",IFERROR(INDEX(Harytlar!$C$5:$C$44,MATCH(B358,Harytlar!$A$5:$A$44,0)),""))</f>
        <v/>
      </c>
      <c r="F358" s="10" t="str">
        <f t="shared" si="5"/>
        <v/>
      </c>
      <c r="G358" s="10" t="str">
        <f>IF(OR(C358="",B358=""),"",IFERROR(C358*INDEX(Harytlar!$D$5:$D$44,MATCH(B358,Harytlar!$A$5:$A$44,0)),""))</f>
        <v/>
      </c>
    </row>
    <row r="359" spans="1:7" x14ac:dyDescent="0.3">
      <c r="A359" s="17"/>
      <c r="B359" s="18"/>
      <c r="C359" s="18"/>
      <c r="D359" s="18"/>
      <c r="E359" s="10" t="str">
        <f>IF(B359="","",IFERROR(INDEX(Harytlar!$C$5:$C$44,MATCH(B359,Harytlar!$A$5:$A$44,0)),""))</f>
        <v/>
      </c>
      <c r="F359" s="10" t="str">
        <f t="shared" si="5"/>
        <v/>
      </c>
      <c r="G359" s="10" t="str">
        <f>IF(OR(C359="",B359=""),"",IFERROR(C359*INDEX(Harytlar!$D$5:$D$44,MATCH(B359,Harytlar!$A$5:$A$44,0)),""))</f>
        <v/>
      </c>
    </row>
    <row r="360" spans="1:7" x14ac:dyDescent="0.3">
      <c r="A360" s="17"/>
      <c r="B360" s="18"/>
      <c r="C360" s="18"/>
      <c r="D360" s="18"/>
      <c r="E360" s="10" t="str">
        <f>IF(B360="","",IFERROR(INDEX(Harytlar!$C$5:$C$44,MATCH(B360,Harytlar!$A$5:$A$44,0)),""))</f>
        <v/>
      </c>
      <c r="F360" s="10" t="str">
        <f t="shared" si="5"/>
        <v/>
      </c>
      <c r="G360" s="10" t="str">
        <f>IF(OR(C360="",B360=""),"",IFERROR(C360*INDEX(Harytlar!$D$5:$D$44,MATCH(B360,Harytlar!$A$5:$A$44,0)),""))</f>
        <v/>
      </c>
    </row>
    <row r="361" spans="1:7" x14ac:dyDescent="0.3">
      <c r="A361" s="17"/>
      <c r="B361" s="18"/>
      <c r="C361" s="18"/>
      <c r="D361" s="18"/>
      <c r="E361" s="10" t="str">
        <f>IF(B361="","",IFERROR(INDEX(Harytlar!$C$5:$C$44,MATCH(B361,Harytlar!$A$5:$A$44,0)),""))</f>
        <v/>
      </c>
      <c r="F361" s="10" t="str">
        <f t="shared" si="5"/>
        <v/>
      </c>
      <c r="G361" s="10" t="str">
        <f>IF(OR(C361="",B361=""),"",IFERROR(C361*INDEX(Harytlar!$D$5:$D$44,MATCH(B361,Harytlar!$A$5:$A$44,0)),""))</f>
        <v/>
      </c>
    </row>
    <row r="362" spans="1:7" x14ac:dyDescent="0.3">
      <c r="A362" s="17"/>
      <c r="B362" s="18"/>
      <c r="C362" s="18"/>
      <c r="D362" s="18"/>
      <c r="E362" s="10" t="str">
        <f>IF(B362="","",IFERROR(INDEX(Harytlar!$C$5:$C$44,MATCH(B362,Harytlar!$A$5:$A$44,0)),""))</f>
        <v/>
      </c>
      <c r="F362" s="10" t="str">
        <f t="shared" si="5"/>
        <v/>
      </c>
      <c r="G362" s="10" t="str">
        <f>IF(OR(C362="",B362=""),"",IFERROR(C362*INDEX(Harytlar!$D$5:$D$44,MATCH(B362,Harytlar!$A$5:$A$44,0)),""))</f>
        <v/>
      </c>
    </row>
    <row r="363" spans="1:7" x14ac:dyDescent="0.3">
      <c r="A363" s="17"/>
      <c r="B363" s="18"/>
      <c r="C363" s="18"/>
      <c r="D363" s="18"/>
      <c r="E363" s="10" t="str">
        <f>IF(B363="","",IFERROR(INDEX(Harytlar!$C$5:$C$44,MATCH(B363,Harytlar!$A$5:$A$44,0)),""))</f>
        <v/>
      </c>
      <c r="F363" s="10" t="str">
        <f t="shared" si="5"/>
        <v/>
      </c>
      <c r="G363" s="10" t="str">
        <f>IF(OR(C363="",B363=""),"",IFERROR(C363*INDEX(Harytlar!$D$5:$D$44,MATCH(B363,Harytlar!$A$5:$A$44,0)),""))</f>
        <v/>
      </c>
    </row>
    <row r="364" spans="1:7" x14ac:dyDescent="0.3">
      <c r="A364" s="17"/>
      <c r="B364" s="18"/>
      <c r="C364" s="18"/>
      <c r="D364" s="18"/>
      <c r="E364" s="10" t="str">
        <f>IF(B364="","",IFERROR(INDEX(Harytlar!$C$5:$C$44,MATCH(B364,Harytlar!$A$5:$A$44,0)),""))</f>
        <v/>
      </c>
      <c r="F364" s="10" t="str">
        <f t="shared" si="5"/>
        <v/>
      </c>
      <c r="G364" s="10" t="str">
        <f>IF(OR(C364="",B364=""),"",IFERROR(C364*INDEX(Harytlar!$D$5:$D$44,MATCH(B364,Harytlar!$A$5:$A$44,0)),""))</f>
        <v/>
      </c>
    </row>
    <row r="365" spans="1:7" x14ac:dyDescent="0.3">
      <c r="A365" s="17"/>
      <c r="B365" s="18"/>
      <c r="C365" s="18"/>
      <c r="D365" s="18"/>
      <c r="E365" s="10" t="str">
        <f>IF(B365="","",IFERROR(INDEX(Harytlar!$C$5:$C$44,MATCH(B365,Harytlar!$A$5:$A$44,0)),""))</f>
        <v/>
      </c>
      <c r="F365" s="10" t="str">
        <f t="shared" si="5"/>
        <v/>
      </c>
      <c r="G365" s="10" t="str">
        <f>IF(OR(C365="",B365=""),"",IFERROR(C365*INDEX(Harytlar!$D$5:$D$44,MATCH(B365,Harytlar!$A$5:$A$44,0)),""))</f>
        <v/>
      </c>
    </row>
    <row r="366" spans="1:7" x14ac:dyDescent="0.3">
      <c r="A366" s="17"/>
      <c r="B366" s="18"/>
      <c r="C366" s="18"/>
      <c r="D366" s="18"/>
      <c r="E366" s="10" t="str">
        <f>IF(B366="","",IFERROR(INDEX(Harytlar!$C$5:$C$44,MATCH(B366,Harytlar!$A$5:$A$44,0)),""))</f>
        <v/>
      </c>
      <c r="F366" s="10" t="str">
        <f t="shared" si="5"/>
        <v/>
      </c>
      <c r="G366" s="10" t="str">
        <f>IF(OR(C366="",B366=""),"",IFERROR(C366*INDEX(Harytlar!$D$5:$D$44,MATCH(B366,Harytlar!$A$5:$A$44,0)),""))</f>
        <v/>
      </c>
    </row>
    <row r="367" spans="1:7" x14ac:dyDescent="0.3">
      <c r="A367" s="17"/>
      <c r="B367" s="18"/>
      <c r="C367" s="18"/>
      <c r="D367" s="18"/>
      <c r="E367" s="10" t="str">
        <f>IF(B367="","",IFERROR(INDEX(Harytlar!$C$5:$C$44,MATCH(B367,Harytlar!$A$5:$A$44,0)),""))</f>
        <v/>
      </c>
      <c r="F367" s="10" t="str">
        <f t="shared" si="5"/>
        <v/>
      </c>
      <c r="G367" s="10" t="str">
        <f>IF(OR(C367="",B367=""),"",IFERROR(C367*INDEX(Harytlar!$D$5:$D$44,MATCH(B367,Harytlar!$A$5:$A$44,0)),""))</f>
        <v/>
      </c>
    </row>
    <row r="368" spans="1:7" x14ac:dyDescent="0.3">
      <c r="A368" s="17"/>
      <c r="B368" s="18"/>
      <c r="C368" s="18"/>
      <c r="D368" s="18"/>
      <c r="E368" s="10" t="str">
        <f>IF(B368="","",IFERROR(INDEX(Harytlar!$C$5:$C$44,MATCH(B368,Harytlar!$A$5:$A$44,0)),""))</f>
        <v/>
      </c>
      <c r="F368" s="10" t="str">
        <f t="shared" si="5"/>
        <v/>
      </c>
      <c r="G368" s="10" t="str">
        <f>IF(OR(C368="",B368=""),"",IFERROR(C368*INDEX(Harytlar!$D$5:$D$44,MATCH(B368,Harytlar!$A$5:$A$44,0)),""))</f>
        <v/>
      </c>
    </row>
    <row r="369" spans="1:7" x14ac:dyDescent="0.3">
      <c r="A369" s="17"/>
      <c r="B369" s="18"/>
      <c r="C369" s="18"/>
      <c r="D369" s="18"/>
      <c r="E369" s="10" t="str">
        <f>IF(B369="","",IFERROR(INDEX(Harytlar!$C$5:$C$44,MATCH(B369,Harytlar!$A$5:$A$44,0)),""))</f>
        <v/>
      </c>
      <c r="F369" s="10" t="str">
        <f t="shared" si="5"/>
        <v/>
      </c>
      <c r="G369" s="10" t="str">
        <f>IF(OR(C369="",B369=""),"",IFERROR(C369*INDEX(Harytlar!$D$5:$D$44,MATCH(B369,Harytlar!$A$5:$A$44,0)),""))</f>
        <v/>
      </c>
    </row>
    <row r="370" spans="1:7" x14ac:dyDescent="0.3">
      <c r="A370" s="17"/>
      <c r="B370" s="18"/>
      <c r="C370" s="18"/>
      <c r="D370" s="18"/>
      <c r="E370" s="10" t="str">
        <f>IF(B370="","",IFERROR(INDEX(Harytlar!$C$5:$C$44,MATCH(B370,Harytlar!$A$5:$A$44,0)),""))</f>
        <v/>
      </c>
      <c r="F370" s="10" t="str">
        <f t="shared" si="5"/>
        <v/>
      </c>
      <c r="G370" s="10" t="str">
        <f>IF(OR(C370="",B370=""),"",IFERROR(C370*INDEX(Harytlar!$D$5:$D$44,MATCH(B370,Harytlar!$A$5:$A$44,0)),""))</f>
        <v/>
      </c>
    </row>
    <row r="371" spans="1:7" x14ac:dyDescent="0.3">
      <c r="A371" s="17"/>
      <c r="B371" s="18"/>
      <c r="C371" s="18"/>
      <c r="D371" s="18"/>
      <c r="E371" s="10" t="str">
        <f>IF(B371="","",IFERROR(INDEX(Harytlar!$C$5:$C$44,MATCH(B371,Harytlar!$A$5:$A$44,0)),""))</f>
        <v/>
      </c>
      <c r="F371" s="10" t="str">
        <f t="shared" si="5"/>
        <v/>
      </c>
      <c r="G371" s="10" t="str">
        <f>IF(OR(C371="",B371=""),"",IFERROR(C371*INDEX(Harytlar!$D$5:$D$44,MATCH(B371,Harytlar!$A$5:$A$44,0)),""))</f>
        <v/>
      </c>
    </row>
    <row r="372" spans="1:7" x14ac:dyDescent="0.3">
      <c r="A372" s="17"/>
      <c r="B372" s="18"/>
      <c r="C372" s="18"/>
      <c r="D372" s="18"/>
      <c r="E372" s="10" t="str">
        <f>IF(B372="","",IFERROR(INDEX(Harytlar!$C$5:$C$44,MATCH(B372,Harytlar!$A$5:$A$44,0)),""))</f>
        <v/>
      </c>
      <c r="F372" s="10" t="str">
        <f t="shared" si="5"/>
        <v/>
      </c>
      <c r="G372" s="10" t="str">
        <f>IF(OR(C372="",B372=""),"",IFERROR(C372*INDEX(Harytlar!$D$5:$D$44,MATCH(B372,Harytlar!$A$5:$A$44,0)),""))</f>
        <v/>
      </c>
    </row>
    <row r="373" spans="1:7" x14ac:dyDescent="0.3">
      <c r="A373" s="17"/>
      <c r="B373" s="18"/>
      <c r="C373" s="18"/>
      <c r="D373" s="18"/>
      <c r="E373" s="10" t="str">
        <f>IF(B373="","",IFERROR(INDEX(Harytlar!$C$5:$C$44,MATCH(B373,Harytlar!$A$5:$A$44,0)),""))</f>
        <v/>
      </c>
      <c r="F373" s="10" t="str">
        <f t="shared" si="5"/>
        <v/>
      </c>
      <c r="G373" s="10" t="str">
        <f>IF(OR(C373="",B373=""),"",IFERROR(C373*INDEX(Harytlar!$D$5:$D$44,MATCH(B373,Harytlar!$A$5:$A$44,0)),""))</f>
        <v/>
      </c>
    </row>
    <row r="374" spans="1:7" x14ac:dyDescent="0.3">
      <c r="A374" s="17"/>
      <c r="B374" s="18"/>
      <c r="C374" s="18"/>
      <c r="D374" s="18"/>
      <c r="E374" s="10" t="str">
        <f>IF(B374="","",IFERROR(INDEX(Harytlar!$C$5:$C$44,MATCH(B374,Harytlar!$A$5:$A$44,0)),""))</f>
        <v/>
      </c>
      <c r="F374" s="10" t="str">
        <f t="shared" si="5"/>
        <v/>
      </c>
      <c r="G374" s="10" t="str">
        <f>IF(OR(C374="",B374=""),"",IFERROR(C374*INDEX(Harytlar!$D$5:$D$44,MATCH(B374,Harytlar!$A$5:$A$44,0)),""))</f>
        <v/>
      </c>
    </row>
    <row r="375" spans="1:7" x14ac:dyDescent="0.3">
      <c r="A375" s="17"/>
      <c r="B375" s="18"/>
      <c r="C375" s="18"/>
      <c r="D375" s="18"/>
      <c r="E375" s="10" t="str">
        <f>IF(B375="","",IFERROR(INDEX(Harytlar!$C$5:$C$44,MATCH(B375,Harytlar!$A$5:$A$44,0)),""))</f>
        <v/>
      </c>
      <c r="F375" s="10" t="str">
        <f t="shared" si="5"/>
        <v/>
      </c>
      <c r="G375" s="10" t="str">
        <f>IF(OR(C375="",B375=""),"",IFERROR(C375*INDEX(Harytlar!$D$5:$D$44,MATCH(B375,Harytlar!$A$5:$A$44,0)),""))</f>
        <v/>
      </c>
    </row>
    <row r="376" spans="1:7" x14ac:dyDescent="0.3">
      <c r="A376" s="17"/>
      <c r="B376" s="18"/>
      <c r="C376" s="18"/>
      <c r="D376" s="18"/>
      <c r="E376" s="10" t="str">
        <f>IF(B376="","",IFERROR(INDEX(Harytlar!$C$5:$C$44,MATCH(B376,Harytlar!$A$5:$A$44,0)),""))</f>
        <v/>
      </c>
      <c r="F376" s="10" t="str">
        <f t="shared" si="5"/>
        <v/>
      </c>
      <c r="G376" s="10" t="str">
        <f>IF(OR(C376="",B376=""),"",IFERROR(C376*INDEX(Harytlar!$D$5:$D$44,MATCH(B376,Harytlar!$A$5:$A$44,0)),""))</f>
        <v/>
      </c>
    </row>
    <row r="377" spans="1:7" x14ac:dyDescent="0.3">
      <c r="A377" s="17"/>
      <c r="B377" s="18"/>
      <c r="C377" s="18"/>
      <c r="D377" s="18"/>
      <c r="E377" s="10" t="str">
        <f>IF(B377="","",IFERROR(INDEX(Harytlar!$C$5:$C$44,MATCH(B377,Harytlar!$A$5:$A$44,0)),""))</f>
        <v/>
      </c>
      <c r="F377" s="10" t="str">
        <f t="shared" si="5"/>
        <v/>
      </c>
      <c r="G377" s="10" t="str">
        <f>IF(OR(C377="",B377=""),"",IFERROR(C377*INDEX(Harytlar!$D$5:$D$44,MATCH(B377,Harytlar!$A$5:$A$44,0)),""))</f>
        <v/>
      </c>
    </row>
    <row r="378" spans="1:7" x14ac:dyDescent="0.3">
      <c r="A378" s="17"/>
      <c r="B378" s="18"/>
      <c r="C378" s="18"/>
      <c r="D378" s="18"/>
      <c r="E378" s="10" t="str">
        <f>IF(B378="","",IFERROR(INDEX(Harytlar!$C$5:$C$44,MATCH(B378,Harytlar!$A$5:$A$44,0)),""))</f>
        <v/>
      </c>
      <c r="F378" s="10" t="str">
        <f t="shared" si="5"/>
        <v/>
      </c>
      <c r="G378" s="10" t="str">
        <f>IF(OR(C378="",B378=""),"",IFERROR(C378*INDEX(Harytlar!$D$5:$D$44,MATCH(B378,Harytlar!$A$5:$A$44,0)),""))</f>
        <v/>
      </c>
    </row>
    <row r="379" spans="1:7" x14ac:dyDescent="0.3">
      <c r="A379" s="17"/>
      <c r="B379" s="18"/>
      <c r="C379" s="18"/>
      <c r="D379" s="18"/>
      <c r="E379" s="10" t="str">
        <f>IF(B379="","",IFERROR(INDEX(Harytlar!$C$5:$C$44,MATCH(B379,Harytlar!$A$5:$A$44,0)),""))</f>
        <v/>
      </c>
      <c r="F379" s="10" t="str">
        <f t="shared" si="5"/>
        <v/>
      </c>
      <c r="G379" s="10" t="str">
        <f>IF(OR(C379="",B379=""),"",IFERROR(C379*INDEX(Harytlar!$D$5:$D$44,MATCH(B379,Harytlar!$A$5:$A$44,0)),""))</f>
        <v/>
      </c>
    </row>
    <row r="380" spans="1:7" x14ac:dyDescent="0.3">
      <c r="A380" s="17"/>
      <c r="B380" s="18"/>
      <c r="C380" s="18"/>
      <c r="D380" s="18"/>
      <c r="E380" s="10" t="str">
        <f>IF(B380="","",IFERROR(INDEX(Harytlar!$C$5:$C$44,MATCH(B380,Harytlar!$A$5:$A$44,0)),""))</f>
        <v/>
      </c>
      <c r="F380" s="10" t="str">
        <f t="shared" si="5"/>
        <v/>
      </c>
      <c r="G380" s="10" t="str">
        <f>IF(OR(C380="",B380=""),"",IFERROR(C380*INDEX(Harytlar!$D$5:$D$44,MATCH(B380,Harytlar!$A$5:$A$44,0)),""))</f>
        <v/>
      </c>
    </row>
    <row r="381" spans="1:7" x14ac:dyDescent="0.3">
      <c r="A381" s="17"/>
      <c r="B381" s="18"/>
      <c r="C381" s="18"/>
      <c r="D381" s="18"/>
      <c r="E381" s="10" t="str">
        <f>IF(B381="","",IFERROR(INDEX(Harytlar!$C$5:$C$44,MATCH(B381,Harytlar!$A$5:$A$44,0)),""))</f>
        <v/>
      </c>
      <c r="F381" s="10" t="str">
        <f t="shared" si="5"/>
        <v/>
      </c>
      <c r="G381" s="10" t="str">
        <f>IF(OR(C381="",B381=""),"",IFERROR(C381*INDEX(Harytlar!$D$5:$D$44,MATCH(B381,Harytlar!$A$5:$A$44,0)),""))</f>
        <v/>
      </c>
    </row>
    <row r="382" spans="1:7" x14ac:dyDescent="0.3">
      <c r="A382" s="17"/>
      <c r="B382" s="18"/>
      <c r="C382" s="18"/>
      <c r="D382" s="18"/>
      <c r="E382" s="10" t="str">
        <f>IF(B382="","",IFERROR(INDEX(Harytlar!$C$5:$C$44,MATCH(B382,Harytlar!$A$5:$A$44,0)),""))</f>
        <v/>
      </c>
      <c r="F382" s="10" t="str">
        <f t="shared" si="5"/>
        <v/>
      </c>
      <c r="G382" s="10" t="str">
        <f>IF(OR(C382="",B382=""),"",IFERROR(C382*INDEX(Harytlar!$D$5:$D$44,MATCH(B382,Harytlar!$A$5:$A$44,0)),""))</f>
        <v/>
      </c>
    </row>
    <row r="383" spans="1:7" x14ac:dyDescent="0.3">
      <c r="A383" s="17"/>
      <c r="B383" s="18"/>
      <c r="C383" s="18"/>
      <c r="D383" s="18"/>
      <c r="E383" s="10" t="str">
        <f>IF(B383="","",IFERROR(INDEX(Harytlar!$C$5:$C$44,MATCH(B383,Harytlar!$A$5:$A$44,0)),""))</f>
        <v/>
      </c>
      <c r="F383" s="10" t="str">
        <f t="shared" si="5"/>
        <v/>
      </c>
      <c r="G383" s="10" t="str">
        <f>IF(OR(C383="",B383=""),"",IFERROR(C383*INDEX(Harytlar!$D$5:$D$44,MATCH(B383,Harytlar!$A$5:$A$44,0)),""))</f>
        <v/>
      </c>
    </row>
    <row r="384" spans="1:7" x14ac:dyDescent="0.3">
      <c r="A384" s="17"/>
      <c r="B384" s="18"/>
      <c r="C384" s="18"/>
      <c r="D384" s="18"/>
      <c r="E384" s="10" t="str">
        <f>IF(B384="","",IFERROR(INDEX(Harytlar!$C$5:$C$44,MATCH(B384,Harytlar!$A$5:$A$44,0)),""))</f>
        <v/>
      </c>
      <c r="F384" s="10" t="str">
        <f t="shared" si="5"/>
        <v/>
      </c>
      <c r="G384" s="10" t="str">
        <f>IF(OR(C384="",B384=""),"",IFERROR(C384*INDEX(Harytlar!$D$5:$D$44,MATCH(B384,Harytlar!$A$5:$A$44,0)),""))</f>
        <v/>
      </c>
    </row>
    <row r="385" spans="1:7" x14ac:dyDescent="0.3">
      <c r="A385" s="17"/>
      <c r="B385" s="18"/>
      <c r="C385" s="18"/>
      <c r="D385" s="18"/>
      <c r="E385" s="10" t="str">
        <f>IF(B385="","",IFERROR(INDEX(Harytlar!$C$5:$C$44,MATCH(B385,Harytlar!$A$5:$A$44,0)),""))</f>
        <v/>
      </c>
      <c r="F385" s="10" t="str">
        <f t="shared" si="5"/>
        <v/>
      </c>
      <c r="G385" s="10" t="str">
        <f>IF(OR(C385="",B385=""),"",IFERROR(C385*INDEX(Harytlar!$D$5:$D$44,MATCH(B385,Harytlar!$A$5:$A$44,0)),""))</f>
        <v/>
      </c>
    </row>
    <row r="386" spans="1:7" x14ac:dyDescent="0.3">
      <c r="A386" s="17"/>
      <c r="B386" s="18"/>
      <c r="C386" s="18"/>
      <c r="D386" s="18"/>
      <c r="E386" s="10" t="str">
        <f>IF(B386="","",IFERROR(INDEX(Harytlar!$C$5:$C$44,MATCH(B386,Harytlar!$A$5:$A$44,0)),""))</f>
        <v/>
      </c>
      <c r="F386" s="10" t="str">
        <f t="shared" si="5"/>
        <v/>
      </c>
      <c r="G386" s="10" t="str">
        <f>IF(OR(C386="",B386=""),"",IFERROR(C386*INDEX(Harytlar!$D$5:$D$44,MATCH(B386,Harytlar!$A$5:$A$44,0)),""))</f>
        <v/>
      </c>
    </row>
    <row r="387" spans="1:7" x14ac:dyDescent="0.3">
      <c r="A387" s="17"/>
      <c r="B387" s="18"/>
      <c r="C387" s="18"/>
      <c r="D387" s="18"/>
      <c r="E387" s="10" t="str">
        <f>IF(B387="","",IFERROR(INDEX(Harytlar!$C$5:$C$44,MATCH(B387,Harytlar!$A$5:$A$44,0)),""))</f>
        <v/>
      </c>
      <c r="F387" s="10" t="str">
        <f t="shared" si="5"/>
        <v/>
      </c>
      <c r="G387" s="10" t="str">
        <f>IF(OR(C387="",B387=""),"",IFERROR(C387*INDEX(Harytlar!$D$5:$D$44,MATCH(B387,Harytlar!$A$5:$A$44,0)),""))</f>
        <v/>
      </c>
    </row>
    <row r="388" spans="1:7" x14ac:dyDescent="0.3">
      <c r="A388" s="17"/>
      <c r="B388" s="18"/>
      <c r="C388" s="18"/>
      <c r="D388" s="18"/>
      <c r="E388" s="10" t="str">
        <f>IF(B388="","",IFERROR(INDEX(Harytlar!$C$5:$C$44,MATCH(B388,Harytlar!$A$5:$A$44,0)),""))</f>
        <v/>
      </c>
      <c r="F388" s="10" t="str">
        <f t="shared" si="5"/>
        <v/>
      </c>
      <c r="G388" s="10" t="str">
        <f>IF(OR(C388="",B388=""),"",IFERROR(C388*INDEX(Harytlar!$D$5:$D$44,MATCH(B388,Harytlar!$A$5:$A$44,0)),""))</f>
        <v/>
      </c>
    </row>
    <row r="389" spans="1:7" x14ac:dyDescent="0.3">
      <c r="A389" s="17"/>
      <c r="B389" s="18"/>
      <c r="C389" s="18"/>
      <c r="D389" s="18"/>
      <c r="E389" s="10" t="str">
        <f>IF(B389="","",IFERROR(INDEX(Harytlar!$C$5:$C$44,MATCH(B389,Harytlar!$A$5:$A$44,0)),""))</f>
        <v/>
      </c>
      <c r="F389" s="10" t="str">
        <f t="shared" si="5"/>
        <v/>
      </c>
      <c r="G389" s="10" t="str">
        <f>IF(OR(C389="",B389=""),"",IFERROR(C389*INDEX(Harytlar!$D$5:$D$44,MATCH(B389,Harytlar!$A$5:$A$44,0)),""))</f>
        <v/>
      </c>
    </row>
    <row r="390" spans="1:7" x14ac:dyDescent="0.3">
      <c r="A390" s="17"/>
      <c r="B390" s="18"/>
      <c r="C390" s="18"/>
      <c r="D390" s="18"/>
      <c r="E390" s="10" t="str">
        <f>IF(B390="","",IFERROR(INDEX(Harytlar!$C$5:$C$44,MATCH(B390,Harytlar!$A$5:$A$44,0)),""))</f>
        <v/>
      </c>
      <c r="F390" s="10" t="str">
        <f t="shared" ref="F390:F453" si="6">IF(OR(C390="",E390=""),"",C390*E390)</f>
        <v/>
      </c>
      <c r="G390" s="10" t="str">
        <f>IF(OR(C390="",B390=""),"",IFERROR(C390*INDEX(Harytlar!$D$5:$D$44,MATCH(B390,Harytlar!$A$5:$A$44,0)),""))</f>
        <v/>
      </c>
    </row>
    <row r="391" spans="1:7" x14ac:dyDescent="0.3">
      <c r="A391" s="17"/>
      <c r="B391" s="18"/>
      <c r="C391" s="18"/>
      <c r="D391" s="18"/>
      <c r="E391" s="10" t="str">
        <f>IF(B391="","",IFERROR(INDEX(Harytlar!$C$5:$C$44,MATCH(B391,Harytlar!$A$5:$A$44,0)),""))</f>
        <v/>
      </c>
      <c r="F391" s="10" t="str">
        <f t="shared" si="6"/>
        <v/>
      </c>
      <c r="G391" s="10" t="str">
        <f>IF(OR(C391="",B391=""),"",IFERROR(C391*INDEX(Harytlar!$D$5:$D$44,MATCH(B391,Harytlar!$A$5:$A$44,0)),""))</f>
        <v/>
      </c>
    </row>
    <row r="392" spans="1:7" x14ac:dyDescent="0.3">
      <c r="A392" s="17"/>
      <c r="B392" s="18"/>
      <c r="C392" s="18"/>
      <c r="D392" s="18"/>
      <c r="E392" s="10" t="str">
        <f>IF(B392="","",IFERROR(INDEX(Harytlar!$C$5:$C$44,MATCH(B392,Harytlar!$A$5:$A$44,0)),""))</f>
        <v/>
      </c>
      <c r="F392" s="10" t="str">
        <f t="shared" si="6"/>
        <v/>
      </c>
      <c r="G392" s="10" t="str">
        <f>IF(OR(C392="",B392=""),"",IFERROR(C392*INDEX(Harytlar!$D$5:$D$44,MATCH(B392,Harytlar!$A$5:$A$44,0)),""))</f>
        <v/>
      </c>
    </row>
    <row r="393" spans="1:7" x14ac:dyDescent="0.3">
      <c r="A393" s="17"/>
      <c r="B393" s="18"/>
      <c r="C393" s="18"/>
      <c r="D393" s="18"/>
      <c r="E393" s="10" t="str">
        <f>IF(B393="","",IFERROR(INDEX(Harytlar!$C$5:$C$44,MATCH(B393,Harytlar!$A$5:$A$44,0)),""))</f>
        <v/>
      </c>
      <c r="F393" s="10" t="str">
        <f t="shared" si="6"/>
        <v/>
      </c>
      <c r="G393" s="10" t="str">
        <f>IF(OR(C393="",B393=""),"",IFERROR(C393*INDEX(Harytlar!$D$5:$D$44,MATCH(B393,Harytlar!$A$5:$A$44,0)),""))</f>
        <v/>
      </c>
    </row>
    <row r="394" spans="1:7" x14ac:dyDescent="0.3">
      <c r="A394" s="17"/>
      <c r="B394" s="18"/>
      <c r="C394" s="18"/>
      <c r="D394" s="18"/>
      <c r="E394" s="10" t="str">
        <f>IF(B394="","",IFERROR(INDEX(Harytlar!$C$5:$C$44,MATCH(B394,Harytlar!$A$5:$A$44,0)),""))</f>
        <v/>
      </c>
      <c r="F394" s="10" t="str">
        <f t="shared" si="6"/>
        <v/>
      </c>
      <c r="G394" s="10" t="str">
        <f>IF(OR(C394="",B394=""),"",IFERROR(C394*INDEX(Harytlar!$D$5:$D$44,MATCH(B394,Harytlar!$A$5:$A$44,0)),""))</f>
        <v/>
      </c>
    </row>
    <row r="395" spans="1:7" x14ac:dyDescent="0.3">
      <c r="A395" s="17"/>
      <c r="B395" s="18"/>
      <c r="C395" s="18"/>
      <c r="D395" s="18"/>
      <c r="E395" s="10" t="str">
        <f>IF(B395="","",IFERROR(INDEX(Harytlar!$C$5:$C$44,MATCH(B395,Harytlar!$A$5:$A$44,0)),""))</f>
        <v/>
      </c>
      <c r="F395" s="10" t="str">
        <f t="shared" si="6"/>
        <v/>
      </c>
      <c r="G395" s="10" t="str">
        <f>IF(OR(C395="",B395=""),"",IFERROR(C395*INDEX(Harytlar!$D$5:$D$44,MATCH(B395,Harytlar!$A$5:$A$44,0)),""))</f>
        <v/>
      </c>
    </row>
    <row r="396" spans="1:7" x14ac:dyDescent="0.3">
      <c r="A396" s="17"/>
      <c r="B396" s="18"/>
      <c r="C396" s="18"/>
      <c r="D396" s="18"/>
      <c r="E396" s="10" t="str">
        <f>IF(B396="","",IFERROR(INDEX(Harytlar!$C$5:$C$44,MATCH(B396,Harytlar!$A$5:$A$44,0)),""))</f>
        <v/>
      </c>
      <c r="F396" s="10" t="str">
        <f t="shared" si="6"/>
        <v/>
      </c>
      <c r="G396" s="10" t="str">
        <f>IF(OR(C396="",B396=""),"",IFERROR(C396*INDEX(Harytlar!$D$5:$D$44,MATCH(B396,Harytlar!$A$5:$A$44,0)),""))</f>
        <v/>
      </c>
    </row>
    <row r="397" spans="1:7" x14ac:dyDescent="0.3">
      <c r="A397" s="17"/>
      <c r="B397" s="18"/>
      <c r="C397" s="18"/>
      <c r="D397" s="18"/>
      <c r="E397" s="10" t="str">
        <f>IF(B397="","",IFERROR(INDEX(Harytlar!$C$5:$C$44,MATCH(B397,Harytlar!$A$5:$A$44,0)),""))</f>
        <v/>
      </c>
      <c r="F397" s="10" t="str">
        <f t="shared" si="6"/>
        <v/>
      </c>
      <c r="G397" s="10" t="str">
        <f>IF(OR(C397="",B397=""),"",IFERROR(C397*INDEX(Harytlar!$D$5:$D$44,MATCH(B397,Harytlar!$A$5:$A$44,0)),""))</f>
        <v/>
      </c>
    </row>
    <row r="398" spans="1:7" x14ac:dyDescent="0.3">
      <c r="A398" s="17"/>
      <c r="B398" s="18"/>
      <c r="C398" s="18"/>
      <c r="D398" s="18"/>
      <c r="E398" s="10" t="str">
        <f>IF(B398="","",IFERROR(INDEX(Harytlar!$C$5:$C$44,MATCH(B398,Harytlar!$A$5:$A$44,0)),""))</f>
        <v/>
      </c>
      <c r="F398" s="10" t="str">
        <f t="shared" si="6"/>
        <v/>
      </c>
      <c r="G398" s="10" t="str">
        <f>IF(OR(C398="",B398=""),"",IFERROR(C398*INDEX(Harytlar!$D$5:$D$44,MATCH(B398,Harytlar!$A$5:$A$44,0)),""))</f>
        <v/>
      </c>
    </row>
    <row r="399" spans="1:7" x14ac:dyDescent="0.3">
      <c r="A399" s="17"/>
      <c r="B399" s="18"/>
      <c r="C399" s="18"/>
      <c r="D399" s="18"/>
      <c r="E399" s="10" t="str">
        <f>IF(B399="","",IFERROR(INDEX(Harytlar!$C$5:$C$44,MATCH(B399,Harytlar!$A$5:$A$44,0)),""))</f>
        <v/>
      </c>
      <c r="F399" s="10" t="str">
        <f t="shared" si="6"/>
        <v/>
      </c>
      <c r="G399" s="10" t="str">
        <f>IF(OR(C399="",B399=""),"",IFERROR(C399*INDEX(Harytlar!$D$5:$D$44,MATCH(B399,Harytlar!$A$5:$A$44,0)),""))</f>
        <v/>
      </c>
    </row>
    <row r="400" spans="1:7" x14ac:dyDescent="0.3">
      <c r="A400" s="17"/>
      <c r="B400" s="18"/>
      <c r="C400" s="18"/>
      <c r="D400" s="18"/>
      <c r="E400" s="10" t="str">
        <f>IF(B400="","",IFERROR(INDEX(Harytlar!$C$5:$C$44,MATCH(B400,Harytlar!$A$5:$A$44,0)),""))</f>
        <v/>
      </c>
      <c r="F400" s="10" t="str">
        <f t="shared" si="6"/>
        <v/>
      </c>
      <c r="G400" s="10" t="str">
        <f>IF(OR(C400="",B400=""),"",IFERROR(C400*INDEX(Harytlar!$D$5:$D$44,MATCH(B400,Harytlar!$A$5:$A$44,0)),""))</f>
        <v/>
      </c>
    </row>
    <row r="401" spans="1:7" x14ac:dyDescent="0.3">
      <c r="A401" s="17"/>
      <c r="B401" s="18"/>
      <c r="C401" s="18"/>
      <c r="D401" s="18"/>
      <c r="E401" s="10" t="str">
        <f>IF(B401="","",IFERROR(INDEX(Harytlar!$C$5:$C$44,MATCH(B401,Harytlar!$A$5:$A$44,0)),""))</f>
        <v/>
      </c>
      <c r="F401" s="10" t="str">
        <f t="shared" si="6"/>
        <v/>
      </c>
      <c r="G401" s="10" t="str">
        <f>IF(OR(C401="",B401=""),"",IFERROR(C401*INDEX(Harytlar!$D$5:$D$44,MATCH(B401,Harytlar!$A$5:$A$44,0)),""))</f>
        <v/>
      </c>
    </row>
    <row r="402" spans="1:7" x14ac:dyDescent="0.3">
      <c r="A402" s="17"/>
      <c r="B402" s="18"/>
      <c r="C402" s="18"/>
      <c r="D402" s="18"/>
      <c r="E402" s="10" t="str">
        <f>IF(B402="","",IFERROR(INDEX(Harytlar!$C$5:$C$44,MATCH(B402,Harytlar!$A$5:$A$44,0)),""))</f>
        <v/>
      </c>
      <c r="F402" s="10" t="str">
        <f t="shared" si="6"/>
        <v/>
      </c>
      <c r="G402" s="10" t="str">
        <f>IF(OR(C402="",B402=""),"",IFERROR(C402*INDEX(Harytlar!$D$5:$D$44,MATCH(B402,Harytlar!$A$5:$A$44,0)),""))</f>
        <v/>
      </c>
    </row>
    <row r="403" spans="1:7" x14ac:dyDescent="0.3">
      <c r="A403" s="17"/>
      <c r="B403" s="18"/>
      <c r="C403" s="18"/>
      <c r="D403" s="18"/>
      <c r="E403" s="10" t="str">
        <f>IF(B403="","",IFERROR(INDEX(Harytlar!$C$5:$C$44,MATCH(B403,Harytlar!$A$5:$A$44,0)),""))</f>
        <v/>
      </c>
      <c r="F403" s="10" t="str">
        <f t="shared" si="6"/>
        <v/>
      </c>
      <c r="G403" s="10" t="str">
        <f>IF(OR(C403="",B403=""),"",IFERROR(C403*INDEX(Harytlar!$D$5:$D$44,MATCH(B403,Harytlar!$A$5:$A$44,0)),""))</f>
        <v/>
      </c>
    </row>
    <row r="404" spans="1:7" x14ac:dyDescent="0.3">
      <c r="A404" s="17"/>
      <c r="B404" s="18"/>
      <c r="C404" s="18"/>
      <c r="D404" s="18"/>
      <c r="E404" s="10" t="str">
        <f>IF(B404="","",IFERROR(INDEX(Harytlar!$C$5:$C$44,MATCH(B404,Harytlar!$A$5:$A$44,0)),""))</f>
        <v/>
      </c>
      <c r="F404" s="10" t="str">
        <f t="shared" si="6"/>
        <v/>
      </c>
      <c r="G404" s="10" t="str">
        <f>IF(OR(C404="",B404=""),"",IFERROR(C404*INDEX(Harytlar!$D$5:$D$44,MATCH(B404,Harytlar!$A$5:$A$44,0)),""))</f>
        <v/>
      </c>
    </row>
    <row r="405" spans="1:7" x14ac:dyDescent="0.3">
      <c r="A405" s="17"/>
      <c r="B405" s="18"/>
      <c r="C405" s="18"/>
      <c r="D405" s="18"/>
      <c r="E405" s="10" t="str">
        <f>IF(B405="","",IFERROR(INDEX(Harytlar!$C$5:$C$44,MATCH(B405,Harytlar!$A$5:$A$44,0)),""))</f>
        <v/>
      </c>
      <c r="F405" s="10" t="str">
        <f t="shared" si="6"/>
        <v/>
      </c>
      <c r="G405" s="10" t="str">
        <f>IF(OR(C405="",B405=""),"",IFERROR(C405*INDEX(Harytlar!$D$5:$D$44,MATCH(B405,Harytlar!$A$5:$A$44,0)),""))</f>
        <v/>
      </c>
    </row>
    <row r="406" spans="1:7" x14ac:dyDescent="0.3">
      <c r="A406" s="17"/>
      <c r="B406" s="18"/>
      <c r="C406" s="18"/>
      <c r="D406" s="18"/>
      <c r="E406" s="10" t="str">
        <f>IF(B406="","",IFERROR(INDEX(Harytlar!$C$5:$C$44,MATCH(B406,Harytlar!$A$5:$A$44,0)),""))</f>
        <v/>
      </c>
      <c r="F406" s="10" t="str">
        <f t="shared" si="6"/>
        <v/>
      </c>
      <c r="G406" s="10" t="str">
        <f>IF(OR(C406="",B406=""),"",IFERROR(C406*INDEX(Harytlar!$D$5:$D$44,MATCH(B406,Harytlar!$A$5:$A$44,0)),""))</f>
        <v/>
      </c>
    </row>
    <row r="407" spans="1:7" x14ac:dyDescent="0.3">
      <c r="A407" s="17"/>
      <c r="B407" s="18"/>
      <c r="C407" s="18"/>
      <c r="D407" s="18"/>
      <c r="E407" s="10" t="str">
        <f>IF(B407="","",IFERROR(INDEX(Harytlar!$C$5:$C$44,MATCH(B407,Harytlar!$A$5:$A$44,0)),""))</f>
        <v/>
      </c>
      <c r="F407" s="10" t="str">
        <f t="shared" si="6"/>
        <v/>
      </c>
      <c r="G407" s="10" t="str">
        <f>IF(OR(C407="",B407=""),"",IFERROR(C407*INDEX(Harytlar!$D$5:$D$44,MATCH(B407,Harytlar!$A$5:$A$44,0)),""))</f>
        <v/>
      </c>
    </row>
    <row r="408" spans="1:7" x14ac:dyDescent="0.3">
      <c r="A408" s="17"/>
      <c r="B408" s="18"/>
      <c r="C408" s="18"/>
      <c r="D408" s="18"/>
      <c r="E408" s="10" t="str">
        <f>IF(B408="","",IFERROR(INDEX(Harytlar!$C$5:$C$44,MATCH(B408,Harytlar!$A$5:$A$44,0)),""))</f>
        <v/>
      </c>
      <c r="F408" s="10" t="str">
        <f t="shared" si="6"/>
        <v/>
      </c>
      <c r="G408" s="10" t="str">
        <f>IF(OR(C408="",B408=""),"",IFERROR(C408*INDEX(Harytlar!$D$5:$D$44,MATCH(B408,Harytlar!$A$5:$A$44,0)),""))</f>
        <v/>
      </c>
    </row>
    <row r="409" spans="1:7" x14ac:dyDescent="0.3">
      <c r="A409" s="17"/>
      <c r="B409" s="18"/>
      <c r="C409" s="18"/>
      <c r="D409" s="18"/>
      <c r="E409" s="10" t="str">
        <f>IF(B409="","",IFERROR(INDEX(Harytlar!$C$5:$C$44,MATCH(B409,Harytlar!$A$5:$A$44,0)),""))</f>
        <v/>
      </c>
      <c r="F409" s="10" t="str">
        <f t="shared" si="6"/>
        <v/>
      </c>
      <c r="G409" s="10" t="str">
        <f>IF(OR(C409="",B409=""),"",IFERROR(C409*INDEX(Harytlar!$D$5:$D$44,MATCH(B409,Harytlar!$A$5:$A$44,0)),""))</f>
        <v/>
      </c>
    </row>
    <row r="410" spans="1:7" x14ac:dyDescent="0.3">
      <c r="A410" s="17"/>
      <c r="B410" s="18"/>
      <c r="C410" s="18"/>
      <c r="D410" s="18"/>
      <c r="E410" s="10" t="str">
        <f>IF(B410="","",IFERROR(INDEX(Harytlar!$C$5:$C$44,MATCH(B410,Harytlar!$A$5:$A$44,0)),""))</f>
        <v/>
      </c>
      <c r="F410" s="10" t="str">
        <f t="shared" si="6"/>
        <v/>
      </c>
      <c r="G410" s="10" t="str">
        <f>IF(OR(C410="",B410=""),"",IFERROR(C410*INDEX(Harytlar!$D$5:$D$44,MATCH(B410,Harytlar!$A$5:$A$44,0)),""))</f>
        <v/>
      </c>
    </row>
    <row r="411" spans="1:7" x14ac:dyDescent="0.3">
      <c r="A411" s="17"/>
      <c r="B411" s="18"/>
      <c r="C411" s="18"/>
      <c r="D411" s="18"/>
      <c r="E411" s="10" t="str">
        <f>IF(B411="","",IFERROR(INDEX(Harytlar!$C$5:$C$44,MATCH(B411,Harytlar!$A$5:$A$44,0)),""))</f>
        <v/>
      </c>
      <c r="F411" s="10" t="str">
        <f t="shared" si="6"/>
        <v/>
      </c>
      <c r="G411" s="10" t="str">
        <f>IF(OR(C411="",B411=""),"",IFERROR(C411*INDEX(Harytlar!$D$5:$D$44,MATCH(B411,Harytlar!$A$5:$A$44,0)),""))</f>
        <v/>
      </c>
    </row>
    <row r="412" spans="1:7" x14ac:dyDescent="0.3">
      <c r="A412" s="17"/>
      <c r="B412" s="18"/>
      <c r="C412" s="18"/>
      <c r="D412" s="18"/>
      <c r="E412" s="10" t="str">
        <f>IF(B412="","",IFERROR(INDEX(Harytlar!$C$5:$C$44,MATCH(B412,Harytlar!$A$5:$A$44,0)),""))</f>
        <v/>
      </c>
      <c r="F412" s="10" t="str">
        <f t="shared" si="6"/>
        <v/>
      </c>
      <c r="G412" s="10" t="str">
        <f>IF(OR(C412="",B412=""),"",IFERROR(C412*INDEX(Harytlar!$D$5:$D$44,MATCH(B412,Harytlar!$A$5:$A$44,0)),""))</f>
        <v/>
      </c>
    </row>
    <row r="413" spans="1:7" x14ac:dyDescent="0.3">
      <c r="A413" s="17"/>
      <c r="B413" s="18"/>
      <c r="C413" s="18"/>
      <c r="D413" s="18"/>
      <c r="E413" s="10" t="str">
        <f>IF(B413="","",IFERROR(INDEX(Harytlar!$C$5:$C$44,MATCH(B413,Harytlar!$A$5:$A$44,0)),""))</f>
        <v/>
      </c>
      <c r="F413" s="10" t="str">
        <f t="shared" si="6"/>
        <v/>
      </c>
      <c r="G413" s="10" t="str">
        <f>IF(OR(C413="",B413=""),"",IFERROR(C413*INDEX(Harytlar!$D$5:$D$44,MATCH(B413,Harytlar!$A$5:$A$44,0)),""))</f>
        <v/>
      </c>
    </row>
    <row r="414" spans="1:7" x14ac:dyDescent="0.3">
      <c r="A414" s="17"/>
      <c r="B414" s="18"/>
      <c r="C414" s="18"/>
      <c r="D414" s="18"/>
      <c r="E414" s="10" t="str">
        <f>IF(B414="","",IFERROR(INDEX(Harytlar!$C$5:$C$44,MATCH(B414,Harytlar!$A$5:$A$44,0)),""))</f>
        <v/>
      </c>
      <c r="F414" s="10" t="str">
        <f t="shared" si="6"/>
        <v/>
      </c>
      <c r="G414" s="10" t="str">
        <f>IF(OR(C414="",B414=""),"",IFERROR(C414*INDEX(Harytlar!$D$5:$D$44,MATCH(B414,Harytlar!$A$5:$A$44,0)),""))</f>
        <v/>
      </c>
    </row>
    <row r="415" spans="1:7" x14ac:dyDescent="0.3">
      <c r="A415" s="17"/>
      <c r="B415" s="18"/>
      <c r="C415" s="18"/>
      <c r="D415" s="18"/>
      <c r="E415" s="10" t="str">
        <f>IF(B415="","",IFERROR(INDEX(Harytlar!$C$5:$C$44,MATCH(B415,Harytlar!$A$5:$A$44,0)),""))</f>
        <v/>
      </c>
      <c r="F415" s="10" t="str">
        <f t="shared" si="6"/>
        <v/>
      </c>
      <c r="G415" s="10" t="str">
        <f>IF(OR(C415="",B415=""),"",IFERROR(C415*INDEX(Harytlar!$D$5:$D$44,MATCH(B415,Harytlar!$A$5:$A$44,0)),""))</f>
        <v/>
      </c>
    </row>
    <row r="416" spans="1:7" x14ac:dyDescent="0.3">
      <c r="A416" s="17"/>
      <c r="B416" s="18"/>
      <c r="C416" s="18"/>
      <c r="D416" s="18"/>
      <c r="E416" s="10" t="str">
        <f>IF(B416="","",IFERROR(INDEX(Harytlar!$C$5:$C$44,MATCH(B416,Harytlar!$A$5:$A$44,0)),""))</f>
        <v/>
      </c>
      <c r="F416" s="10" t="str">
        <f t="shared" si="6"/>
        <v/>
      </c>
      <c r="G416" s="10" t="str">
        <f>IF(OR(C416="",B416=""),"",IFERROR(C416*INDEX(Harytlar!$D$5:$D$44,MATCH(B416,Harytlar!$A$5:$A$44,0)),""))</f>
        <v/>
      </c>
    </row>
    <row r="417" spans="1:7" x14ac:dyDescent="0.3">
      <c r="A417" s="17"/>
      <c r="B417" s="18"/>
      <c r="C417" s="18"/>
      <c r="D417" s="18"/>
      <c r="E417" s="10" t="str">
        <f>IF(B417="","",IFERROR(INDEX(Harytlar!$C$5:$C$44,MATCH(B417,Harytlar!$A$5:$A$44,0)),""))</f>
        <v/>
      </c>
      <c r="F417" s="10" t="str">
        <f t="shared" si="6"/>
        <v/>
      </c>
      <c r="G417" s="10" t="str">
        <f>IF(OR(C417="",B417=""),"",IFERROR(C417*INDEX(Harytlar!$D$5:$D$44,MATCH(B417,Harytlar!$A$5:$A$44,0)),""))</f>
        <v/>
      </c>
    </row>
    <row r="418" spans="1:7" x14ac:dyDescent="0.3">
      <c r="A418" s="17"/>
      <c r="B418" s="18"/>
      <c r="C418" s="18"/>
      <c r="D418" s="18"/>
      <c r="E418" s="10" t="str">
        <f>IF(B418="","",IFERROR(INDEX(Harytlar!$C$5:$C$44,MATCH(B418,Harytlar!$A$5:$A$44,0)),""))</f>
        <v/>
      </c>
      <c r="F418" s="10" t="str">
        <f t="shared" si="6"/>
        <v/>
      </c>
      <c r="G418" s="10" t="str">
        <f>IF(OR(C418="",B418=""),"",IFERROR(C418*INDEX(Harytlar!$D$5:$D$44,MATCH(B418,Harytlar!$A$5:$A$44,0)),""))</f>
        <v/>
      </c>
    </row>
    <row r="419" spans="1:7" x14ac:dyDescent="0.3">
      <c r="A419" s="17"/>
      <c r="B419" s="18"/>
      <c r="C419" s="18"/>
      <c r="D419" s="18"/>
      <c r="E419" s="10" t="str">
        <f>IF(B419="","",IFERROR(INDEX(Harytlar!$C$5:$C$44,MATCH(B419,Harytlar!$A$5:$A$44,0)),""))</f>
        <v/>
      </c>
      <c r="F419" s="10" t="str">
        <f t="shared" si="6"/>
        <v/>
      </c>
      <c r="G419" s="10" t="str">
        <f>IF(OR(C419="",B419=""),"",IFERROR(C419*INDEX(Harytlar!$D$5:$D$44,MATCH(B419,Harytlar!$A$5:$A$44,0)),""))</f>
        <v/>
      </c>
    </row>
    <row r="420" spans="1:7" x14ac:dyDescent="0.3">
      <c r="A420" s="17"/>
      <c r="B420" s="18"/>
      <c r="C420" s="18"/>
      <c r="D420" s="18"/>
      <c r="E420" s="10" t="str">
        <f>IF(B420="","",IFERROR(INDEX(Harytlar!$C$5:$C$44,MATCH(B420,Harytlar!$A$5:$A$44,0)),""))</f>
        <v/>
      </c>
      <c r="F420" s="10" t="str">
        <f t="shared" si="6"/>
        <v/>
      </c>
      <c r="G420" s="10" t="str">
        <f>IF(OR(C420="",B420=""),"",IFERROR(C420*INDEX(Harytlar!$D$5:$D$44,MATCH(B420,Harytlar!$A$5:$A$44,0)),""))</f>
        <v/>
      </c>
    </row>
    <row r="421" spans="1:7" x14ac:dyDescent="0.3">
      <c r="A421" s="17"/>
      <c r="B421" s="18"/>
      <c r="C421" s="18"/>
      <c r="D421" s="18"/>
      <c r="E421" s="10" t="str">
        <f>IF(B421="","",IFERROR(INDEX(Harytlar!$C$5:$C$44,MATCH(B421,Harytlar!$A$5:$A$44,0)),""))</f>
        <v/>
      </c>
      <c r="F421" s="10" t="str">
        <f t="shared" si="6"/>
        <v/>
      </c>
      <c r="G421" s="10" t="str">
        <f>IF(OR(C421="",B421=""),"",IFERROR(C421*INDEX(Harytlar!$D$5:$D$44,MATCH(B421,Harytlar!$A$5:$A$44,0)),""))</f>
        <v/>
      </c>
    </row>
    <row r="422" spans="1:7" x14ac:dyDescent="0.3">
      <c r="A422" s="17"/>
      <c r="B422" s="18"/>
      <c r="C422" s="18"/>
      <c r="D422" s="18"/>
      <c r="E422" s="10" t="str">
        <f>IF(B422="","",IFERROR(INDEX(Harytlar!$C$5:$C$44,MATCH(B422,Harytlar!$A$5:$A$44,0)),""))</f>
        <v/>
      </c>
      <c r="F422" s="10" t="str">
        <f t="shared" si="6"/>
        <v/>
      </c>
      <c r="G422" s="10" t="str">
        <f>IF(OR(C422="",B422=""),"",IFERROR(C422*INDEX(Harytlar!$D$5:$D$44,MATCH(B422,Harytlar!$A$5:$A$44,0)),""))</f>
        <v/>
      </c>
    </row>
    <row r="423" spans="1:7" x14ac:dyDescent="0.3">
      <c r="A423" s="17"/>
      <c r="B423" s="18"/>
      <c r="C423" s="18"/>
      <c r="D423" s="18"/>
      <c r="E423" s="10" t="str">
        <f>IF(B423="","",IFERROR(INDEX(Harytlar!$C$5:$C$44,MATCH(B423,Harytlar!$A$5:$A$44,0)),""))</f>
        <v/>
      </c>
      <c r="F423" s="10" t="str">
        <f t="shared" si="6"/>
        <v/>
      </c>
      <c r="G423" s="10" t="str">
        <f>IF(OR(C423="",B423=""),"",IFERROR(C423*INDEX(Harytlar!$D$5:$D$44,MATCH(B423,Harytlar!$A$5:$A$44,0)),""))</f>
        <v/>
      </c>
    </row>
    <row r="424" spans="1:7" x14ac:dyDescent="0.3">
      <c r="A424" s="17"/>
      <c r="B424" s="18"/>
      <c r="C424" s="18"/>
      <c r="D424" s="18"/>
      <c r="E424" s="10" t="str">
        <f>IF(B424="","",IFERROR(INDEX(Harytlar!$C$5:$C$44,MATCH(B424,Harytlar!$A$5:$A$44,0)),""))</f>
        <v/>
      </c>
      <c r="F424" s="10" t="str">
        <f t="shared" si="6"/>
        <v/>
      </c>
      <c r="G424" s="10" t="str">
        <f>IF(OR(C424="",B424=""),"",IFERROR(C424*INDEX(Harytlar!$D$5:$D$44,MATCH(B424,Harytlar!$A$5:$A$44,0)),""))</f>
        <v/>
      </c>
    </row>
    <row r="425" spans="1:7" x14ac:dyDescent="0.3">
      <c r="A425" s="17"/>
      <c r="B425" s="18"/>
      <c r="C425" s="18"/>
      <c r="D425" s="18"/>
      <c r="E425" s="10" t="str">
        <f>IF(B425="","",IFERROR(INDEX(Harytlar!$C$5:$C$44,MATCH(B425,Harytlar!$A$5:$A$44,0)),""))</f>
        <v/>
      </c>
      <c r="F425" s="10" t="str">
        <f t="shared" si="6"/>
        <v/>
      </c>
      <c r="G425" s="10" t="str">
        <f>IF(OR(C425="",B425=""),"",IFERROR(C425*INDEX(Harytlar!$D$5:$D$44,MATCH(B425,Harytlar!$A$5:$A$44,0)),""))</f>
        <v/>
      </c>
    </row>
    <row r="426" spans="1:7" x14ac:dyDescent="0.3">
      <c r="A426" s="17"/>
      <c r="B426" s="18"/>
      <c r="C426" s="18"/>
      <c r="D426" s="18"/>
      <c r="E426" s="10" t="str">
        <f>IF(B426="","",IFERROR(INDEX(Harytlar!$C$5:$C$44,MATCH(B426,Harytlar!$A$5:$A$44,0)),""))</f>
        <v/>
      </c>
      <c r="F426" s="10" t="str">
        <f t="shared" si="6"/>
        <v/>
      </c>
      <c r="G426" s="10" t="str">
        <f>IF(OR(C426="",B426=""),"",IFERROR(C426*INDEX(Harytlar!$D$5:$D$44,MATCH(B426,Harytlar!$A$5:$A$44,0)),""))</f>
        <v/>
      </c>
    </row>
    <row r="427" spans="1:7" x14ac:dyDescent="0.3">
      <c r="A427" s="17"/>
      <c r="B427" s="18"/>
      <c r="C427" s="18"/>
      <c r="D427" s="18"/>
      <c r="E427" s="10" t="str">
        <f>IF(B427="","",IFERROR(INDEX(Harytlar!$C$5:$C$44,MATCH(B427,Harytlar!$A$5:$A$44,0)),""))</f>
        <v/>
      </c>
      <c r="F427" s="10" t="str">
        <f t="shared" si="6"/>
        <v/>
      </c>
      <c r="G427" s="10" t="str">
        <f>IF(OR(C427="",B427=""),"",IFERROR(C427*INDEX(Harytlar!$D$5:$D$44,MATCH(B427,Harytlar!$A$5:$A$44,0)),""))</f>
        <v/>
      </c>
    </row>
    <row r="428" spans="1:7" x14ac:dyDescent="0.3">
      <c r="A428" s="17"/>
      <c r="B428" s="18"/>
      <c r="C428" s="18"/>
      <c r="D428" s="18"/>
      <c r="E428" s="10" t="str">
        <f>IF(B428="","",IFERROR(INDEX(Harytlar!$C$5:$C$44,MATCH(B428,Harytlar!$A$5:$A$44,0)),""))</f>
        <v/>
      </c>
      <c r="F428" s="10" t="str">
        <f t="shared" si="6"/>
        <v/>
      </c>
      <c r="G428" s="10" t="str">
        <f>IF(OR(C428="",B428=""),"",IFERROR(C428*INDEX(Harytlar!$D$5:$D$44,MATCH(B428,Harytlar!$A$5:$A$44,0)),""))</f>
        <v/>
      </c>
    </row>
    <row r="429" spans="1:7" x14ac:dyDescent="0.3">
      <c r="A429" s="17"/>
      <c r="B429" s="18"/>
      <c r="C429" s="18"/>
      <c r="D429" s="18"/>
      <c r="E429" s="10" t="str">
        <f>IF(B429="","",IFERROR(INDEX(Harytlar!$C$5:$C$44,MATCH(B429,Harytlar!$A$5:$A$44,0)),""))</f>
        <v/>
      </c>
      <c r="F429" s="10" t="str">
        <f t="shared" si="6"/>
        <v/>
      </c>
      <c r="G429" s="10" t="str">
        <f>IF(OR(C429="",B429=""),"",IFERROR(C429*INDEX(Harytlar!$D$5:$D$44,MATCH(B429,Harytlar!$A$5:$A$44,0)),""))</f>
        <v/>
      </c>
    </row>
    <row r="430" spans="1:7" x14ac:dyDescent="0.3">
      <c r="A430" s="17"/>
      <c r="B430" s="18"/>
      <c r="C430" s="18"/>
      <c r="D430" s="18"/>
      <c r="E430" s="10" t="str">
        <f>IF(B430="","",IFERROR(INDEX(Harytlar!$C$5:$C$44,MATCH(B430,Harytlar!$A$5:$A$44,0)),""))</f>
        <v/>
      </c>
      <c r="F430" s="10" t="str">
        <f t="shared" si="6"/>
        <v/>
      </c>
      <c r="G430" s="10" t="str">
        <f>IF(OR(C430="",B430=""),"",IFERROR(C430*INDEX(Harytlar!$D$5:$D$44,MATCH(B430,Harytlar!$A$5:$A$44,0)),""))</f>
        <v/>
      </c>
    </row>
    <row r="431" spans="1:7" x14ac:dyDescent="0.3">
      <c r="A431" s="17"/>
      <c r="B431" s="18"/>
      <c r="C431" s="18"/>
      <c r="D431" s="18"/>
      <c r="E431" s="10" t="str">
        <f>IF(B431="","",IFERROR(INDEX(Harytlar!$C$5:$C$44,MATCH(B431,Harytlar!$A$5:$A$44,0)),""))</f>
        <v/>
      </c>
      <c r="F431" s="10" t="str">
        <f t="shared" si="6"/>
        <v/>
      </c>
      <c r="G431" s="10" t="str">
        <f>IF(OR(C431="",B431=""),"",IFERROR(C431*INDEX(Harytlar!$D$5:$D$44,MATCH(B431,Harytlar!$A$5:$A$44,0)),""))</f>
        <v/>
      </c>
    </row>
    <row r="432" spans="1:7" x14ac:dyDescent="0.3">
      <c r="A432" s="17"/>
      <c r="B432" s="18"/>
      <c r="C432" s="18"/>
      <c r="D432" s="18"/>
      <c r="E432" s="10" t="str">
        <f>IF(B432="","",IFERROR(INDEX(Harytlar!$C$5:$C$44,MATCH(B432,Harytlar!$A$5:$A$44,0)),""))</f>
        <v/>
      </c>
      <c r="F432" s="10" t="str">
        <f t="shared" si="6"/>
        <v/>
      </c>
      <c r="G432" s="10" t="str">
        <f>IF(OR(C432="",B432=""),"",IFERROR(C432*INDEX(Harytlar!$D$5:$D$44,MATCH(B432,Harytlar!$A$5:$A$44,0)),""))</f>
        <v/>
      </c>
    </row>
    <row r="433" spans="1:7" x14ac:dyDescent="0.3">
      <c r="A433" s="17"/>
      <c r="B433" s="18"/>
      <c r="C433" s="18"/>
      <c r="D433" s="18"/>
      <c r="E433" s="10" t="str">
        <f>IF(B433="","",IFERROR(INDEX(Harytlar!$C$5:$C$44,MATCH(B433,Harytlar!$A$5:$A$44,0)),""))</f>
        <v/>
      </c>
      <c r="F433" s="10" t="str">
        <f t="shared" si="6"/>
        <v/>
      </c>
      <c r="G433" s="10" t="str">
        <f>IF(OR(C433="",B433=""),"",IFERROR(C433*INDEX(Harytlar!$D$5:$D$44,MATCH(B433,Harytlar!$A$5:$A$44,0)),""))</f>
        <v/>
      </c>
    </row>
    <row r="434" spans="1:7" x14ac:dyDescent="0.3">
      <c r="A434" s="17"/>
      <c r="B434" s="18"/>
      <c r="C434" s="18"/>
      <c r="D434" s="18"/>
      <c r="E434" s="10" t="str">
        <f>IF(B434="","",IFERROR(INDEX(Harytlar!$C$5:$C$44,MATCH(B434,Harytlar!$A$5:$A$44,0)),""))</f>
        <v/>
      </c>
      <c r="F434" s="10" t="str">
        <f t="shared" si="6"/>
        <v/>
      </c>
      <c r="G434" s="10" t="str">
        <f>IF(OR(C434="",B434=""),"",IFERROR(C434*INDEX(Harytlar!$D$5:$D$44,MATCH(B434,Harytlar!$A$5:$A$44,0)),""))</f>
        <v/>
      </c>
    </row>
    <row r="435" spans="1:7" x14ac:dyDescent="0.3">
      <c r="A435" s="17"/>
      <c r="B435" s="18"/>
      <c r="C435" s="18"/>
      <c r="D435" s="18"/>
      <c r="E435" s="10" t="str">
        <f>IF(B435="","",IFERROR(INDEX(Harytlar!$C$5:$C$44,MATCH(B435,Harytlar!$A$5:$A$44,0)),""))</f>
        <v/>
      </c>
      <c r="F435" s="10" t="str">
        <f t="shared" si="6"/>
        <v/>
      </c>
      <c r="G435" s="10" t="str">
        <f>IF(OR(C435="",B435=""),"",IFERROR(C435*INDEX(Harytlar!$D$5:$D$44,MATCH(B435,Harytlar!$A$5:$A$44,0)),""))</f>
        <v/>
      </c>
    </row>
    <row r="436" spans="1:7" x14ac:dyDescent="0.3">
      <c r="A436" s="17"/>
      <c r="B436" s="18"/>
      <c r="C436" s="18"/>
      <c r="D436" s="18"/>
      <c r="E436" s="10" t="str">
        <f>IF(B436="","",IFERROR(INDEX(Harytlar!$C$5:$C$44,MATCH(B436,Harytlar!$A$5:$A$44,0)),""))</f>
        <v/>
      </c>
      <c r="F436" s="10" t="str">
        <f t="shared" si="6"/>
        <v/>
      </c>
      <c r="G436" s="10" t="str">
        <f>IF(OR(C436="",B436=""),"",IFERROR(C436*INDEX(Harytlar!$D$5:$D$44,MATCH(B436,Harytlar!$A$5:$A$44,0)),""))</f>
        <v/>
      </c>
    </row>
    <row r="437" spans="1:7" x14ac:dyDescent="0.3">
      <c r="A437" s="17"/>
      <c r="B437" s="18"/>
      <c r="C437" s="18"/>
      <c r="D437" s="18"/>
      <c r="E437" s="10" t="str">
        <f>IF(B437="","",IFERROR(INDEX(Harytlar!$C$5:$C$44,MATCH(B437,Harytlar!$A$5:$A$44,0)),""))</f>
        <v/>
      </c>
      <c r="F437" s="10" t="str">
        <f t="shared" si="6"/>
        <v/>
      </c>
      <c r="G437" s="10" t="str">
        <f>IF(OR(C437="",B437=""),"",IFERROR(C437*INDEX(Harytlar!$D$5:$D$44,MATCH(B437,Harytlar!$A$5:$A$44,0)),""))</f>
        <v/>
      </c>
    </row>
    <row r="438" spans="1:7" x14ac:dyDescent="0.3">
      <c r="A438" s="17"/>
      <c r="B438" s="18"/>
      <c r="C438" s="18"/>
      <c r="D438" s="18"/>
      <c r="E438" s="10" t="str">
        <f>IF(B438="","",IFERROR(INDEX(Harytlar!$C$5:$C$44,MATCH(B438,Harytlar!$A$5:$A$44,0)),""))</f>
        <v/>
      </c>
      <c r="F438" s="10" t="str">
        <f t="shared" si="6"/>
        <v/>
      </c>
      <c r="G438" s="10" t="str">
        <f>IF(OR(C438="",B438=""),"",IFERROR(C438*INDEX(Harytlar!$D$5:$D$44,MATCH(B438,Harytlar!$A$5:$A$44,0)),""))</f>
        <v/>
      </c>
    </row>
    <row r="439" spans="1:7" x14ac:dyDescent="0.3">
      <c r="A439" s="17"/>
      <c r="B439" s="18"/>
      <c r="C439" s="18"/>
      <c r="D439" s="18"/>
      <c r="E439" s="10" t="str">
        <f>IF(B439="","",IFERROR(INDEX(Harytlar!$C$5:$C$44,MATCH(B439,Harytlar!$A$5:$A$44,0)),""))</f>
        <v/>
      </c>
      <c r="F439" s="10" t="str">
        <f t="shared" si="6"/>
        <v/>
      </c>
      <c r="G439" s="10" t="str">
        <f>IF(OR(C439="",B439=""),"",IFERROR(C439*INDEX(Harytlar!$D$5:$D$44,MATCH(B439,Harytlar!$A$5:$A$44,0)),""))</f>
        <v/>
      </c>
    </row>
    <row r="440" spans="1:7" x14ac:dyDescent="0.3">
      <c r="A440" s="17"/>
      <c r="B440" s="18"/>
      <c r="C440" s="18"/>
      <c r="D440" s="18"/>
      <c r="E440" s="10" t="str">
        <f>IF(B440="","",IFERROR(INDEX(Harytlar!$C$5:$C$44,MATCH(B440,Harytlar!$A$5:$A$44,0)),""))</f>
        <v/>
      </c>
      <c r="F440" s="10" t="str">
        <f t="shared" si="6"/>
        <v/>
      </c>
      <c r="G440" s="10" t="str">
        <f>IF(OR(C440="",B440=""),"",IFERROR(C440*INDEX(Harytlar!$D$5:$D$44,MATCH(B440,Harytlar!$A$5:$A$44,0)),""))</f>
        <v/>
      </c>
    </row>
    <row r="441" spans="1:7" x14ac:dyDescent="0.3">
      <c r="A441" s="17"/>
      <c r="B441" s="18"/>
      <c r="C441" s="18"/>
      <c r="D441" s="18"/>
      <c r="E441" s="10" t="str">
        <f>IF(B441="","",IFERROR(INDEX(Harytlar!$C$5:$C$44,MATCH(B441,Harytlar!$A$5:$A$44,0)),""))</f>
        <v/>
      </c>
      <c r="F441" s="10" t="str">
        <f t="shared" si="6"/>
        <v/>
      </c>
      <c r="G441" s="10" t="str">
        <f>IF(OR(C441="",B441=""),"",IFERROR(C441*INDEX(Harytlar!$D$5:$D$44,MATCH(B441,Harytlar!$A$5:$A$44,0)),""))</f>
        <v/>
      </c>
    </row>
    <row r="442" spans="1:7" x14ac:dyDescent="0.3">
      <c r="A442" s="17"/>
      <c r="B442" s="18"/>
      <c r="C442" s="18"/>
      <c r="D442" s="18"/>
      <c r="E442" s="10" t="str">
        <f>IF(B442="","",IFERROR(INDEX(Harytlar!$C$5:$C$44,MATCH(B442,Harytlar!$A$5:$A$44,0)),""))</f>
        <v/>
      </c>
      <c r="F442" s="10" t="str">
        <f t="shared" si="6"/>
        <v/>
      </c>
      <c r="G442" s="10" t="str">
        <f>IF(OR(C442="",B442=""),"",IFERROR(C442*INDEX(Harytlar!$D$5:$D$44,MATCH(B442,Harytlar!$A$5:$A$44,0)),""))</f>
        <v/>
      </c>
    </row>
    <row r="443" spans="1:7" x14ac:dyDescent="0.3">
      <c r="A443" s="17"/>
      <c r="B443" s="18"/>
      <c r="C443" s="18"/>
      <c r="D443" s="18"/>
      <c r="E443" s="10" t="str">
        <f>IF(B443="","",IFERROR(INDEX(Harytlar!$C$5:$C$44,MATCH(B443,Harytlar!$A$5:$A$44,0)),""))</f>
        <v/>
      </c>
      <c r="F443" s="10" t="str">
        <f t="shared" si="6"/>
        <v/>
      </c>
      <c r="G443" s="10" t="str">
        <f>IF(OR(C443="",B443=""),"",IFERROR(C443*INDEX(Harytlar!$D$5:$D$44,MATCH(B443,Harytlar!$A$5:$A$44,0)),""))</f>
        <v/>
      </c>
    </row>
    <row r="444" spans="1:7" x14ac:dyDescent="0.3">
      <c r="A444" s="17"/>
      <c r="B444" s="18"/>
      <c r="C444" s="18"/>
      <c r="D444" s="18"/>
      <c r="E444" s="10" t="str">
        <f>IF(B444="","",IFERROR(INDEX(Harytlar!$C$5:$C$44,MATCH(B444,Harytlar!$A$5:$A$44,0)),""))</f>
        <v/>
      </c>
      <c r="F444" s="10" t="str">
        <f t="shared" si="6"/>
        <v/>
      </c>
      <c r="G444" s="10" t="str">
        <f>IF(OR(C444="",B444=""),"",IFERROR(C444*INDEX(Harytlar!$D$5:$D$44,MATCH(B444,Harytlar!$A$5:$A$44,0)),""))</f>
        <v/>
      </c>
    </row>
    <row r="445" spans="1:7" x14ac:dyDescent="0.3">
      <c r="A445" s="17"/>
      <c r="B445" s="18"/>
      <c r="C445" s="18"/>
      <c r="D445" s="18"/>
      <c r="E445" s="10" t="str">
        <f>IF(B445="","",IFERROR(INDEX(Harytlar!$C$5:$C$44,MATCH(B445,Harytlar!$A$5:$A$44,0)),""))</f>
        <v/>
      </c>
      <c r="F445" s="10" t="str">
        <f t="shared" si="6"/>
        <v/>
      </c>
      <c r="G445" s="10" t="str">
        <f>IF(OR(C445="",B445=""),"",IFERROR(C445*INDEX(Harytlar!$D$5:$D$44,MATCH(B445,Harytlar!$A$5:$A$44,0)),""))</f>
        <v/>
      </c>
    </row>
    <row r="446" spans="1:7" x14ac:dyDescent="0.3">
      <c r="A446" s="17"/>
      <c r="B446" s="18"/>
      <c r="C446" s="18"/>
      <c r="D446" s="18"/>
      <c r="E446" s="10" t="str">
        <f>IF(B446="","",IFERROR(INDEX(Harytlar!$C$5:$C$44,MATCH(B446,Harytlar!$A$5:$A$44,0)),""))</f>
        <v/>
      </c>
      <c r="F446" s="10" t="str">
        <f t="shared" si="6"/>
        <v/>
      </c>
      <c r="G446" s="10" t="str">
        <f>IF(OR(C446="",B446=""),"",IFERROR(C446*INDEX(Harytlar!$D$5:$D$44,MATCH(B446,Harytlar!$A$5:$A$44,0)),""))</f>
        <v/>
      </c>
    </row>
    <row r="447" spans="1:7" x14ac:dyDescent="0.3">
      <c r="A447" s="17"/>
      <c r="B447" s="18"/>
      <c r="C447" s="18"/>
      <c r="D447" s="18"/>
      <c r="E447" s="10" t="str">
        <f>IF(B447="","",IFERROR(INDEX(Harytlar!$C$5:$C$44,MATCH(B447,Harytlar!$A$5:$A$44,0)),""))</f>
        <v/>
      </c>
      <c r="F447" s="10" t="str">
        <f t="shared" si="6"/>
        <v/>
      </c>
      <c r="G447" s="10" t="str">
        <f>IF(OR(C447="",B447=""),"",IFERROR(C447*INDEX(Harytlar!$D$5:$D$44,MATCH(B447,Harytlar!$A$5:$A$44,0)),""))</f>
        <v/>
      </c>
    </row>
    <row r="448" spans="1:7" x14ac:dyDescent="0.3">
      <c r="A448" s="17"/>
      <c r="B448" s="18"/>
      <c r="C448" s="18"/>
      <c r="D448" s="18"/>
      <c r="E448" s="10" t="str">
        <f>IF(B448="","",IFERROR(INDEX(Harytlar!$C$5:$C$44,MATCH(B448,Harytlar!$A$5:$A$44,0)),""))</f>
        <v/>
      </c>
      <c r="F448" s="10" t="str">
        <f t="shared" si="6"/>
        <v/>
      </c>
      <c r="G448" s="10" t="str">
        <f>IF(OR(C448="",B448=""),"",IFERROR(C448*INDEX(Harytlar!$D$5:$D$44,MATCH(B448,Harytlar!$A$5:$A$44,0)),""))</f>
        <v/>
      </c>
    </row>
    <row r="449" spans="1:7" x14ac:dyDescent="0.3">
      <c r="A449" s="17"/>
      <c r="B449" s="18"/>
      <c r="C449" s="18"/>
      <c r="D449" s="18"/>
      <c r="E449" s="10" t="str">
        <f>IF(B449="","",IFERROR(INDEX(Harytlar!$C$5:$C$44,MATCH(B449,Harytlar!$A$5:$A$44,0)),""))</f>
        <v/>
      </c>
      <c r="F449" s="10" t="str">
        <f t="shared" si="6"/>
        <v/>
      </c>
      <c r="G449" s="10" t="str">
        <f>IF(OR(C449="",B449=""),"",IFERROR(C449*INDEX(Harytlar!$D$5:$D$44,MATCH(B449,Harytlar!$A$5:$A$44,0)),""))</f>
        <v/>
      </c>
    </row>
    <row r="450" spans="1:7" x14ac:dyDescent="0.3">
      <c r="A450" s="17"/>
      <c r="B450" s="18"/>
      <c r="C450" s="18"/>
      <c r="D450" s="18"/>
      <c r="E450" s="10" t="str">
        <f>IF(B450="","",IFERROR(INDEX(Harytlar!$C$5:$C$44,MATCH(B450,Harytlar!$A$5:$A$44,0)),""))</f>
        <v/>
      </c>
      <c r="F450" s="10" t="str">
        <f t="shared" si="6"/>
        <v/>
      </c>
      <c r="G450" s="10" t="str">
        <f>IF(OR(C450="",B450=""),"",IFERROR(C450*INDEX(Harytlar!$D$5:$D$44,MATCH(B450,Harytlar!$A$5:$A$44,0)),""))</f>
        <v/>
      </c>
    </row>
    <row r="451" spans="1:7" x14ac:dyDescent="0.3">
      <c r="A451" s="17"/>
      <c r="B451" s="18"/>
      <c r="C451" s="18"/>
      <c r="D451" s="18"/>
      <c r="E451" s="10" t="str">
        <f>IF(B451="","",IFERROR(INDEX(Harytlar!$C$5:$C$44,MATCH(B451,Harytlar!$A$5:$A$44,0)),""))</f>
        <v/>
      </c>
      <c r="F451" s="10" t="str">
        <f t="shared" si="6"/>
        <v/>
      </c>
      <c r="G451" s="10" t="str">
        <f>IF(OR(C451="",B451=""),"",IFERROR(C451*INDEX(Harytlar!$D$5:$D$44,MATCH(B451,Harytlar!$A$5:$A$44,0)),""))</f>
        <v/>
      </c>
    </row>
    <row r="452" spans="1:7" x14ac:dyDescent="0.3">
      <c r="A452" s="17"/>
      <c r="B452" s="18"/>
      <c r="C452" s="18"/>
      <c r="D452" s="18"/>
      <c r="E452" s="10" t="str">
        <f>IF(B452="","",IFERROR(INDEX(Harytlar!$C$5:$C$44,MATCH(B452,Harytlar!$A$5:$A$44,0)),""))</f>
        <v/>
      </c>
      <c r="F452" s="10" t="str">
        <f t="shared" si="6"/>
        <v/>
      </c>
      <c r="G452" s="10" t="str">
        <f>IF(OR(C452="",B452=""),"",IFERROR(C452*INDEX(Harytlar!$D$5:$D$44,MATCH(B452,Harytlar!$A$5:$A$44,0)),""))</f>
        <v/>
      </c>
    </row>
    <row r="453" spans="1:7" x14ac:dyDescent="0.3">
      <c r="A453" s="17"/>
      <c r="B453" s="18"/>
      <c r="C453" s="18"/>
      <c r="D453" s="18"/>
      <c r="E453" s="10" t="str">
        <f>IF(B453="","",IFERROR(INDEX(Harytlar!$C$5:$C$44,MATCH(B453,Harytlar!$A$5:$A$44,0)),""))</f>
        <v/>
      </c>
      <c r="F453" s="10" t="str">
        <f t="shared" si="6"/>
        <v/>
      </c>
      <c r="G453" s="10" t="str">
        <f>IF(OR(C453="",B453=""),"",IFERROR(C453*INDEX(Harytlar!$D$5:$D$44,MATCH(B453,Harytlar!$A$5:$A$44,0)),""))</f>
        <v/>
      </c>
    </row>
    <row r="454" spans="1:7" x14ac:dyDescent="0.3">
      <c r="A454" s="17"/>
      <c r="B454" s="18"/>
      <c r="C454" s="18"/>
      <c r="D454" s="18"/>
      <c r="E454" s="10" t="str">
        <f>IF(B454="","",IFERROR(INDEX(Harytlar!$C$5:$C$44,MATCH(B454,Harytlar!$A$5:$A$44,0)),""))</f>
        <v/>
      </c>
      <c r="F454" s="10" t="str">
        <f t="shared" ref="F454:F517" si="7">IF(OR(C454="",E454=""),"",C454*E454)</f>
        <v/>
      </c>
      <c r="G454" s="10" t="str">
        <f>IF(OR(C454="",B454=""),"",IFERROR(C454*INDEX(Harytlar!$D$5:$D$44,MATCH(B454,Harytlar!$A$5:$A$44,0)),""))</f>
        <v/>
      </c>
    </row>
    <row r="455" spans="1:7" x14ac:dyDescent="0.3">
      <c r="A455" s="17"/>
      <c r="B455" s="18"/>
      <c r="C455" s="18"/>
      <c r="D455" s="18"/>
      <c r="E455" s="10" t="str">
        <f>IF(B455="","",IFERROR(INDEX(Harytlar!$C$5:$C$44,MATCH(B455,Harytlar!$A$5:$A$44,0)),""))</f>
        <v/>
      </c>
      <c r="F455" s="10" t="str">
        <f t="shared" si="7"/>
        <v/>
      </c>
      <c r="G455" s="10" t="str">
        <f>IF(OR(C455="",B455=""),"",IFERROR(C455*INDEX(Harytlar!$D$5:$D$44,MATCH(B455,Harytlar!$A$5:$A$44,0)),""))</f>
        <v/>
      </c>
    </row>
    <row r="456" spans="1:7" x14ac:dyDescent="0.3">
      <c r="A456" s="17"/>
      <c r="B456" s="18"/>
      <c r="C456" s="18"/>
      <c r="D456" s="18"/>
      <c r="E456" s="10" t="str">
        <f>IF(B456="","",IFERROR(INDEX(Harytlar!$C$5:$C$44,MATCH(B456,Harytlar!$A$5:$A$44,0)),""))</f>
        <v/>
      </c>
      <c r="F456" s="10" t="str">
        <f t="shared" si="7"/>
        <v/>
      </c>
      <c r="G456" s="10" t="str">
        <f>IF(OR(C456="",B456=""),"",IFERROR(C456*INDEX(Harytlar!$D$5:$D$44,MATCH(B456,Harytlar!$A$5:$A$44,0)),""))</f>
        <v/>
      </c>
    </row>
    <row r="457" spans="1:7" x14ac:dyDescent="0.3">
      <c r="A457" s="17"/>
      <c r="B457" s="18"/>
      <c r="C457" s="18"/>
      <c r="D457" s="18"/>
      <c r="E457" s="10" t="str">
        <f>IF(B457="","",IFERROR(INDEX(Harytlar!$C$5:$C$44,MATCH(B457,Harytlar!$A$5:$A$44,0)),""))</f>
        <v/>
      </c>
      <c r="F457" s="10" t="str">
        <f t="shared" si="7"/>
        <v/>
      </c>
      <c r="G457" s="10" t="str">
        <f>IF(OR(C457="",B457=""),"",IFERROR(C457*INDEX(Harytlar!$D$5:$D$44,MATCH(B457,Harytlar!$A$5:$A$44,0)),""))</f>
        <v/>
      </c>
    </row>
    <row r="458" spans="1:7" x14ac:dyDescent="0.3">
      <c r="A458" s="17"/>
      <c r="B458" s="18"/>
      <c r="C458" s="18"/>
      <c r="D458" s="18"/>
      <c r="E458" s="10" t="str">
        <f>IF(B458="","",IFERROR(INDEX(Harytlar!$C$5:$C$44,MATCH(B458,Harytlar!$A$5:$A$44,0)),""))</f>
        <v/>
      </c>
      <c r="F458" s="10" t="str">
        <f t="shared" si="7"/>
        <v/>
      </c>
      <c r="G458" s="10" t="str">
        <f>IF(OR(C458="",B458=""),"",IFERROR(C458*INDEX(Harytlar!$D$5:$D$44,MATCH(B458,Harytlar!$A$5:$A$44,0)),""))</f>
        <v/>
      </c>
    </row>
    <row r="459" spans="1:7" x14ac:dyDescent="0.3">
      <c r="A459" s="17"/>
      <c r="B459" s="18"/>
      <c r="C459" s="18"/>
      <c r="D459" s="18"/>
      <c r="E459" s="10" t="str">
        <f>IF(B459="","",IFERROR(INDEX(Harytlar!$C$5:$C$44,MATCH(B459,Harytlar!$A$5:$A$44,0)),""))</f>
        <v/>
      </c>
      <c r="F459" s="10" t="str">
        <f t="shared" si="7"/>
        <v/>
      </c>
      <c r="G459" s="10" t="str">
        <f>IF(OR(C459="",B459=""),"",IFERROR(C459*INDEX(Harytlar!$D$5:$D$44,MATCH(B459,Harytlar!$A$5:$A$44,0)),""))</f>
        <v/>
      </c>
    </row>
    <row r="460" spans="1:7" x14ac:dyDescent="0.3">
      <c r="A460" s="17"/>
      <c r="B460" s="18"/>
      <c r="C460" s="18"/>
      <c r="D460" s="18"/>
      <c r="E460" s="10" t="str">
        <f>IF(B460="","",IFERROR(INDEX(Harytlar!$C$5:$C$44,MATCH(B460,Harytlar!$A$5:$A$44,0)),""))</f>
        <v/>
      </c>
      <c r="F460" s="10" t="str">
        <f t="shared" si="7"/>
        <v/>
      </c>
      <c r="G460" s="10" t="str">
        <f>IF(OR(C460="",B460=""),"",IFERROR(C460*INDEX(Harytlar!$D$5:$D$44,MATCH(B460,Harytlar!$A$5:$A$44,0)),""))</f>
        <v/>
      </c>
    </row>
    <row r="461" spans="1:7" x14ac:dyDescent="0.3">
      <c r="A461" s="17"/>
      <c r="B461" s="18"/>
      <c r="C461" s="18"/>
      <c r="D461" s="18"/>
      <c r="E461" s="10" t="str">
        <f>IF(B461="","",IFERROR(INDEX(Harytlar!$C$5:$C$44,MATCH(B461,Harytlar!$A$5:$A$44,0)),""))</f>
        <v/>
      </c>
      <c r="F461" s="10" t="str">
        <f t="shared" si="7"/>
        <v/>
      </c>
      <c r="G461" s="10" t="str">
        <f>IF(OR(C461="",B461=""),"",IFERROR(C461*INDEX(Harytlar!$D$5:$D$44,MATCH(B461,Harytlar!$A$5:$A$44,0)),""))</f>
        <v/>
      </c>
    </row>
    <row r="462" spans="1:7" x14ac:dyDescent="0.3">
      <c r="A462" s="17"/>
      <c r="B462" s="18"/>
      <c r="C462" s="18"/>
      <c r="D462" s="18"/>
      <c r="E462" s="10" t="str">
        <f>IF(B462="","",IFERROR(INDEX(Harytlar!$C$5:$C$44,MATCH(B462,Harytlar!$A$5:$A$44,0)),""))</f>
        <v/>
      </c>
      <c r="F462" s="10" t="str">
        <f t="shared" si="7"/>
        <v/>
      </c>
      <c r="G462" s="10" t="str">
        <f>IF(OR(C462="",B462=""),"",IFERROR(C462*INDEX(Harytlar!$D$5:$D$44,MATCH(B462,Harytlar!$A$5:$A$44,0)),""))</f>
        <v/>
      </c>
    </row>
    <row r="463" spans="1:7" x14ac:dyDescent="0.3">
      <c r="A463" s="17"/>
      <c r="B463" s="18"/>
      <c r="C463" s="18"/>
      <c r="D463" s="18"/>
      <c r="E463" s="10" t="str">
        <f>IF(B463="","",IFERROR(INDEX(Harytlar!$C$5:$C$44,MATCH(B463,Harytlar!$A$5:$A$44,0)),""))</f>
        <v/>
      </c>
      <c r="F463" s="10" t="str">
        <f t="shared" si="7"/>
        <v/>
      </c>
      <c r="G463" s="10" t="str">
        <f>IF(OR(C463="",B463=""),"",IFERROR(C463*INDEX(Harytlar!$D$5:$D$44,MATCH(B463,Harytlar!$A$5:$A$44,0)),""))</f>
        <v/>
      </c>
    </row>
    <row r="464" spans="1:7" x14ac:dyDescent="0.3">
      <c r="A464" s="17"/>
      <c r="B464" s="18"/>
      <c r="C464" s="18"/>
      <c r="D464" s="18"/>
      <c r="E464" s="10" t="str">
        <f>IF(B464="","",IFERROR(INDEX(Harytlar!$C$5:$C$44,MATCH(B464,Harytlar!$A$5:$A$44,0)),""))</f>
        <v/>
      </c>
      <c r="F464" s="10" t="str">
        <f t="shared" si="7"/>
        <v/>
      </c>
      <c r="G464" s="10" t="str">
        <f>IF(OR(C464="",B464=""),"",IFERROR(C464*INDEX(Harytlar!$D$5:$D$44,MATCH(B464,Harytlar!$A$5:$A$44,0)),""))</f>
        <v/>
      </c>
    </row>
    <row r="465" spans="1:7" x14ac:dyDescent="0.3">
      <c r="A465" s="17"/>
      <c r="B465" s="18"/>
      <c r="C465" s="18"/>
      <c r="D465" s="18"/>
      <c r="E465" s="10" t="str">
        <f>IF(B465="","",IFERROR(INDEX(Harytlar!$C$5:$C$44,MATCH(B465,Harytlar!$A$5:$A$44,0)),""))</f>
        <v/>
      </c>
      <c r="F465" s="10" t="str">
        <f t="shared" si="7"/>
        <v/>
      </c>
      <c r="G465" s="10" t="str">
        <f>IF(OR(C465="",B465=""),"",IFERROR(C465*INDEX(Harytlar!$D$5:$D$44,MATCH(B465,Harytlar!$A$5:$A$44,0)),""))</f>
        <v/>
      </c>
    </row>
    <row r="466" spans="1:7" x14ac:dyDescent="0.3">
      <c r="A466" s="17"/>
      <c r="B466" s="18"/>
      <c r="C466" s="18"/>
      <c r="D466" s="18"/>
      <c r="E466" s="10" t="str">
        <f>IF(B466="","",IFERROR(INDEX(Harytlar!$C$5:$C$44,MATCH(B466,Harytlar!$A$5:$A$44,0)),""))</f>
        <v/>
      </c>
      <c r="F466" s="10" t="str">
        <f t="shared" si="7"/>
        <v/>
      </c>
      <c r="G466" s="10" t="str">
        <f>IF(OR(C466="",B466=""),"",IFERROR(C466*INDEX(Harytlar!$D$5:$D$44,MATCH(B466,Harytlar!$A$5:$A$44,0)),""))</f>
        <v/>
      </c>
    </row>
    <row r="467" spans="1:7" x14ac:dyDescent="0.3">
      <c r="A467" s="17"/>
      <c r="B467" s="18"/>
      <c r="C467" s="18"/>
      <c r="D467" s="18"/>
      <c r="E467" s="10" t="str">
        <f>IF(B467="","",IFERROR(INDEX(Harytlar!$C$5:$C$44,MATCH(B467,Harytlar!$A$5:$A$44,0)),""))</f>
        <v/>
      </c>
      <c r="F467" s="10" t="str">
        <f t="shared" si="7"/>
        <v/>
      </c>
      <c r="G467" s="10" t="str">
        <f>IF(OR(C467="",B467=""),"",IFERROR(C467*INDEX(Harytlar!$D$5:$D$44,MATCH(B467,Harytlar!$A$5:$A$44,0)),""))</f>
        <v/>
      </c>
    </row>
    <row r="468" spans="1:7" x14ac:dyDescent="0.3">
      <c r="A468" s="17"/>
      <c r="B468" s="18"/>
      <c r="C468" s="18"/>
      <c r="D468" s="18"/>
      <c r="E468" s="10" t="str">
        <f>IF(B468="","",IFERROR(INDEX(Harytlar!$C$5:$C$44,MATCH(B468,Harytlar!$A$5:$A$44,0)),""))</f>
        <v/>
      </c>
      <c r="F468" s="10" t="str">
        <f t="shared" si="7"/>
        <v/>
      </c>
      <c r="G468" s="10" t="str">
        <f>IF(OR(C468="",B468=""),"",IFERROR(C468*INDEX(Harytlar!$D$5:$D$44,MATCH(B468,Harytlar!$A$5:$A$44,0)),""))</f>
        <v/>
      </c>
    </row>
    <row r="469" spans="1:7" x14ac:dyDescent="0.3">
      <c r="A469" s="17"/>
      <c r="B469" s="18"/>
      <c r="C469" s="18"/>
      <c r="D469" s="18"/>
      <c r="E469" s="10" t="str">
        <f>IF(B469="","",IFERROR(INDEX(Harytlar!$C$5:$C$44,MATCH(B469,Harytlar!$A$5:$A$44,0)),""))</f>
        <v/>
      </c>
      <c r="F469" s="10" t="str">
        <f t="shared" si="7"/>
        <v/>
      </c>
      <c r="G469" s="10" t="str">
        <f>IF(OR(C469="",B469=""),"",IFERROR(C469*INDEX(Harytlar!$D$5:$D$44,MATCH(B469,Harytlar!$A$5:$A$44,0)),""))</f>
        <v/>
      </c>
    </row>
    <row r="470" spans="1:7" x14ac:dyDescent="0.3">
      <c r="A470" s="17"/>
      <c r="B470" s="18"/>
      <c r="C470" s="18"/>
      <c r="D470" s="18"/>
      <c r="E470" s="10" t="str">
        <f>IF(B470="","",IFERROR(INDEX(Harytlar!$C$5:$C$44,MATCH(B470,Harytlar!$A$5:$A$44,0)),""))</f>
        <v/>
      </c>
      <c r="F470" s="10" t="str">
        <f t="shared" si="7"/>
        <v/>
      </c>
      <c r="G470" s="10" t="str">
        <f>IF(OR(C470="",B470=""),"",IFERROR(C470*INDEX(Harytlar!$D$5:$D$44,MATCH(B470,Harytlar!$A$5:$A$44,0)),""))</f>
        <v/>
      </c>
    </row>
    <row r="471" spans="1:7" x14ac:dyDescent="0.3">
      <c r="A471" s="17"/>
      <c r="B471" s="18"/>
      <c r="C471" s="18"/>
      <c r="D471" s="18"/>
      <c r="E471" s="10" t="str">
        <f>IF(B471="","",IFERROR(INDEX(Harytlar!$C$5:$C$44,MATCH(B471,Harytlar!$A$5:$A$44,0)),""))</f>
        <v/>
      </c>
      <c r="F471" s="10" t="str">
        <f t="shared" si="7"/>
        <v/>
      </c>
      <c r="G471" s="10" t="str">
        <f>IF(OR(C471="",B471=""),"",IFERROR(C471*INDEX(Harytlar!$D$5:$D$44,MATCH(B471,Harytlar!$A$5:$A$44,0)),""))</f>
        <v/>
      </c>
    </row>
    <row r="472" spans="1:7" x14ac:dyDescent="0.3">
      <c r="A472" s="17"/>
      <c r="B472" s="18"/>
      <c r="C472" s="18"/>
      <c r="D472" s="18"/>
      <c r="E472" s="10" t="str">
        <f>IF(B472="","",IFERROR(INDEX(Harytlar!$C$5:$C$44,MATCH(B472,Harytlar!$A$5:$A$44,0)),""))</f>
        <v/>
      </c>
      <c r="F472" s="10" t="str">
        <f t="shared" si="7"/>
        <v/>
      </c>
      <c r="G472" s="10" t="str">
        <f>IF(OR(C472="",B472=""),"",IFERROR(C472*INDEX(Harytlar!$D$5:$D$44,MATCH(B472,Harytlar!$A$5:$A$44,0)),""))</f>
        <v/>
      </c>
    </row>
    <row r="473" spans="1:7" x14ac:dyDescent="0.3">
      <c r="A473" s="17"/>
      <c r="B473" s="18"/>
      <c r="C473" s="18"/>
      <c r="D473" s="18"/>
      <c r="E473" s="10" t="str">
        <f>IF(B473="","",IFERROR(INDEX(Harytlar!$C$5:$C$44,MATCH(B473,Harytlar!$A$5:$A$44,0)),""))</f>
        <v/>
      </c>
      <c r="F473" s="10" t="str">
        <f t="shared" si="7"/>
        <v/>
      </c>
      <c r="G473" s="10" t="str">
        <f>IF(OR(C473="",B473=""),"",IFERROR(C473*INDEX(Harytlar!$D$5:$D$44,MATCH(B473,Harytlar!$A$5:$A$44,0)),""))</f>
        <v/>
      </c>
    </row>
    <row r="474" spans="1:7" x14ac:dyDescent="0.3">
      <c r="A474" s="17"/>
      <c r="B474" s="18"/>
      <c r="C474" s="18"/>
      <c r="D474" s="18"/>
      <c r="E474" s="10" t="str">
        <f>IF(B474="","",IFERROR(INDEX(Harytlar!$C$5:$C$44,MATCH(B474,Harytlar!$A$5:$A$44,0)),""))</f>
        <v/>
      </c>
      <c r="F474" s="10" t="str">
        <f t="shared" si="7"/>
        <v/>
      </c>
      <c r="G474" s="10" t="str">
        <f>IF(OR(C474="",B474=""),"",IFERROR(C474*INDEX(Harytlar!$D$5:$D$44,MATCH(B474,Harytlar!$A$5:$A$44,0)),""))</f>
        <v/>
      </c>
    </row>
    <row r="475" spans="1:7" x14ac:dyDescent="0.3">
      <c r="A475" s="17"/>
      <c r="B475" s="18"/>
      <c r="C475" s="18"/>
      <c r="D475" s="18"/>
      <c r="E475" s="10" t="str">
        <f>IF(B475="","",IFERROR(INDEX(Harytlar!$C$5:$C$44,MATCH(B475,Harytlar!$A$5:$A$44,0)),""))</f>
        <v/>
      </c>
      <c r="F475" s="10" t="str">
        <f t="shared" si="7"/>
        <v/>
      </c>
      <c r="G475" s="10" t="str">
        <f>IF(OR(C475="",B475=""),"",IFERROR(C475*INDEX(Harytlar!$D$5:$D$44,MATCH(B475,Harytlar!$A$5:$A$44,0)),""))</f>
        <v/>
      </c>
    </row>
    <row r="476" spans="1:7" x14ac:dyDescent="0.3">
      <c r="A476" s="17"/>
      <c r="B476" s="18"/>
      <c r="C476" s="18"/>
      <c r="D476" s="18"/>
      <c r="E476" s="10" t="str">
        <f>IF(B476="","",IFERROR(INDEX(Harytlar!$C$5:$C$44,MATCH(B476,Harytlar!$A$5:$A$44,0)),""))</f>
        <v/>
      </c>
      <c r="F476" s="10" t="str">
        <f t="shared" si="7"/>
        <v/>
      </c>
      <c r="G476" s="10" t="str">
        <f>IF(OR(C476="",B476=""),"",IFERROR(C476*INDEX(Harytlar!$D$5:$D$44,MATCH(B476,Harytlar!$A$5:$A$44,0)),""))</f>
        <v/>
      </c>
    </row>
    <row r="477" spans="1:7" x14ac:dyDescent="0.3">
      <c r="A477" s="17"/>
      <c r="B477" s="18"/>
      <c r="C477" s="18"/>
      <c r="D477" s="18"/>
      <c r="E477" s="10" t="str">
        <f>IF(B477="","",IFERROR(INDEX(Harytlar!$C$5:$C$44,MATCH(B477,Harytlar!$A$5:$A$44,0)),""))</f>
        <v/>
      </c>
      <c r="F477" s="10" t="str">
        <f t="shared" si="7"/>
        <v/>
      </c>
      <c r="G477" s="10" t="str">
        <f>IF(OR(C477="",B477=""),"",IFERROR(C477*INDEX(Harytlar!$D$5:$D$44,MATCH(B477,Harytlar!$A$5:$A$44,0)),""))</f>
        <v/>
      </c>
    </row>
    <row r="478" spans="1:7" x14ac:dyDescent="0.3">
      <c r="A478" s="17"/>
      <c r="B478" s="18"/>
      <c r="C478" s="18"/>
      <c r="D478" s="18"/>
      <c r="E478" s="10" t="str">
        <f>IF(B478="","",IFERROR(INDEX(Harytlar!$C$5:$C$44,MATCH(B478,Harytlar!$A$5:$A$44,0)),""))</f>
        <v/>
      </c>
      <c r="F478" s="10" t="str">
        <f t="shared" si="7"/>
        <v/>
      </c>
      <c r="G478" s="10" t="str">
        <f>IF(OR(C478="",B478=""),"",IFERROR(C478*INDEX(Harytlar!$D$5:$D$44,MATCH(B478,Harytlar!$A$5:$A$44,0)),""))</f>
        <v/>
      </c>
    </row>
    <row r="479" spans="1:7" x14ac:dyDescent="0.3">
      <c r="A479" s="17"/>
      <c r="B479" s="18"/>
      <c r="C479" s="18"/>
      <c r="D479" s="18"/>
      <c r="E479" s="10" t="str">
        <f>IF(B479="","",IFERROR(INDEX(Harytlar!$C$5:$C$44,MATCH(B479,Harytlar!$A$5:$A$44,0)),""))</f>
        <v/>
      </c>
      <c r="F479" s="10" t="str">
        <f t="shared" si="7"/>
        <v/>
      </c>
      <c r="G479" s="10" t="str">
        <f>IF(OR(C479="",B479=""),"",IFERROR(C479*INDEX(Harytlar!$D$5:$D$44,MATCH(B479,Harytlar!$A$5:$A$44,0)),""))</f>
        <v/>
      </c>
    </row>
    <row r="480" spans="1:7" x14ac:dyDescent="0.3">
      <c r="A480" s="17"/>
      <c r="B480" s="18"/>
      <c r="C480" s="18"/>
      <c r="D480" s="18"/>
      <c r="E480" s="10" t="str">
        <f>IF(B480="","",IFERROR(INDEX(Harytlar!$C$5:$C$44,MATCH(B480,Harytlar!$A$5:$A$44,0)),""))</f>
        <v/>
      </c>
      <c r="F480" s="10" t="str">
        <f t="shared" si="7"/>
        <v/>
      </c>
      <c r="G480" s="10" t="str">
        <f>IF(OR(C480="",B480=""),"",IFERROR(C480*INDEX(Harytlar!$D$5:$D$44,MATCH(B480,Harytlar!$A$5:$A$44,0)),""))</f>
        <v/>
      </c>
    </row>
    <row r="481" spans="1:7" x14ac:dyDescent="0.3">
      <c r="A481" s="17"/>
      <c r="B481" s="18"/>
      <c r="C481" s="18"/>
      <c r="D481" s="18"/>
      <c r="E481" s="10" t="str">
        <f>IF(B481="","",IFERROR(INDEX(Harytlar!$C$5:$C$44,MATCH(B481,Harytlar!$A$5:$A$44,0)),""))</f>
        <v/>
      </c>
      <c r="F481" s="10" t="str">
        <f t="shared" si="7"/>
        <v/>
      </c>
      <c r="G481" s="10" t="str">
        <f>IF(OR(C481="",B481=""),"",IFERROR(C481*INDEX(Harytlar!$D$5:$D$44,MATCH(B481,Harytlar!$A$5:$A$44,0)),""))</f>
        <v/>
      </c>
    </row>
    <row r="482" spans="1:7" x14ac:dyDescent="0.3">
      <c r="A482" s="17"/>
      <c r="B482" s="18"/>
      <c r="C482" s="18"/>
      <c r="D482" s="18"/>
      <c r="E482" s="10" t="str">
        <f>IF(B482="","",IFERROR(INDEX(Harytlar!$C$5:$C$44,MATCH(B482,Harytlar!$A$5:$A$44,0)),""))</f>
        <v/>
      </c>
      <c r="F482" s="10" t="str">
        <f t="shared" si="7"/>
        <v/>
      </c>
      <c r="G482" s="10" t="str">
        <f>IF(OR(C482="",B482=""),"",IFERROR(C482*INDEX(Harytlar!$D$5:$D$44,MATCH(B482,Harytlar!$A$5:$A$44,0)),""))</f>
        <v/>
      </c>
    </row>
    <row r="483" spans="1:7" x14ac:dyDescent="0.3">
      <c r="A483" s="17"/>
      <c r="B483" s="18"/>
      <c r="C483" s="18"/>
      <c r="D483" s="18"/>
      <c r="E483" s="10" t="str">
        <f>IF(B483="","",IFERROR(INDEX(Harytlar!$C$5:$C$44,MATCH(B483,Harytlar!$A$5:$A$44,0)),""))</f>
        <v/>
      </c>
      <c r="F483" s="10" t="str">
        <f t="shared" si="7"/>
        <v/>
      </c>
      <c r="G483" s="10" t="str">
        <f>IF(OR(C483="",B483=""),"",IFERROR(C483*INDEX(Harytlar!$D$5:$D$44,MATCH(B483,Harytlar!$A$5:$A$44,0)),""))</f>
        <v/>
      </c>
    </row>
    <row r="484" spans="1:7" x14ac:dyDescent="0.3">
      <c r="A484" s="17"/>
      <c r="B484" s="18"/>
      <c r="C484" s="18"/>
      <c r="D484" s="18"/>
      <c r="E484" s="10" t="str">
        <f>IF(B484="","",IFERROR(INDEX(Harytlar!$C$5:$C$44,MATCH(B484,Harytlar!$A$5:$A$44,0)),""))</f>
        <v/>
      </c>
      <c r="F484" s="10" t="str">
        <f t="shared" si="7"/>
        <v/>
      </c>
      <c r="G484" s="10" t="str">
        <f>IF(OR(C484="",B484=""),"",IFERROR(C484*INDEX(Harytlar!$D$5:$D$44,MATCH(B484,Harytlar!$A$5:$A$44,0)),""))</f>
        <v/>
      </c>
    </row>
    <row r="485" spans="1:7" x14ac:dyDescent="0.3">
      <c r="A485" s="17"/>
      <c r="B485" s="18"/>
      <c r="C485" s="18"/>
      <c r="D485" s="18"/>
      <c r="E485" s="10" t="str">
        <f>IF(B485="","",IFERROR(INDEX(Harytlar!$C$5:$C$44,MATCH(B485,Harytlar!$A$5:$A$44,0)),""))</f>
        <v/>
      </c>
      <c r="F485" s="10" t="str">
        <f t="shared" si="7"/>
        <v/>
      </c>
      <c r="G485" s="10" t="str">
        <f>IF(OR(C485="",B485=""),"",IFERROR(C485*INDEX(Harytlar!$D$5:$D$44,MATCH(B485,Harytlar!$A$5:$A$44,0)),""))</f>
        <v/>
      </c>
    </row>
    <row r="486" spans="1:7" x14ac:dyDescent="0.3">
      <c r="A486" s="17"/>
      <c r="B486" s="18"/>
      <c r="C486" s="18"/>
      <c r="D486" s="18"/>
      <c r="E486" s="10" t="str">
        <f>IF(B486="","",IFERROR(INDEX(Harytlar!$C$5:$C$44,MATCH(B486,Harytlar!$A$5:$A$44,0)),""))</f>
        <v/>
      </c>
      <c r="F486" s="10" t="str">
        <f t="shared" si="7"/>
        <v/>
      </c>
      <c r="G486" s="10" t="str">
        <f>IF(OR(C486="",B486=""),"",IFERROR(C486*INDEX(Harytlar!$D$5:$D$44,MATCH(B486,Harytlar!$A$5:$A$44,0)),""))</f>
        <v/>
      </c>
    </row>
    <row r="487" spans="1:7" x14ac:dyDescent="0.3">
      <c r="A487" s="17"/>
      <c r="B487" s="18"/>
      <c r="C487" s="18"/>
      <c r="D487" s="18"/>
      <c r="E487" s="10" t="str">
        <f>IF(B487="","",IFERROR(INDEX(Harytlar!$C$5:$C$44,MATCH(B487,Harytlar!$A$5:$A$44,0)),""))</f>
        <v/>
      </c>
      <c r="F487" s="10" t="str">
        <f t="shared" si="7"/>
        <v/>
      </c>
      <c r="G487" s="10" t="str">
        <f>IF(OR(C487="",B487=""),"",IFERROR(C487*INDEX(Harytlar!$D$5:$D$44,MATCH(B487,Harytlar!$A$5:$A$44,0)),""))</f>
        <v/>
      </c>
    </row>
    <row r="488" spans="1:7" x14ac:dyDescent="0.3">
      <c r="A488" s="17"/>
      <c r="B488" s="18"/>
      <c r="C488" s="18"/>
      <c r="D488" s="18"/>
      <c r="E488" s="10" t="str">
        <f>IF(B488="","",IFERROR(INDEX(Harytlar!$C$5:$C$44,MATCH(B488,Harytlar!$A$5:$A$44,0)),""))</f>
        <v/>
      </c>
      <c r="F488" s="10" t="str">
        <f t="shared" si="7"/>
        <v/>
      </c>
      <c r="G488" s="10" t="str">
        <f>IF(OR(C488="",B488=""),"",IFERROR(C488*INDEX(Harytlar!$D$5:$D$44,MATCH(B488,Harytlar!$A$5:$A$44,0)),""))</f>
        <v/>
      </c>
    </row>
    <row r="489" spans="1:7" x14ac:dyDescent="0.3">
      <c r="A489" s="17"/>
      <c r="B489" s="18"/>
      <c r="C489" s="18"/>
      <c r="D489" s="18"/>
      <c r="E489" s="10" t="str">
        <f>IF(B489="","",IFERROR(INDEX(Harytlar!$C$5:$C$44,MATCH(B489,Harytlar!$A$5:$A$44,0)),""))</f>
        <v/>
      </c>
      <c r="F489" s="10" t="str">
        <f t="shared" si="7"/>
        <v/>
      </c>
      <c r="G489" s="10" t="str">
        <f>IF(OR(C489="",B489=""),"",IFERROR(C489*INDEX(Harytlar!$D$5:$D$44,MATCH(B489,Harytlar!$A$5:$A$44,0)),""))</f>
        <v/>
      </c>
    </row>
    <row r="490" spans="1:7" x14ac:dyDescent="0.3">
      <c r="A490" s="17"/>
      <c r="B490" s="18"/>
      <c r="C490" s="18"/>
      <c r="D490" s="18"/>
      <c r="E490" s="10" t="str">
        <f>IF(B490="","",IFERROR(INDEX(Harytlar!$C$5:$C$44,MATCH(B490,Harytlar!$A$5:$A$44,0)),""))</f>
        <v/>
      </c>
      <c r="F490" s="10" t="str">
        <f t="shared" si="7"/>
        <v/>
      </c>
      <c r="G490" s="10" t="str">
        <f>IF(OR(C490="",B490=""),"",IFERROR(C490*INDEX(Harytlar!$D$5:$D$44,MATCH(B490,Harytlar!$A$5:$A$44,0)),""))</f>
        <v/>
      </c>
    </row>
    <row r="491" spans="1:7" x14ac:dyDescent="0.3">
      <c r="A491" s="17"/>
      <c r="B491" s="18"/>
      <c r="C491" s="18"/>
      <c r="D491" s="18"/>
      <c r="E491" s="10" t="str">
        <f>IF(B491="","",IFERROR(INDEX(Harytlar!$C$5:$C$44,MATCH(B491,Harytlar!$A$5:$A$44,0)),""))</f>
        <v/>
      </c>
      <c r="F491" s="10" t="str">
        <f t="shared" si="7"/>
        <v/>
      </c>
      <c r="G491" s="10" t="str">
        <f>IF(OR(C491="",B491=""),"",IFERROR(C491*INDEX(Harytlar!$D$5:$D$44,MATCH(B491,Harytlar!$A$5:$A$44,0)),""))</f>
        <v/>
      </c>
    </row>
    <row r="492" spans="1:7" x14ac:dyDescent="0.3">
      <c r="A492" s="17"/>
      <c r="B492" s="18"/>
      <c r="C492" s="18"/>
      <c r="D492" s="18"/>
      <c r="E492" s="10" t="str">
        <f>IF(B492="","",IFERROR(INDEX(Harytlar!$C$5:$C$44,MATCH(B492,Harytlar!$A$5:$A$44,0)),""))</f>
        <v/>
      </c>
      <c r="F492" s="10" t="str">
        <f t="shared" si="7"/>
        <v/>
      </c>
      <c r="G492" s="10" t="str">
        <f>IF(OR(C492="",B492=""),"",IFERROR(C492*INDEX(Harytlar!$D$5:$D$44,MATCH(B492,Harytlar!$A$5:$A$44,0)),""))</f>
        <v/>
      </c>
    </row>
    <row r="493" spans="1:7" x14ac:dyDescent="0.3">
      <c r="A493" s="17"/>
      <c r="B493" s="18"/>
      <c r="C493" s="18"/>
      <c r="D493" s="18"/>
      <c r="E493" s="10" t="str">
        <f>IF(B493="","",IFERROR(INDEX(Harytlar!$C$5:$C$44,MATCH(B493,Harytlar!$A$5:$A$44,0)),""))</f>
        <v/>
      </c>
      <c r="F493" s="10" t="str">
        <f t="shared" si="7"/>
        <v/>
      </c>
      <c r="G493" s="10" t="str">
        <f>IF(OR(C493="",B493=""),"",IFERROR(C493*INDEX(Harytlar!$D$5:$D$44,MATCH(B493,Harytlar!$A$5:$A$44,0)),""))</f>
        <v/>
      </c>
    </row>
    <row r="494" spans="1:7" x14ac:dyDescent="0.3">
      <c r="A494" s="17"/>
      <c r="B494" s="18"/>
      <c r="C494" s="18"/>
      <c r="D494" s="18"/>
      <c r="E494" s="10" t="str">
        <f>IF(B494="","",IFERROR(INDEX(Harytlar!$C$5:$C$44,MATCH(B494,Harytlar!$A$5:$A$44,0)),""))</f>
        <v/>
      </c>
      <c r="F494" s="10" t="str">
        <f t="shared" si="7"/>
        <v/>
      </c>
      <c r="G494" s="10" t="str">
        <f>IF(OR(C494="",B494=""),"",IFERROR(C494*INDEX(Harytlar!$D$5:$D$44,MATCH(B494,Harytlar!$A$5:$A$44,0)),""))</f>
        <v/>
      </c>
    </row>
    <row r="495" spans="1:7" x14ac:dyDescent="0.3">
      <c r="A495" s="17"/>
      <c r="B495" s="18"/>
      <c r="C495" s="18"/>
      <c r="D495" s="18"/>
      <c r="E495" s="10" t="str">
        <f>IF(B495="","",IFERROR(INDEX(Harytlar!$C$5:$C$44,MATCH(B495,Harytlar!$A$5:$A$44,0)),""))</f>
        <v/>
      </c>
      <c r="F495" s="10" t="str">
        <f t="shared" si="7"/>
        <v/>
      </c>
      <c r="G495" s="10" t="str">
        <f>IF(OR(C495="",B495=""),"",IFERROR(C495*INDEX(Harytlar!$D$5:$D$44,MATCH(B495,Harytlar!$A$5:$A$44,0)),""))</f>
        <v/>
      </c>
    </row>
    <row r="496" spans="1:7" x14ac:dyDescent="0.3">
      <c r="A496" s="17"/>
      <c r="B496" s="18"/>
      <c r="C496" s="18"/>
      <c r="D496" s="18"/>
      <c r="E496" s="10" t="str">
        <f>IF(B496="","",IFERROR(INDEX(Harytlar!$C$5:$C$44,MATCH(B496,Harytlar!$A$5:$A$44,0)),""))</f>
        <v/>
      </c>
      <c r="F496" s="10" t="str">
        <f t="shared" si="7"/>
        <v/>
      </c>
      <c r="G496" s="10" t="str">
        <f>IF(OR(C496="",B496=""),"",IFERROR(C496*INDEX(Harytlar!$D$5:$D$44,MATCH(B496,Harytlar!$A$5:$A$44,0)),""))</f>
        <v/>
      </c>
    </row>
    <row r="497" spans="1:7" x14ac:dyDescent="0.3">
      <c r="A497" s="17"/>
      <c r="B497" s="18"/>
      <c r="C497" s="18"/>
      <c r="D497" s="18"/>
      <c r="E497" s="10" t="str">
        <f>IF(B497="","",IFERROR(INDEX(Harytlar!$C$5:$C$44,MATCH(B497,Harytlar!$A$5:$A$44,0)),""))</f>
        <v/>
      </c>
      <c r="F497" s="10" t="str">
        <f t="shared" si="7"/>
        <v/>
      </c>
      <c r="G497" s="10" t="str">
        <f>IF(OR(C497="",B497=""),"",IFERROR(C497*INDEX(Harytlar!$D$5:$D$44,MATCH(B497,Harytlar!$A$5:$A$44,0)),""))</f>
        <v/>
      </c>
    </row>
    <row r="498" spans="1:7" x14ac:dyDescent="0.3">
      <c r="A498" s="17"/>
      <c r="B498" s="18"/>
      <c r="C498" s="18"/>
      <c r="D498" s="18"/>
      <c r="E498" s="10" t="str">
        <f>IF(B498="","",IFERROR(INDEX(Harytlar!$C$5:$C$44,MATCH(B498,Harytlar!$A$5:$A$44,0)),""))</f>
        <v/>
      </c>
      <c r="F498" s="10" t="str">
        <f t="shared" si="7"/>
        <v/>
      </c>
      <c r="G498" s="10" t="str">
        <f>IF(OR(C498="",B498=""),"",IFERROR(C498*INDEX(Harytlar!$D$5:$D$44,MATCH(B498,Harytlar!$A$5:$A$44,0)),""))</f>
        <v/>
      </c>
    </row>
    <row r="499" spans="1:7" x14ac:dyDescent="0.3">
      <c r="A499" s="17"/>
      <c r="B499" s="18"/>
      <c r="C499" s="18"/>
      <c r="D499" s="18"/>
      <c r="E499" s="10" t="str">
        <f>IF(B499="","",IFERROR(INDEX(Harytlar!$C$5:$C$44,MATCH(B499,Harytlar!$A$5:$A$44,0)),""))</f>
        <v/>
      </c>
      <c r="F499" s="10" t="str">
        <f t="shared" si="7"/>
        <v/>
      </c>
      <c r="G499" s="10" t="str">
        <f>IF(OR(C499="",B499=""),"",IFERROR(C499*INDEX(Harytlar!$D$5:$D$44,MATCH(B499,Harytlar!$A$5:$A$44,0)),""))</f>
        <v/>
      </c>
    </row>
    <row r="500" spans="1:7" x14ac:dyDescent="0.3">
      <c r="A500" s="17"/>
      <c r="B500" s="18"/>
      <c r="C500" s="18"/>
      <c r="D500" s="18"/>
      <c r="E500" s="10" t="str">
        <f>IF(B500="","",IFERROR(INDEX(Harytlar!$C$5:$C$44,MATCH(B500,Harytlar!$A$5:$A$44,0)),""))</f>
        <v/>
      </c>
      <c r="F500" s="10" t="str">
        <f t="shared" si="7"/>
        <v/>
      </c>
      <c r="G500" s="10" t="str">
        <f>IF(OR(C500="",B500=""),"",IFERROR(C500*INDEX(Harytlar!$D$5:$D$44,MATCH(B500,Harytlar!$A$5:$A$44,0)),""))</f>
        <v/>
      </c>
    </row>
    <row r="501" spans="1:7" x14ac:dyDescent="0.3">
      <c r="A501" s="17"/>
      <c r="B501" s="18"/>
      <c r="C501" s="18"/>
      <c r="D501" s="18"/>
      <c r="E501" s="10" t="str">
        <f>IF(B501="","",IFERROR(INDEX(Harytlar!$C$5:$C$44,MATCH(B501,Harytlar!$A$5:$A$44,0)),""))</f>
        <v/>
      </c>
      <c r="F501" s="10" t="str">
        <f t="shared" si="7"/>
        <v/>
      </c>
      <c r="G501" s="10" t="str">
        <f>IF(OR(C501="",B501=""),"",IFERROR(C501*INDEX(Harytlar!$D$5:$D$44,MATCH(B501,Harytlar!$A$5:$A$44,0)),""))</f>
        <v/>
      </c>
    </row>
    <row r="502" spans="1:7" x14ac:dyDescent="0.3">
      <c r="A502" s="17"/>
      <c r="B502" s="18"/>
      <c r="C502" s="18"/>
      <c r="D502" s="18"/>
      <c r="E502" s="10" t="str">
        <f>IF(B502="","",IFERROR(INDEX(Harytlar!$C$5:$C$44,MATCH(B502,Harytlar!$A$5:$A$44,0)),""))</f>
        <v/>
      </c>
      <c r="F502" s="10" t="str">
        <f t="shared" si="7"/>
        <v/>
      </c>
      <c r="G502" s="10" t="str">
        <f>IF(OR(C502="",B502=""),"",IFERROR(C502*INDEX(Harytlar!$D$5:$D$44,MATCH(B502,Harytlar!$A$5:$A$44,0)),""))</f>
        <v/>
      </c>
    </row>
    <row r="503" spans="1:7" x14ac:dyDescent="0.3">
      <c r="A503" s="17"/>
      <c r="B503" s="18"/>
      <c r="C503" s="18"/>
      <c r="D503" s="18"/>
      <c r="E503" s="10" t="str">
        <f>IF(B503="","",IFERROR(INDEX(Harytlar!$C$5:$C$44,MATCH(B503,Harytlar!$A$5:$A$44,0)),""))</f>
        <v/>
      </c>
      <c r="F503" s="10" t="str">
        <f t="shared" si="7"/>
        <v/>
      </c>
      <c r="G503" s="10" t="str">
        <f>IF(OR(C503="",B503=""),"",IFERROR(C503*INDEX(Harytlar!$D$5:$D$44,MATCH(B503,Harytlar!$A$5:$A$44,0)),""))</f>
        <v/>
      </c>
    </row>
    <row r="504" spans="1:7" x14ac:dyDescent="0.3">
      <c r="A504" s="17"/>
      <c r="B504" s="18"/>
      <c r="C504" s="18"/>
      <c r="D504" s="18"/>
      <c r="E504" s="10" t="str">
        <f>IF(B504="","",IFERROR(INDEX(Harytlar!$C$5:$C$44,MATCH(B504,Harytlar!$A$5:$A$44,0)),""))</f>
        <v/>
      </c>
      <c r="F504" s="10" t="str">
        <f t="shared" si="7"/>
        <v/>
      </c>
      <c r="G504" s="10" t="str">
        <f>IF(OR(C504="",B504=""),"",IFERROR(C504*INDEX(Harytlar!$D$5:$D$44,MATCH(B504,Harytlar!$A$5:$A$44,0)),""))</f>
        <v/>
      </c>
    </row>
    <row r="505" spans="1:7" x14ac:dyDescent="0.3">
      <c r="A505" s="17"/>
      <c r="B505" s="18"/>
      <c r="C505" s="18"/>
      <c r="D505" s="18"/>
      <c r="E505" s="10" t="str">
        <f>IF(B505="","",IFERROR(INDEX(Harytlar!$C$5:$C$44,MATCH(B505,Harytlar!$A$5:$A$44,0)),""))</f>
        <v/>
      </c>
      <c r="F505" s="10" t="str">
        <f t="shared" si="7"/>
        <v/>
      </c>
      <c r="G505" s="10" t="str">
        <f>IF(OR(C505="",B505=""),"",IFERROR(C505*INDEX(Harytlar!$D$5:$D$44,MATCH(B505,Harytlar!$A$5:$A$44,0)),""))</f>
        <v/>
      </c>
    </row>
    <row r="506" spans="1:7" x14ac:dyDescent="0.3">
      <c r="A506" s="17"/>
      <c r="B506" s="18"/>
      <c r="C506" s="18"/>
      <c r="D506" s="18"/>
      <c r="E506" s="10" t="str">
        <f>IF(B506="","",IFERROR(INDEX(Harytlar!$C$5:$C$44,MATCH(B506,Harytlar!$A$5:$A$44,0)),""))</f>
        <v/>
      </c>
      <c r="F506" s="10" t="str">
        <f t="shared" si="7"/>
        <v/>
      </c>
      <c r="G506" s="10" t="str">
        <f>IF(OR(C506="",B506=""),"",IFERROR(C506*INDEX(Harytlar!$D$5:$D$44,MATCH(B506,Harytlar!$A$5:$A$44,0)),""))</f>
        <v/>
      </c>
    </row>
    <row r="507" spans="1:7" x14ac:dyDescent="0.3">
      <c r="A507" s="17"/>
      <c r="B507" s="18"/>
      <c r="C507" s="18"/>
      <c r="D507" s="18"/>
      <c r="E507" s="10" t="str">
        <f>IF(B507="","",IFERROR(INDEX(Harytlar!$C$5:$C$44,MATCH(B507,Harytlar!$A$5:$A$44,0)),""))</f>
        <v/>
      </c>
      <c r="F507" s="10" t="str">
        <f t="shared" si="7"/>
        <v/>
      </c>
      <c r="G507" s="10" t="str">
        <f>IF(OR(C507="",B507=""),"",IFERROR(C507*INDEX(Harytlar!$D$5:$D$44,MATCH(B507,Harytlar!$A$5:$A$44,0)),""))</f>
        <v/>
      </c>
    </row>
    <row r="508" spans="1:7" x14ac:dyDescent="0.3">
      <c r="A508" s="17"/>
      <c r="B508" s="18"/>
      <c r="C508" s="18"/>
      <c r="D508" s="18"/>
      <c r="E508" s="10" t="str">
        <f>IF(B508="","",IFERROR(INDEX(Harytlar!$C$5:$C$44,MATCH(B508,Harytlar!$A$5:$A$44,0)),""))</f>
        <v/>
      </c>
      <c r="F508" s="10" t="str">
        <f t="shared" si="7"/>
        <v/>
      </c>
      <c r="G508" s="10" t="str">
        <f>IF(OR(C508="",B508=""),"",IFERROR(C508*INDEX(Harytlar!$D$5:$D$44,MATCH(B508,Harytlar!$A$5:$A$44,0)),""))</f>
        <v/>
      </c>
    </row>
    <row r="509" spans="1:7" x14ac:dyDescent="0.3">
      <c r="A509" s="17"/>
      <c r="B509" s="18"/>
      <c r="C509" s="18"/>
      <c r="D509" s="18"/>
      <c r="E509" s="10" t="str">
        <f>IF(B509="","",IFERROR(INDEX(Harytlar!$C$5:$C$44,MATCH(B509,Harytlar!$A$5:$A$44,0)),""))</f>
        <v/>
      </c>
      <c r="F509" s="10" t="str">
        <f t="shared" si="7"/>
        <v/>
      </c>
      <c r="G509" s="10" t="str">
        <f>IF(OR(C509="",B509=""),"",IFERROR(C509*INDEX(Harytlar!$D$5:$D$44,MATCH(B509,Harytlar!$A$5:$A$44,0)),""))</f>
        <v/>
      </c>
    </row>
    <row r="510" spans="1:7" x14ac:dyDescent="0.3">
      <c r="A510" s="17"/>
      <c r="B510" s="18"/>
      <c r="C510" s="18"/>
      <c r="D510" s="18"/>
      <c r="E510" s="10" t="str">
        <f>IF(B510="","",IFERROR(INDEX(Harytlar!$C$5:$C$44,MATCH(B510,Harytlar!$A$5:$A$44,0)),""))</f>
        <v/>
      </c>
      <c r="F510" s="10" t="str">
        <f t="shared" si="7"/>
        <v/>
      </c>
      <c r="G510" s="10" t="str">
        <f>IF(OR(C510="",B510=""),"",IFERROR(C510*INDEX(Harytlar!$D$5:$D$44,MATCH(B510,Harytlar!$A$5:$A$44,0)),""))</f>
        <v/>
      </c>
    </row>
    <row r="511" spans="1:7" x14ac:dyDescent="0.3">
      <c r="A511" s="17"/>
      <c r="B511" s="18"/>
      <c r="C511" s="18"/>
      <c r="D511" s="18"/>
      <c r="E511" s="10" t="str">
        <f>IF(B511="","",IFERROR(INDEX(Harytlar!$C$5:$C$44,MATCH(B511,Harytlar!$A$5:$A$44,0)),""))</f>
        <v/>
      </c>
      <c r="F511" s="10" t="str">
        <f t="shared" si="7"/>
        <v/>
      </c>
      <c r="G511" s="10" t="str">
        <f>IF(OR(C511="",B511=""),"",IFERROR(C511*INDEX(Harytlar!$D$5:$D$44,MATCH(B511,Harytlar!$A$5:$A$44,0)),""))</f>
        <v/>
      </c>
    </row>
    <row r="512" spans="1:7" x14ac:dyDescent="0.3">
      <c r="A512" s="17"/>
      <c r="B512" s="18"/>
      <c r="C512" s="18"/>
      <c r="D512" s="18"/>
      <c r="E512" s="10" t="str">
        <f>IF(B512="","",IFERROR(INDEX(Harytlar!$C$5:$C$44,MATCH(B512,Harytlar!$A$5:$A$44,0)),""))</f>
        <v/>
      </c>
      <c r="F512" s="10" t="str">
        <f t="shared" si="7"/>
        <v/>
      </c>
      <c r="G512" s="10" t="str">
        <f>IF(OR(C512="",B512=""),"",IFERROR(C512*INDEX(Harytlar!$D$5:$D$44,MATCH(B512,Harytlar!$A$5:$A$44,0)),""))</f>
        <v/>
      </c>
    </row>
    <row r="513" spans="1:7" x14ac:dyDescent="0.3">
      <c r="A513" s="17"/>
      <c r="B513" s="18"/>
      <c r="C513" s="18"/>
      <c r="D513" s="18"/>
      <c r="E513" s="10" t="str">
        <f>IF(B513="","",IFERROR(INDEX(Harytlar!$C$5:$C$44,MATCH(B513,Harytlar!$A$5:$A$44,0)),""))</f>
        <v/>
      </c>
      <c r="F513" s="10" t="str">
        <f t="shared" si="7"/>
        <v/>
      </c>
      <c r="G513" s="10" t="str">
        <f>IF(OR(C513="",B513=""),"",IFERROR(C513*INDEX(Harytlar!$D$5:$D$44,MATCH(B513,Harytlar!$A$5:$A$44,0)),""))</f>
        <v/>
      </c>
    </row>
    <row r="514" spans="1:7" x14ac:dyDescent="0.3">
      <c r="A514" s="17"/>
      <c r="B514" s="18"/>
      <c r="C514" s="18"/>
      <c r="D514" s="18"/>
      <c r="E514" s="10" t="str">
        <f>IF(B514="","",IFERROR(INDEX(Harytlar!$C$5:$C$44,MATCH(B514,Harytlar!$A$5:$A$44,0)),""))</f>
        <v/>
      </c>
      <c r="F514" s="10" t="str">
        <f t="shared" si="7"/>
        <v/>
      </c>
      <c r="G514" s="10" t="str">
        <f>IF(OR(C514="",B514=""),"",IFERROR(C514*INDEX(Harytlar!$D$5:$D$44,MATCH(B514,Harytlar!$A$5:$A$44,0)),""))</f>
        <v/>
      </c>
    </row>
    <row r="515" spans="1:7" x14ac:dyDescent="0.3">
      <c r="A515" s="17"/>
      <c r="B515" s="18"/>
      <c r="C515" s="18"/>
      <c r="D515" s="18"/>
      <c r="E515" s="10" t="str">
        <f>IF(B515="","",IFERROR(INDEX(Harytlar!$C$5:$C$44,MATCH(B515,Harytlar!$A$5:$A$44,0)),""))</f>
        <v/>
      </c>
      <c r="F515" s="10" t="str">
        <f t="shared" si="7"/>
        <v/>
      </c>
      <c r="G515" s="10" t="str">
        <f>IF(OR(C515="",B515=""),"",IFERROR(C515*INDEX(Harytlar!$D$5:$D$44,MATCH(B515,Harytlar!$A$5:$A$44,0)),""))</f>
        <v/>
      </c>
    </row>
    <row r="516" spans="1:7" x14ac:dyDescent="0.3">
      <c r="A516" s="17"/>
      <c r="B516" s="18"/>
      <c r="C516" s="18"/>
      <c r="D516" s="18"/>
      <c r="E516" s="10" t="str">
        <f>IF(B516="","",IFERROR(INDEX(Harytlar!$C$5:$C$44,MATCH(B516,Harytlar!$A$5:$A$44,0)),""))</f>
        <v/>
      </c>
      <c r="F516" s="10" t="str">
        <f t="shared" si="7"/>
        <v/>
      </c>
      <c r="G516" s="10" t="str">
        <f>IF(OR(C516="",B516=""),"",IFERROR(C516*INDEX(Harytlar!$D$5:$D$44,MATCH(B516,Harytlar!$A$5:$A$44,0)),""))</f>
        <v/>
      </c>
    </row>
    <row r="517" spans="1:7" x14ac:dyDescent="0.3">
      <c r="A517" s="17"/>
      <c r="B517" s="18"/>
      <c r="C517" s="18"/>
      <c r="D517" s="18"/>
      <c r="E517" s="10" t="str">
        <f>IF(B517="","",IFERROR(INDEX(Harytlar!$C$5:$C$44,MATCH(B517,Harytlar!$A$5:$A$44,0)),""))</f>
        <v/>
      </c>
      <c r="F517" s="10" t="str">
        <f t="shared" si="7"/>
        <v/>
      </c>
      <c r="G517" s="10" t="str">
        <f>IF(OR(C517="",B517=""),"",IFERROR(C517*INDEX(Harytlar!$D$5:$D$44,MATCH(B517,Harytlar!$A$5:$A$44,0)),""))</f>
        <v/>
      </c>
    </row>
    <row r="518" spans="1:7" x14ac:dyDescent="0.3">
      <c r="A518" s="17"/>
      <c r="B518" s="18"/>
      <c r="C518" s="18"/>
      <c r="D518" s="18"/>
      <c r="E518" s="10" t="str">
        <f>IF(B518="","",IFERROR(INDEX(Harytlar!$C$5:$C$44,MATCH(B518,Harytlar!$A$5:$A$44,0)),""))</f>
        <v/>
      </c>
      <c r="F518" s="10" t="str">
        <f t="shared" ref="F518:F581" si="8">IF(OR(C518="",E518=""),"",C518*E518)</f>
        <v/>
      </c>
      <c r="G518" s="10" t="str">
        <f>IF(OR(C518="",B518=""),"",IFERROR(C518*INDEX(Harytlar!$D$5:$D$44,MATCH(B518,Harytlar!$A$5:$A$44,0)),""))</f>
        <v/>
      </c>
    </row>
    <row r="519" spans="1:7" x14ac:dyDescent="0.3">
      <c r="A519" s="17"/>
      <c r="B519" s="18"/>
      <c r="C519" s="18"/>
      <c r="D519" s="18"/>
      <c r="E519" s="10" t="str">
        <f>IF(B519="","",IFERROR(INDEX(Harytlar!$C$5:$C$44,MATCH(B519,Harytlar!$A$5:$A$44,0)),""))</f>
        <v/>
      </c>
      <c r="F519" s="10" t="str">
        <f t="shared" si="8"/>
        <v/>
      </c>
      <c r="G519" s="10" t="str">
        <f>IF(OR(C519="",B519=""),"",IFERROR(C519*INDEX(Harytlar!$D$5:$D$44,MATCH(B519,Harytlar!$A$5:$A$44,0)),""))</f>
        <v/>
      </c>
    </row>
    <row r="520" spans="1:7" x14ac:dyDescent="0.3">
      <c r="A520" s="17"/>
      <c r="B520" s="18"/>
      <c r="C520" s="18"/>
      <c r="D520" s="18"/>
      <c r="E520" s="10" t="str">
        <f>IF(B520="","",IFERROR(INDEX(Harytlar!$C$5:$C$44,MATCH(B520,Harytlar!$A$5:$A$44,0)),""))</f>
        <v/>
      </c>
      <c r="F520" s="10" t="str">
        <f t="shared" si="8"/>
        <v/>
      </c>
      <c r="G520" s="10" t="str">
        <f>IF(OR(C520="",B520=""),"",IFERROR(C520*INDEX(Harytlar!$D$5:$D$44,MATCH(B520,Harytlar!$A$5:$A$44,0)),""))</f>
        <v/>
      </c>
    </row>
    <row r="521" spans="1:7" x14ac:dyDescent="0.3">
      <c r="A521" s="17"/>
      <c r="B521" s="18"/>
      <c r="C521" s="18"/>
      <c r="D521" s="18"/>
      <c r="E521" s="10" t="str">
        <f>IF(B521="","",IFERROR(INDEX(Harytlar!$C$5:$C$44,MATCH(B521,Harytlar!$A$5:$A$44,0)),""))</f>
        <v/>
      </c>
      <c r="F521" s="10" t="str">
        <f t="shared" si="8"/>
        <v/>
      </c>
      <c r="G521" s="10" t="str">
        <f>IF(OR(C521="",B521=""),"",IFERROR(C521*INDEX(Harytlar!$D$5:$D$44,MATCH(B521,Harytlar!$A$5:$A$44,0)),""))</f>
        <v/>
      </c>
    </row>
    <row r="522" spans="1:7" x14ac:dyDescent="0.3">
      <c r="A522" s="17"/>
      <c r="B522" s="18"/>
      <c r="C522" s="18"/>
      <c r="D522" s="18"/>
      <c r="E522" s="10" t="str">
        <f>IF(B522="","",IFERROR(INDEX(Harytlar!$C$5:$C$44,MATCH(B522,Harytlar!$A$5:$A$44,0)),""))</f>
        <v/>
      </c>
      <c r="F522" s="10" t="str">
        <f t="shared" si="8"/>
        <v/>
      </c>
      <c r="G522" s="10" t="str">
        <f>IF(OR(C522="",B522=""),"",IFERROR(C522*INDEX(Harytlar!$D$5:$D$44,MATCH(B522,Harytlar!$A$5:$A$44,0)),""))</f>
        <v/>
      </c>
    </row>
    <row r="523" spans="1:7" x14ac:dyDescent="0.3">
      <c r="A523" s="17"/>
      <c r="B523" s="18"/>
      <c r="C523" s="18"/>
      <c r="D523" s="18"/>
      <c r="E523" s="10" t="str">
        <f>IF(B523="","",IFERROR(INDEX(Harytlar!$C$5:$C$44,MATCH(B523,Harytlar!$A$5:$A$44,0)),""))</f>
        <v/>
      </c>
      <c r="F523" s="10" t="str">
        <f t="shared" si="8"/>
        <v/>
      </c>
      <c r="G523" s="10" t="str">
        <f>IF(OR(C523="",B523=""),"",IFERROR(C523*INDEX(Harytlar!$D$5:$D$44,MATCH(B523,Harytlar!$A$5:$A$44,0)),""))</f>
        <v/>
      </c>
    </row>
    <row r="524" spans="1:7" x14ac:dyDescent="0.3">
      <c r="A524" s="17"/>
      <c r="B524" s="18"/>
      <c r="C524" s="18"/>
      <c r="D524" s="18"/>
      <c r="E524" s="10" t="str">
        <f>IF(B524="","",IFERROR(INDEX(Harytlar!$C$5:$C$44,MATCH(B524,Harytlar!$A$5:$A$44,0)),""))</f>
        <v/>
      </c>
      <c r="F524" s="10" t="str">
        <f t="shared" si="8"/>
        <v/>
      </c>
      <c r="G524" s="10" t="str">
        <f>IF(OR(C524="",B524=""),"",IFERROR(C524*INDEX(Harytlar!$D$5:$D$44,MATCH(B524,Harytlar!$A$5:$A$44,0)),""))</f>
        <v/>
      </c>
    </row>
    <row r="525" spans="1:7" x14ac:dyDescent="0.3">
      <c r="A525" s="17"/>
      <c r="B525" s="18"/>
      <c r="C525" s="18"/>
      <c r="D525" s="18"/>
      <c r="E525" s="10" t="str">
        <f>IF(B525="","",IFERROR(INDEX(Harytlar!$C$5:$C$44,MATCH(B525,Harytlar!$A$5:$A$44,0)),""))</f>
        <v/>
      </c>
      <c r="F525" s="10" t="str">
        <f t="shared" si="8"/>
        <v/>
      </c>
      <c r="G525" s="10" t="str">
        <f>IF(OR(C525="",B525=""),"",IFERROR(C525*INDEX(Harytlar!$D$5:$D$44,MATCH(B525,Harytlar!$A$5:$A$44,0)),""))</f>
        <v/>
      </c>
    </row>
    <row r="526" spans="1:7" x14ac:dyDescent="0.3">
      <c r="A526" s="17"/>
      <c r="B526" s="18"/>
      <c r="C526" s="18"/>
      <c r="D526" s="18"/>
      <c r="E526" s="10" t="str">
        <f>IF(B526="","",IFERROR(INDEX(Harytlar!$C$5:$C$44,MATCH(B526,Harytlar!$A$5:$A$44,0)),""))</f>
        <v/>
      </c>
      <c r="F526" s="10" t="str">
        <f t="shared" si="8"/>
        <v/>
      </c>
      <c r="G526" s="10" t="str">
        <f>IF(OR(C526="",B526=""),"",IFERROR(C526*INDEX(Harytlar!$D$5:$D$44,MATCH(B526,Harytlar!$A$5:$A$44,0)),""))</f>
        <v/>
      </c>
    </row>
    <row r="527" spans="1:7" x14ac:dyDescent="0.3">
      <c r="A527" s="17"/>
      <c r="B527" s="18"/>
      <c r="C527" s="18"/>
      <c r="D527" s="18"/>
      <c r="E527" s="10" t="str">
        <f>IF(B527="","",IFERROR(INDEX(Harytlar!$C$5:$C$44,MATCH(B527,Harytlar!$A$5:$A$44,0)),""))</f>
        <v/>
      </c>
      <c r="F527" s="10" t="str">
        <f t="shared" si="8"/>
        <v/>
      </c>
      <c r="G527" s="10" t="str">
        <f>IF(OR(C527="",B527=""),"",IFERROR(C527*INDEX(Harytlar!$D$5:$D$44,MATCH(B527,Harytlar!$A$5:$A$44,0)),""))</f>
        <v/>
      </c>
    </row>
    <row r="528" spans="1:7" x14ac:dyDescent="0.3">
      <c r="A528" s="17"/>
      <c r="B528" s="18"/>
      <c r="C528" s="18"/>
      <c r="D528" s="18"/>
      <c r="E528" s="10" t="str">
        <f>IF(B528="","",IFERROR(INDEX(Harytlar!$C$5:$C$44,MATCH(B528,Harytlar!$A$5:$A$44,0)),""))</f>
        <v/>
      </c>
      <c r="F528" s="10" t="str">
        <f t="shared" si="8"/>
        <v/>
      </c>
      <c r="G528" s="10" t="str">
        <f>IF(OR(C528="",B528=""),"",IFERROR(C528*INDEX(Harytlar!$D$5:$D$44,MATCH(B528,Harytlar!$A$5:$A$44,0)),""))</f>
        <v/>
      </c>
    </row>
    <row r="529" spans="1:7" x14ac:dyDescent="0.3">
      <c r="A529" s="17"/>
      <c r="B529" s="18"/>
      <c r="C529" s="18"/>
      <c r="D529" s="18"/>
      <c r="E529" s="10" t="str">
        <f>IF(B529="","",IFERROR(INDEX(Harytlar!$C$5:$C$44,MATCH(B529,Harytlar!$A$5:$A$44,0)),""))</f>
        <v/>
      </c>
      <c r="F529" s="10" t="str">
        <f t="shared" si="8"/>
        <v/>
      </c>
      <c r="G529" s="10" t="str">
        <f>IF(OR(C529="",B529=""),"",IFERROR(C529*INDEX(Harytlar!$D$5:$D$44,MATCH(B529,Harytlar!$A$5:$A$44,0)),""))</f>
        <v/>
      </c>
    </row>
    <row r="530" spans="1:7" x14ac:dyDescent="0.3">
      <c r="A530" s="17"/>
      <c r="B530" s="18"/>
      <c r="C530" s="18"/>
      <c r="D530" s="18"/>
      <c r="E530" s="10" t="str">
        <f>IF(B530="","",IFERROR(INDEX(Harytlar!$C$5:$C$44,MATCH(B530,Harytlar!$A$5:$A$44,0)),""))</f>
        <v/>
      </c>
      <c r="F530" s="10" t="str">
        <f t="shared" si="8"/>
        <v/>
      </c>
      <c r="G530" s="10" t="str">
        <f>IF(OR(C530="",B530=""),"",IFERROR(C530*INDEX(Harytlar!$D$5:$D$44,MATCH(B530,Harytlar!$A$5:$A$44,0)),""))</f>
        <v/>
      </c>
    </row>
    <row r="531" spans="1:7" x14ac:dyDescent="0.3">
      <c r="A531" s="17"/>
      <c r="B531" s="18"/>
      <c r="C531" s="18"/>
      <c r="D531" s="18"/>
      <c r="E531" s="10" t="str">
        <f>IF(B531="","",IFERROR(INDEX(Harytlar!$C$5:$C$44,MATCH(B531,Harytlar!$A$5:$A$44,0)),""))</f>
        <v/>
      </c>
      <c r="F531" s="10" t="str">
        <f t="shared" si="8"/>
        <v/>
      </c>
      <c r="G531" s="10" t="str">
        <f>IF(OR(C531="",B531=""),"",IFERROR(C531*INDEX(Harytlar!$D$5:$D$44,MATCH(B531,Harytlar!$A$5:$A$44,0)),""))</f>
        <v/>
      </c>
    </row>
    <row r="532" spans="1:7" x14ac:dyDescent="0.3">
      <c r="A532" s="17"/>
      <c r="B532" s="18"/>
      <c r="C532" s="18"/>
      <c r="D532" s="18"/>
      <c r="E532" s="10" t="str">
        <f>IF(B532="","",IFERROR(INDEX(Harytlar!$C$5:$C$44,MATCH(B532,Harytlar!$A$5:$A$44,0)),""))</f>
        <v/>
      </c>
      <c r="F532" s="10" t="str">
        <f t="shared" si="8"/>
        <v/>
      </c>
      <c r="G532" s="10" t="str">
        <f>IF(OR(C532="",B532=""),"",IFERROR(C532*INDEX(Harytlar!$D$5:$D$44,MATCH(B532,Harytlar!$A$5:$A$44,0)),""))</f>
        <v/>
      </c>
    </row>
    <row r="533" spans="1:7" x14ac:dyDescent="0.3">
      <c r="A533" s="17"/>
      <c r="B533" s="18"/>
      <c r="C533" s="18"/>
      <c r="D533" s="18"/>
      <c r="E533" s="10" t="str">
        <f>IF(B533="","",IFERROR(INDEX(Harytlar!$C$5:$C$44,MATCH(B533,Harytlar!$A$5:$A$44,0)),""))</f>
        <v/>
      </c>
      <c r="F533" s="10" t="str">
        <f t="shared" si="8"/>
        <v/>
      </c>
      <c r="G533" s="10" t="str">
        <f>IF(OR(C533="",B533=""),"",IFERROR(C533*INDEX(Harytlar!$D$5:$D$44,MATCH(B533,Harytlar!$A$5:$A$44,0)),""))</f>
        <v/>
      </c>
    </row>
    <row r="534" spans="1:7" x14ac:dyDescent="0.3">
      <c r="A534" s="17"/>
      <c r="B534" s="18"/>
      <c r="C534" s="18"/>
      <c r="D534" s="18"/>
      <c r="E534" s="10" t="str">
        <f>IF(B534="","",IFERROR(INDEX(Harytlar!$C$5:$C$44,MATCH(B534,Harytlar!$A$5:$A$44,0)),""))</f>
        <v/>
      </c>
      <c r="F534" s="10" t="str">
        <f t="shared" si="8"/>
        <v/>
      </c>
      <c r="G534" s="10" t="str">
        <f>IF(OR(C534="",B534=""),"",IFERROR(C534*INDEX(Harytlar!$D$5:$D$44,MATCH(B534,Harytlar!$A$5:$A$44,0)),""))</f>
        <v/>
      </c>
    </row>
    <row r="535" spans="1:7" x14ac:dyDescent="0.3">
      <c r="A535" s="17"/>
      <c r="B535" s="18"/>
      <c r="C535" s="18"/>
      <c r="D535" s="18"/>
      <c r="E535" s="10" t="str">
        <f>IF(B535="","",IFERROR(INDEX(Harytlar!$C$5:$C$44,MATCH(B535,Harytlar!$A$5:$A$44,0)),""))</f>
        <v/>
      </c>
      <c r="F535" s="10" t="str">
        <f t="shared" si="8"/>
        <v/>
      </c>
      <c r="G535" s="10" t="str">
        <f>IF(OR(C535="",B535=""),"",IFERROR(C535*INDEX(Harytlar!$D$5:$D$44,MATCH(B535,Harytlar!$A$5:$A$44,0)),""))</f>
        <v/>
      </c>
    </row>
    <row r="536" spans="1:7" x14ac:dyDescent="0.3">
      <c r="A536" s="17"/>
      <c r="B536" s="18"/>
      <c r="C536" s="18"/>
      <c r="D536" s="18"/>
      <c r="E536" s="10" t="str">
        <f>IF(B536="","",IFERROR(INDEX(Harytlar!$C$5:$C$44,MATCH(B536,Harytlar!$A$5:$A$44,0)),""))</f>
        <v/>
      </c>
      <c r="F536" s="10" t="str">
        <f t="shared" si="8"/>
        <v/>
      </c>
      <c r="G536" s="10" t="str">
        <f>IF(OR(C536="",B536=""),"",IFERROR(C536*INDEX(Harytlar!$D$5:$D$44,MATCH(B536,Harytlar!$A$5:$A$44,0)),""))</f>
        <v/>
      </c>
    </row>
    <row r="537" spans="1:7" x14ac:dyDescent="0.3">
      <c r="A537" s="17"/>
      <c r="B537" s="18"/>
      <c r="C537" s="18"/>
      <c r="D537" s="18"/>
      <c r="E537" s="10" t="str">
        <f>IF(B537="","",IFERROR(INDEX(Harytlar!$C$5:$C$44,MATCH(B537,Harytlar!$A$5:$A$44,0)),""))</f>
        <v/>
      </c>
      <c r="F537" s="10" t="str">
        <f t="shared" si="8"/>
        <v/>
      </c>
      <c r="G537" s="10" t="str">
        <f>IF(OR(C537="",B537=""),"",IFERROR(C537*INDEX(Harytlar!$D$5:$D$44,MATCH(B537,Harytlar!$A$5:$A$44,0)),""))</f>
        <v/>
      </c>
    </row>
    <row r="538" spans="1:7" x14ac:dyDescent="0.3">
      <c r="A538" s="17"/>
      <c r="B538" s="18"/>
      <c r="C538" s="18"/>
      <c r="D538" s="18"/>
      <c r="E538" s="10" t="str">
        <f>IF(B538="","",IFERROR(INDEX(Harytlar!$C$5:$C$44,MATCH(B538,Harytlar!$A$5:$A$44,0)),""))</f>
        <v/>
      </c>
      <c r="F538" s="10" t="str">
        <f t="shared" si="8"/>
        <v/>
      </c>
      <c r="G538" s="10" t="str">
        <f>IF(OR(C538="",B538=""),"",IFERROR(C538*INDEX(Harytlar!$D$5:$D$44,MATCH(B538,Harytlar!$A$5:$A$44,0)),""))</f>
        <v/>
      </c>
    </row>
    <row r="539" spans="1:7" x14ac:dyDescent="0.3">
      <c r="A539" s="17"/>
      <c r="B539" s="18"/>
      <c r="C539" s="18"/>
      <c r="D539" s="18"/>
      <c r="E539" s="10" t="str">
        <f>IF(B539="","",IFERROR(INDEX(Harytlar!$C$5:$C$44,MATCH(B539,Harytlar!$A$5:$A$44,0)),""))</f>
        <v/>
      </c>
      <c r="F539" s="10" t="str">
        <f t="shared" si="8"/>
        <v/>
      </c>
      <c r="G539" s="10" t="str">
        <f>IF(OR(C539="",B539=""),"",IFERROR(C539*INDEX(Harytlar!$D$5:$D$44,MATCH(B539,Harytlar!$A$5:$A$44,0)),""))</f>
        <v/>
      </c>
    </row>
    <row r="540" spans="1:7" x14ac:dyDescent="0.3">
      <c r="A540" s="17"/>
      <c r="B540" s="18"/>
      <c r="C540" s="18"/>
      <c r="D540" s="18"/>
      <c r="E540" s="10" t="str">
        <f>IF(B540="","",IFERROR(INDEX(Harytlar!$C$5:$C$44,MATCH(B540,Harytlar!$A$5:$A$44,0)),""))</f>
        <v/>
      </c>
      <c r="F540" s="10" t="str">
        <f t="shared" si="8"/>
        <v/>
      </c>
      <c r="G540" s="10" t="str">
        <f>IF(OR(C540="",B540=""),"",IFERROR(C540*INDEX(Harytlar!$D$5:$D$44,MATCH(B540,Harytlar!$A$5:$A$44,0)),""))</f>
        <v/>
      </c>
    </row>
    <row r="541" spans="1:7" x14ac:dyDescent="0.3">
      <c r="A541" s="17"/>
      <c r="B541" s="18"/>
      <c r="C541" s="18"/>
      <c r="D541" s="18"/>
      <c r="E541" s="10" t="str">
        <f>IF(B541="","",IFERROR(INDEX(Harytlar!$C$5:$C$44,MATCH(B541,Harytlar!$A$5:$A$44,0)),""))</f>
        <v/>
      </c>
      <c r="F541" s="10" t="str">
        <f t="shared" si="8"/>
        <v/>
      </c>
      <c r="G541" s="10" t="str">
        <f>IF(OR(C541="",B541=""),"",IFERROR(C541*INDEX(Harytlar!$D$5:$D$44,MATCH(B541,Harytlar!$A$5:$A$44,0)),""))</f>
        <v/>
      </c>
    </row>
    <row r="542" spans="1:7" x14ac:dyDescent="0.3">
      <c r="A542" s="17"/>
      <c r="B542" s="18"/>
      <c r="C542" s="18"/>
      <c r="D542" s="18"/>
      <c r="E542" s="10" t="str">
        <f>IF(B542="","",IFERROR(INDEX(Harytlar!$C$5:$C$44,MATCH(B542,Harytlar!$A$5:$A$44,0)),""))</f>
        <v/>
      </c>
      <c r="F542" s="10" t="str">
        <f t="shared" si="8"/>
        <v/>
      </c>
      <c r="G542" s="10" t="str">
        <f>IF(OR(C542="",B542=""),"",IFERROR(C542*INDEX(Harytlar!$D$5:$D$44,MATCH(B542,Harytlar!$A$5:$A$44,0)),""))</f>
        <v/>
      </c>
    </row>
    <row r="543" spans="1:7" x14ac:dyDescent="0.3">
      <c r="A543" s="17"/>
      <c r="B543" s="18"/>
      <c r="C543" s="18"/>
      <c r="D543" s="18"/>
      <c r="E543" s="10" t="str">
        <f>IF(B543="","",IFERROR(INDEX(Harytlar!$C$5:$C$44,MATCH(B543,Harytlar!$A$5:$A$44,0)),""))</f>
        <v/>
      </c>
      <c r="F543" s="10" t="str">
        <f t="shared" si="8"/>
        <v/>
      </c>
      <c r="G543" s="10" t="str">
        <f>IF(OR(C543="",B543=""),"",IFERROR(C543*INDEX(Harytlar!$D$5:$D$44,MATCH(B543,Harytlar!$A$5:$A$44,0)),""))</f>
        <v/>
      </c>
    </row>
    <row r="544" spans="1:7" x14ac:dyDescent="0.3">
      <c r="A544" s="17"/>
      <c r="B544" s="18"/>
      <c r="C544" s="18"/>
      <c r="D544" s="18"/>
      <c r="E544" s="10" t="str">
        <f>IF(B544="","",IFERROR(INDEX(Harytlar!$C$5:$C$44,MATCH(B544,Harytlar!$A$5:$A$44,0)),""))</f>
        <v/>
      </c>
      <c r="F544" s="10" t="str">
        <f t="shared" si="8"/>
        <v/>
      </c>
      <c r="G544" s="10" t="str">
        <f>IF(OR(C544="",B544=""),"",IFERROR(C544*INDEX(Harytlar!$D$5:$D$44,MATCH(B544,Harytlar!$A$5:$A$44,0)),""))</f>
        <v/>
      </c>
    </row>
    <row r="545" spans="1:7" x14ac:dyDescent="0.3">
      <c r="A545" s="17"/>
      <c r="B545" s="18"/>
      <c r="C545" s="18"/>
      <c r="D545" s="18"/>
      <c r="E545" s="10" t="str">
        <f>IF(B545="","",IFERROR(INDEX(Harytlar!$C$5:$C$44,MATCH(B545,Harytlar!$A$5:$A$44,0)),""))</f>
        <v/>
      </c>
      <c r="F545" s="10" t="str">
        <f t="shared" si="8"/>
        <v/>
      </c>
      <c r="G545" s="10" t="str">
        <f>IF(OR(C545="",B545=""),"",IFERROR(C545*INDEX(Harytlar!$D$5:$D$44,MATCH(B545,Harytlar!$A$5:$A$44,0)),""))</f>
        <v/>
      </c>
    </row>
    <row r="546" spans="1:7" x14ac:dyDescent="0.3">
      <c r="A546" s="17"/>
      <c r="B546" s="18"/>
      <c r="C546" s="18"/>
      <c r="D546" s="18"/>
      <c r="E546" s="10" t="str">
        <f>IF(B546="","",IFERROR(INDEX(Harytlar!$C$5:$C$44,MATCH(B546,Harytlar!$A$5:$A$44,0)),""))</f>
        <v/>
      </c>
      <c r="F546" s="10" t="str">
        <f t="shared" si="8"/>
        <v/>
      </c>
      <c r="G546" s="10" t="str">
        <f>IF(OR(C546="",B546=""),"",IFERROR(C546*INDEX(Harytlar!$D$5:$D$44,MATCH(B546,Harytlar!$A$5:$A$44,0)),""))</f>
        <v/>
      </c>
    </row>
    <row r="547" spans="1:7" x14ac:dyDescent="0.3">
      <c r="A547" s="17"/>
      <c r="B547" s="18"/>
      <c r="C547" s="18"/>
      <c r="D547" s="18"/>
      <c r="E547" s="10" t="str">
        <f>IF(B547="","",IFERROR(INDEX(Harytlar!$C$5:$C$44,MATCH(B547,Harytlar!$A$5:$A$44,0)),""))</f>
        <v/>
      </c>
      <c r="F547" s="10" t="str">
        <f t="shared" si="8"/>
        <v/>
      </c>
      <c r="G547" s="10" t="str">
        <f>IF(OR(C547="",B547=""),"",IFERROR(C547*INDEX(Harytlar!$D$5:$D$44,MATCH(B547,Harytlar!$A$5:$A$44,0)),""))</f>
        <v/>
      </c>
    </row>
    <row r="548" spans="1:7" x14ac:dyDescent="0.3">
      <c r="A548" s="17"/>
      <c r="B548" s="18"/>
      <c r="C548" s="18"/>
      <c r="D548" s="18"/>
      <c r="E548" s="10" t="str">
        <f>IF(B548="","",IFERROR(INDEX(Harytlar!$C$5:$C$44,MATCH(B548,Harytlar!$A$5:$A$44,0)),""))</f>
        <v/>
      </c>
      <c r="F548" s="10" t="str">
        <f t="shared" si="8"/>
        <v/>
      </c>
      <c r="G548" s="10" t="str">
        <f>IF(OR(C548="",B548=""),"",IFERROR(C548*INDEX(Harytlar!$D$5:$D$44,MATCH(B548,Harytlar!$A$5:$A$44,0)),""))</f>
        <v/>
      </c>
    </row>
    <row r="549" spans="1:7" x14ac:dyDescent="0.3">
      <c r="A549" s="17"/>
      <c r="B549" s="18"/>
      <c r="C549" s="18"/>
      <c r="D549" s="18"/>
      <c r="E549" s="10" t="str">
        <f>IF(B549="","",IFERROR(INDEX(Harytlar!$C$5:$C$44,MATCH(B549,Harytlar!$A$5:$A$44,0)),""))</f>
        <v/>
      </c>
      <c r="F549" s="10" t="str">
        <f t="shared" si="8"/>
        <v/>
      </c>
      <c r="G549" s="10" t="str">
        <f>IF(OR(C549="",B549=""),"",IFERROR(C549*INDEX(Harytlar!$D$5:$D$44,MATCH(B549,Harytlar!$A$5:$A$44,0)),""))</f>
        <v/>
      </c>
    </row>
    <row r="550" spans="1:7" x14ac:dyDescent="0.3">
      <c r="A550" s="17"/>
      <c r="B550" s="18"/>
      <c r="C550" s="18"/>
      <c r="D550" s="18"/>
      <c r="E550" s="10" t="str">
        <f>IF(B550="","",IFERROR(INDEX(Harytlar!$C$5:$C$44,MATCH(B550,Harytlar!$A$5:$A$44,0)),""))</f>
        <v/>
      </c>
      <c r="F550" s="10" t="str">
        <f t="shared" si="8"/>
        <v/>
      </c>
      <c r="G550" s="10" t="str">
        <f>IF(OR(C550="",B550=""),"",IFERROR(C550*INDEX(Harytlar!$D$5:$D$44,MATCH(B550,Harytlar!$A$5:$A$44,0)),""))</f>
        <v/>
      </c>
    </row>
    <row r="551" spans="1:7" x14ac:dyDescent="0.3">
      <c r="A551" s="17"/>
      <c r="B551" s="18"/>
      <c r="C551" s="18"/>
      <c r="D551" s="18"/>
      <c r="E551" s="10" t="str">
        <f>IF(B551="","",IFERROR(INDEX(Harytlar!$C$5:$C$44,MATCH(B551,Harytlar!$A$5:$A$44,0)),""))</f>
        <v/>
      </c>
      <c r="F551" s="10" t="str">
        <f t="shared" si="8"/>
        <v/>
      </c>
      <c r="G551" s="10" t="str">
        <f>IF(OR(C551="",B551=""),"",IFERROR(C551*INDEX(Harytlar!$D$5:$D$44,MATCH(B551,Harytlar!$A$5:$A$44,0)),""))</f>
        <v/>
      </c>
    </row>
    <row r="552" spans="1:7" x14ac:dyDescent="0.3">
      <c r="A552" s="17"/>
      <c r="B552" s="18"/>
      <c r="C552" s="18"/>
      <c r="D552" s="18"/>
      <c r="E552" s="10" t="str">
        <f>IF(B552="","",IFERROR(INDEX(Harytlar!$C$5:$C$44,MATCH(B552,Harytlar!$A$5:$A$44,0)),""))</f>
        <v/>
      </c>
      <c r="F552" s="10" t="str">
        <f t="shared" si="8"/>
        <v/>
      </c>
      <c r="G552" s="10" t="str">
        <f>IF(OR(C552="",B552=""),"",IFERROR(C552*INDEX(Harytlar!$D$5:$D$44,MATCH(B552,Harytlar!$A$5:$A$44,0)),""))</f>
        <v/>
      </c>
    </row>
    <row r="553" spans="1:7" x14ac:dyDescent="0.3">
      <c r="A553" s="17"/>
      <c r="B553" s="18"/>
      <c r="C553" s="18"/>
      <c r="D553" s="18"/>
      <c r="E553" s="10" t="str">
        <f>IF(B553="","",IFERROR(INDEX(Harytlar!$C$5:$C$44,MATCH(B553,Harytlar!$A$5:$A$44,0)),""))</f>
        <v/>
      </c>
      <c r="F553" s="10" t="str">
        <f t="shared" si="8"/>
        <v/>
      </c>
      <c r="G553" s="10" t="str">
        <f>IF(OR(C553="",B553=""),"",IFERROR(C553*INDEX(Harytlar!$D$5:$D$44,MATCH(B553,Harytlar!$A$5:$A$44,0)),""))</f>
        <v/>
      </c>
    </row>
    <row r="554" spans="1:7" x14ac:dyDescent="0.3">
      <c r="A554" s="17"/>
      <c r="B554" s="18"/>
      <c r="C554" s="18"/>
      <c r="D554" s="18"/>
      <c r="E554" s="10" t="str">
        <f>IF(B554="","",IFERROR(INDEX(Harytlar!$C$5:$C$44,MATCH(B554,Harytlar!$A$5:$A$44,0)),""))</f>
        <v/>
      </c>
      <c r="F554" s="10" t="str">
        <f t="shared" si="8"/>
        <v/>
      </c>
      <c r="G554" s="10" t="str">
        <f>IF(OR(C554="",B554=""),"",IFERROR(C554*INDEX(Harytlar!$D$5:$D$44,MATCH(B554,Harytlar!$A$5:$A$44,0)),""))</f>
        <v/>
      </c>
    </row>
    <row r="555" spans="1:7" x14ac:dyDescent="0.3">
      <c r="A555" s="17"/>
      <c r="B555" s="18"/>
      <c r="C555" s="18"/>
      <c r="D555" s="18"/>
      <c r="E555" s="10" t="str">
        <f>IF(B555="","",IFERROR(INDEX(Harytlar!$C$5:$C$44,MATCH(B555,Harytlar!$A$5:$A$44,0)),""))</f>
        <v/>
      </c>
      <c r="F555" s="10" t="str">
        <f t="shared" si="8"/>
        <v/>
      </c>
      <c r="G555" s="10" t="str">
        <f>IF(OR(C555="",B555=""),"",IFERROR(C555*INDEX(Harytlar!$D$5:$D$44,MATCH(B555,Harytlar!$A$5:$A$44,0)),""))</f>
        <v/>
      </c>
    </row>
    <row r="556" spans="1:7" x14ac:dyDescent="0.3">
      <c r="A556" s="17"/>
      <c r="B556" s="18"/>
      <c r="C556" s="18"/>
      <c r="D556" s="18"/>
      <c r="E556" s="10" t="str">
        <f>IF(B556="","",IFERROR(INDEX(Harytlar!$C$5:$C$44,MATCH(B556,Harytlar!$A$5:$A$44,0)),""))</f>
        <v/>
      </c>
      <c r="F556" s="10" t="str">
        <f t="shared" si="8"/>
        <v/>
      </c>
      <c r="G556" s="10" t="str">
        <f>IF(OR(C556="",B556=""),"",IFERROR(C556*INDEX(Harytlar!$D$5:$D$44,MATCH(B556,Harytlar!$A$5:$A$44,0)),""))</f>
        <v/>
      </c>
    </row>
    <row r="557" spans="1:7" x14ac:dyDescent="0.3">
      <c r="A557" s="17"/>
      <c r="B557" s="18"/>
      <c r="C557" s="18"/>
      <c r="D557" s="18"/>
      <c r="E557" s="10" t="str">
        <f>IF(B557="","",IFERROR(INDEX(Harytlar!$C$5:$C$44,MATCH(B557,Harytlar!$A$5:$A$44,0)),""))</f>
        <v/>
      </c>
      <c r="F557" s="10" t="str">
        <f t="shared" si="8"/>
        <v/>
      </c>
      <c r="G557" s="10" t="str">
        <f>IF(OR(C557="",B557=""),"",IFERROR(C557*INDEX(Harytlar!$D$5:$D$44,MATCH(B557,Harytlar!$A$5:$A$44,0)),""))</f>
        <v/>
      </c>
    </row>
    <row r="558" spans="1:7" x14ac:dyDescent="0.3">
      <c r="A558" s="17"/>
      <c r="B558" s="18"/>
      <c r="C558" s="18"/>
      <c r="D558" s="18"/>
      <c r="E558" s="10" t="str">
        <f>IF(B558="","",IFERROR(INDEX(Harytlar!$C$5:$C$44,MATCH(B558,Harytlar!$A$5:$A$44,0)),""))</f>
        <v/>
      </c>
      <c r="F558" s="10" t="str">
        <f t="shared" si="8"/>
        <v/>
      </c>
      <c r="G558" s="10" t="str">
        <f>IF(OR(C558="",B558=""),"",IFERROR(C558*INDEX(Harytlar!$D$5:$D$44,MATCH(B558,Harytlar!$A$5:$A$44,0)),""))</f>
        <v/>
      </c>
    </row>
    <row r="559" spans="1:7" x14ac:dyDescent="0.3">
      <c r="A559" s="17"/>
      <c r="B559" s="18"/>
      <c r="C559" s="18"/>
      <c r="D559" s="18"/>
      <c r="E559" s="10" t="str">
        <f>IF(B559="","",IFERROR(INDEX(Harytlar!$C$5:$C$44,MATCH(B559,Harytlar!$A$5:$A$44,0)),""))</f>
        <v/>
      </c>
      <c r="F559" s="10" t="str">
        <f t="shared" si="8"/>
        <v/>
      </c>
      <c r="G559" s="10" t="str">
        <f>IF(OR(C559="",B559=""),"",IFERROR(C559*INDEX(Harytlar!$D$5:$D$44,MATCH(B559,Harytlar!$A$5:$A$44,0)),""))</f>
        <v/>
      </c>
    </row>
    <row r="560" spans="1:7" x14ac:dyDescent="0.3">
      <c r="A560" s="17"/>
      <c r="B560" s="18"/>
      <c r="C560" s="18"/>
      <c r="D560" s="18"/>
      <c r="E560" s="10" t="str">
        <f>IF(B560="","",IFERROR(INDEX(Harytlar!$C$5:$C$44,MATCH(B560,Harytlar!$A$5:$A$44,0)),""))</f>
        <v/>
      </c>
      <c r="F560" s="10" t="str">
        <f t="shared" si="8"/>
        <v/>
      </c>
      <c r="G560" s="10" t="str">
        <f>IF(OR(C560="",B560=""),"",IFERROR(C560*INDEX(Harytlar!$D$5:$D$44,MATCH(B560,Harytlar!$A$5:$A$44,0)),""))</f>
        <v/>
      </c>
    </row>
    <row r="561" spans="1:7" x14ac:dyDescent="0.3">
      <c r="A561" s="17"/>
      <c r="B561" s="18"/>
      <c r="C561" s="18"/>
      <c r="D561" s="18"/>
      <c r="E561" s="10" t="str">
        <f>IF(B561="","",IFERROR(INDEX(Harytlar!$C$5:$C$44,MATCH(B561,Harytlar!$A$5:$A$44,0)),""))</f>
        <v/>
      </c>
      <c r="F561" s="10" t="str">
        <f t="shared" si="8"/>
        <v/>
      </c>
      <c r="G561" s="10" t="str">
        <f>IF(OR(C561="",B561=""),"",IFERROR(C561*INDEX(Harytlar!$D$5:$D$44,MATCH(B561,Harytlar!$A$5:$A$44,0)),""))</f>
        <v/>
      </c>
    </row>
    <row r="562" spans="1:7" x14ac:dyDescent="0.3">
      <c r="A562" s="17"/>
      <c r="B562" s="18"/>
      <c r="C562" s="18"/>
      <c r="D562" s="18"/>
      <c r="E562" s="10" t="str">
        <f>IF(B562="","",IFERROR(INDEX(Harytlar!$C$5:$C$44,MATCH(B562,Harytlar!$A$5:$A$44,0)),""))</f>
        <v/>
      </c>
      <c r="F562" s="10" t="str">
        <f t="shared" si="8"/>
        <v/>
      </c>
      <c r="G562" s="10" t="str">
        <f>IF(OR(C562="",B562=""),"",IFERROR(C562*INDEX(Harytlar!$D$5:$D$44,MATCH(B562,Harytlar!$A$5:$A$44,0)),""))</f>
        <v/>
      </c>
    </row>
    <row r="563" spans="1:7" x14ac:dyDescent="0.3">
      <c r="A563" s="17"/>
      <c r="B563" s="18"/>
      <c r="C563" s="18"/>
      <c r="D563" s="18"/>
      <c r="E563" s="10" t="str">
        <f>IF(B563="","",IFERROR(INDEX(Harytlar!$C$5:$C$44,MATCH(B563,Harytlar!$A$5:$A$44,0)),""))</f>
        <v/>
      </c>
      <c r="F563" s="10" t="str">
        <f t="shared" si="8"/>
        <v/>
      </c>
      <c r="G563" s="10" t="str">
        <f>IF(OR(C563="",B563=""),"",IFERROR(C563*INDEX(Harytlar!$D$5:$D$44,MATCH(B563,Harytlar!$A$5:$A$44,0)),""))</f>
        <v/>
      </c>
    </row>
    <row r="564" spans="1:7" x14ac:dyDescent="0.3">
      <c r="A564" s="17"/>
      <c r="B564" s="18"/>
      <c r="C564" s="18"/>
      <c r="D564" s="18"/>
      <c r="E564" s="10" t="str">
        <f>IF(B564="","",IFERROR(INDEX(Harytlar!$C$5:$C$44,MATCH(B564,Harytlar!$A$5:$A$44,0)),""))</f>
        <v/>
      </c>
      <c r="F564" s="10" t="str">
        <f t="shared" si="8"/>
        <v/>
      </c>
      <c r="G564" s="10" t="str">
        <f>IF(OR(C564="",B564=""),"",IFERROR(C564*INDEX(Harytlar!$D$5:$D$44,MATCH(B564,Harytlar!$A$5:$A$44,0)),""))</f>
        <v/>
      </c>
    </row>
    <row r="565" spans="1:7" x14ac:dyDescent="0.3">
      <c r="A565" s="17"/>
      <c r="B565" s="18"/>
      <c r="C565" s="18"/>
      <c r="D565" s="18"/>
      <c r="E565" s="10" t="str">
        <f>IF(B565="","",IFERROR(INDEX(Harytlar!$C$5:$C$44,MATCH(B565,Harytlar!$A$5:$A$44,0)),""))</f>
        <v/>
      </c>
      <c r="F565" s="10" t="str">
        <f t="shared" si="8"/>
        <v/>
      </c>
      <c r="G565" s="10" t="str">
        <f>IF(OR(C565="",B565=""),"",IFERROR(C565*INDEX(Harytlar!$D$5:$D$44,MATCH(B565,Harytlar!$A$5:$A$44,0)),""))</f>
        <v/>
      </c>
    </row>
    <row r="566" spans="1:7" x14ac:dyDescent="0.3">
      <c r="A566" s="17"/>
      <c r="B566" s="18"/>
      <c r="C566" s="18"/>
      <c r="D566" s="18"/>
      <c r="E566" s="10" t="str">
        <f>IF(B566="","",IFERROR(INDEX(Harytlar!$C$5:$C$44,MATCH(B566,Harytlar!$A$5:$A$44,0)),""))</f>
        <v/>
      </c>
      <c r="F566" s="10" t="str">
        <f t="shared" si="8"/>
        <v/>
      </c>
      <c r="G566" s="10" t="str">
        <f>IF(OR(C566="",B566=""),"",IFERROR(C566*INDEX(Harytlar!$D$5:$D$44,MATCH(B566,Harytlar!$A$5:$A$44,0)),""))</f>
        <v/>
      </c>
    </row>
    <row r="567" spans="1:7" x14ac:dyDescent="0.3">
      <c r="A567" s="17"/>
      <c r="B567" s="18"/>
      <c r="C567" s="18"/>
      <c r="D567" s="18"/>
      <c r="E567" s="10" t="str">
        <f>IF(B567="","",IFERROR(INDEX(Harytlar!$C$5:$C$44,MATCH(B567,Harytlar!$A$5:$A$44,0)),""))</f>
        <v/>
      </c>
      <c r="F567" s="10" t="str">
        <f t="shared" si="8"/>
        <v/>
      </c>
      <c r="G567" s="10" t="str">
        <f>IF(OR(C567="",B567=""),"",IFERROR(C567*INDEX(Harytlar!$D$5:$D$44,MATCH(B567,Harytlar!$A$5:$A$44,0)),""))</f>
        <v/>
      </c>
    </row>
    <row r="568" spans="1:7" x14ac:dyDescent="0.3">
      <c r="A568" s="17"/>
      <c r="B568" s="18"/>
      <c r="C568" s="18"/>
      <c r="D568" s="18"/>
      <c r="E568" s="10" t="str">
        <f>IF(B568="","",IFERROR(INDEX(Harytlar!$C$5:$C$44,MATCH(B568,Harytlar!$A$5:$A$44,0)),""))</f>
        <v/>
      </c>
      <c r="F568" s="10" t="str">
        <f t="shared" si="8"/>
        <v/>
      </c>
      <c r="G568" s="10" t="str">
        <f>IF(OR(C568="",B568=""),"",IFERROR(C568*INDEX(Harytlar!$D$5:$D$44,MATCH(B568,Harytlar!$A$5:$A$44,0)),""))</f>
        <v/>
      </c>
    </row>
    <row r="569" spans="1:7" x14ac:dyDescent="0.3">
      <c r="A569" s="17"/>
      <c r="B569" s="18"/>
      <c r="C569" s="18"/>
      <c r="D569" s="18"/>
      <c r="E569" s="10" t="str">
        <f>IF(B569="","",IFERROR(INDEX(Harytlar!$C$5:$C$44,MATCH(B569,Harytlar!$A$5:$A$44,0)),""))</f>
        <v/>
      </c>
      <c r="F569" s="10" t="str">
        <f t="shared" si="8"/>
        <v/>
      </c>
      <c r="G569" s="10" t="str">
        <f>IF(OR(C569="",B569=""),"",IFERROR(C569*INDEX(Harytlar!$D$5:$D$44,MATCH(B569,Harytlar!$A$5:$A$44,0)),""))</f>
        <v/>
      </c>
    </row>
    <row r="570" spans="1:7" x14ac:dyDescent="0.3">
      <c r="A570" s="17"/>
      <c r="B570" s="18"/>
      <c r="C570" s="18"/>
      <c r="D570" s="18"/>
      <c r="E570" s="10" t="str">
        <f>IF(B570="","",IFERROR(INDEX(Harytlar!$C$5:$C$44,MATCH(B570,Harytlar!$A$5:$A$44,0)),""))</f>
        <v/>
      </c>
      <c r="F570" s="10" t="str">
        <f t="shared" si="8"/>
        <v/>
      </c>
      <c r="G570" s="10" t="str">
        <f>IF(OR(C570="",B570=""),"",IFERROR(C570*INDEX(Harytlar!$D$5:$D$44,MATCH(B570,Harytlar!$A$5:$A$44,0)),""))</f>
        <v/>
      </c>
    </row>
    <row r="571" spans="1:7" x14ac:dyDescent="0.3">
      <c r="A571" s="17"/>
      <c r="B571" s="18"/>
      <c r="C571" s="18"/>
      <c r="D571" s="18"/>
      <c r="E571" s="10" t="str">
        <f>IF(B571="","",IFERROR(INDEX(Harytlar!$C$5:$C$44,MATCH(B571,Harytlar!$A$5:$A$44,0)),""))</f>
        <v/>
      </c>
      <c r="F571" s="10" t="str">
        <f t="shared" si="8"/>
        <v/>
      </c>
      <c r="G571" s="10" t="str">
        <f>IF(OR(C571="",B571=""),"",IFERROR(C571*INDEX(Harytlar!$D$5:$D$44,MATCH(B571,Harytlar!$A$5:$A$44,0)),""))</f>
        <v/>
      </c>
    </row>
    <row r="572" spans="1:7" x14ac:dyDescent="0.3">
      <c r="A572" s="17"/>
      <c r="B572" s="18"/>
      <c r="C572" s="18"/>
      <c r="D572" s="18"/>
      <c r="E572" s="10" t="str">
        <f>IF(B572="","",IFERROR(INDEX(Harytlar!$C$5:$C$44,MATCH(B572,Harytlar!$A$5:$A$44,0)),""))</f>
        <v/>
      </c>
      <c r="F572" s="10" t="str">
        <f t="shared" si="8"/>
        <v/>
      </c>
      <c r="G572" s="10" t="str">
        <f>IF(OR(C572="",B572=""),"",IFERROR(C572*INDEX(Harytlar!$D$5:$D$44,MATCH(B572,Harytlar!$A$5:$A$44,0)),""))</f>
        <v/>
      </c>
    </row>
    <row r="573" spans="1:7" x14ac:dyDescent="0.3">
      <c r="A573" s="17"/>
      <c r="B573" s="18"/>
      <c r="C573" s="18"/>
      <c r="D573" s="18"/>
      <c r="E573" s="10" t="str">
        <f>IF(B573="","",IFERROR(INDEX(Harytlar!$C$5:$C$44,MATCH(B573,Harytlar!$A$5:$A$44,0)),""))</f>
        <v/>
      </c>
      <c r="F573" s="10" t="str">
        <f t="shared" si="8"/>
        <v/>
      </c>
      <c r="G573" s="10" t="str">
        <f>IF(OR(C573="",B573=""),"",IFERROR(C573*INDEX(Harytlar!$D$5:$D$44,MATCH(B573,Harytlar!$A$5:$A$44,0)),""))</f>
        <v/>
      </c>
    </row>
    <row r="574" spans="1:7" x14ac:dyDescent="0.3">
      <c r="A574" s="17"/>
      <c r="B574" s="18"/>
      <c r="C574" s="18"/>
      <c r="D574" s="18"/>
      <c r="E574" s="10" t="str">
        <f>IF(B574="","",IFERROR(INDEX(Harytlar!$C$5:$C$44,MATCH(B574,Harytlar!$A$5:$A$44,0)),""))</f>
        <v/>
      </c>
      <c r="F574" s="10" t="str">
        <f t="shared" si="8"/>
        <v/>
      </c>
      <c r="G574" s="10" t="str">
        <f>IF(OR(C574="",B574=""),"",IFERROR(C574*INDEX(Harytlar!$D$5:$D$44,MATCH(B574,Harytlar!$A$5:$A$44,0)),""))</f>
        <v/>
      </c>
    </row>
    <row r="575" spans="1:7" x14ac:dyDescent="0.3">
      <c r="A575" s="17"/>
      <c r="B575" s="18"/>
      <c r="C575" s="18"/>
      <c r="D575" s="18"/>
      <c r="E575" s="10" t="str">
        <f>IF(B575="","",IFERROR(INDEX(Harytlar!$C$5:$C$44,MATCH(B575,Harytlar!$A$5:$A$44,0)),""))</f>
        <v/>
      </c>
      <c r="F575" s="10" t="str">
        <f t="shared" si="8"/>
        <v/>
      </c>
      <c r="G575" s="10" t="str">
        <f>IF(OR(C575="",B575=""),"",IFERROR(C575*INDEX(Harytlar!$D$5:$D$44,MATCH(B575,Harytlar!$A$5:$A$44,0)),""))</f>
        <v/>
      </c>
    </row>
    <row r="576" spans="1:7" x14ac:dyDescent="0.3">
      <c r="A576" s="17"/>
      <c r="B576" s="18"/>
      <c r="C576" s="18"/>
      <c r="D576" s="18"/>
      <c r="E576" s="10" t="str">
        <f>IF(B576="","",IFERROR(INDEX(Harytlar!$C$5:$C$44,MATCH(B576,Harytlar!$A$5:$A$44,0)),""))</f>
        <v/>
      </c>
      <c r="F576" s="10" t="str">
        <f t="shared" si="8"/>
        <v/>
      </c>
      <c r="G576" s="10" t="str">
        <f>IF(OR(C576="",B576=""),"",IFERROR(C576*INDEX(Harytlar!$D$5:$D$44,MATCH(B576,Harytlar!$A$5:$A$44,0)),""))</f>
        <v/>
      </c>
    </row>
    <row r="577" spans="1:7" x14ac:dyDescent="0.3">
      <c r="A577" s="17"/>
      <c r="B577" s="18"/>
      <c r="C577" s="18"/>
      <c r="D577" s="18"/>
      <c r="E577" s="10" t="str">
        <f>IF(B577="","",IFERROR(INDEX(Harytlar!$C$5:$C$44,MATCH(B577,Harytlar!$A$5:$A$44,0)),""))</f>
        <v/>
      </c>
      <c r="F577" s="10" t="str">
        <f t="shared" si="8"/>
        <v/>
      </c>
      <c r="G577" s="10" t="str">
        <f>IF(OR(C577="",B577=""),"",IFERROR(C577*INDEX(Harytlar!$D$5:$D$44,MATCH(B577,Harytlar!$A$5:$A$44,0)),""))</f>
        <v/>
      </c>
    </row>
    <row r="578" spans="1:7" x14ac:dyDescent="0.3">
      <c r="A578" s="17"/>
      <c r="B578" s="18"/>
      <c r="C578" s="18"/>
      <c r="D578" s="18"/>
      <c r="E578" s="10" t="str">
        <f>IF(B578="","",IFERROR(INDEX(Harytlar!$C$5:$C$44,MATCH(B578,Harytlar!$A$5:$A$44,0)),""))</f>
        <v/>
      </c>
      <c r="F578" s="10" t="str">
        <f t="shared" si="8"/>
        <v/>
      </c>
      <c r="G578" s="10" t="str">
        <f>IF(OR(C578="",B578=""),"",IFERROR(C578*INDEX(Harytlar!$D$5:$D$44,MATCH(B578,Harytlar!$A$5:$A$44,0)),""))</f>
        <v/>
      </c>
    </row>
    <row r="579" spans="1:7" x14ac:dyDescent="0.3">
      <c r="A579" s="17"/>
      <c r="B579" s="18"/>
      <c r="C579" s="18"/>
      <c r="D579" s="18"/>
      <c r="E579" s="10" t="str">
        <f>IF(B579="","",IFERROR(INDEX(Harytlar!$C$5:$C$44,MATCH(B579,Harytlar!$A$5:$A$44,0)),""))</f>
        <v/>
      </c>
      <c r="F579" s="10" t="str">
        <f t="shared" si="8"/>
        <v/>
      </c>
      <c r="G579" s="10" t="str">
        <f>IF(OR(C579="",B579=""),"",IFERROR(C579*INDEX(Harytlar!$D$5:$D$44,MATCH(B579,Harytlar!$A$5:$A$44,0)),""))</f>
        <v/>
      </c>
    </row>
    <row r="580" spans="1:7" x14ac:dyDescent="0.3">
      <c r="A580" s="17"/>
      <c r="B580" s="18"/>
      <c r="C580" s="18"/>
      <c r="D580" s="18"/>
      <c r="E580" s="10" t="str">
        <f>IF(B580="","",IFERROR(INDEX(Harytlar!$C$5:$C$44,MATCH(B580,Harytlar!$A$5:$A$44,0)),""))</f>
        <v/>
      </c>
      <c r="F580" s="10" t="str">
        <f t="shared" si="8"/>
        <v/>
      </c>
      <c r="G580" s="10" t="str">
        <f>IF(OR(C580="",B580=""),"",IFERROR(C580*INDEX(Harytlar!$D$5:$D$44,MATCH(B580,Harytlar!$A$5:$A$44,0)),""))</f>
        <v/>
      </c>
    </row>
    <row r="581" spans="1:7" x14ac:dyDescent="0.3">
      <c r="A581" s="17"/>
      <c r="B581" s="18"/>
      <c r="C581" s="18"/>
      <c r="D581" s="18"/>
      <c r="E581" s="10" t="str">
        <f>IF(B581="","",IFERROR(INDEX(Harytlar!$C$5:$C$44,MATCH(B581,Harytlar!$A$5:$A$44,0)),""))</f>
        <v/>
      </c>
      <c r="F581" s="10" t="str">
        <f t="shared" si="8"/>
        <v/>
      </c>
      <c r="G581" s="10" t="str">
        <f>IF(OR(C581="",B581=""),"",IFERROR(C581*INDEX(Harytlar!$D$5:$D$44,MATCH(B581,Harytlar!$A$5:$A$44,0)),""))</f>
        <v/>
      </c>
    </row>
    <row r="582" spans="1:7" x14ac:dyDescent="0.3">
      <c r="A582" s="17"/>
      <c r="B582" s="18"/>
      <c r="C582" s="18"/>
      <c r="D582" s="18"/>
      <c r="E582" s="10" t="str">
        <f>IF(B582="","",IFERROR(INDEX(Harytlar!$C$5:$C$44,MATCH(B582,Harytlar!$A$5:$A$44,0)),""))</f>
        <v/>
      </c>
      <c r="F582" s="10" t="str">
        <f t="shared" ref="F582:F645" si="9">IF(OR(C582="",E582=""),"",C582*E582)</f>
        <v/>
      </c>
      <c r="G582" s="10" t="str">
        <f>IF(OR(C582="",B582=""),"",IFERROR(C582*INDEX(Harytlar!$D$5:$D$44,MATCH(B582,Harytlar!$A$5:$A$44,0)),""))</f>
        <v/>
      </c>
    </row>
    <row r="583" spans="1:7" x14ac:dyDescent="0.3">
      <c r="A583" s="17"/>
      <c r="B583" s="18"/>
      <c r="C583" s="18"/>
      <c r="D583" s="18"/>
      <c r="E583" s="10" t="str">
        <f>IF(B583="","",IFERROR(INDEX(Harytlar!$C$5:$C$44,MATCH(B583,Harytlar!$A$5:$A$44,0)),""))</f>
        <v/>
      </c>
      <c r="F583" s="10" t="str">
        <f t="shared" si="9"/>
        <v/>
      </c>
      <c r="G583" s="10" t="str">
        <f>IF(OR(C583="",B583=""),"",IFERROR(C583*INDEX(Harytlar!$D$5:$D$44,MATCH(B583,Harytlar!$A$5:$A$44,0)),""))</f>
        <v/>
      </c>
    </row>
    <row r="584" spans="1:7" x14ac:dyDescent="0.3">
      <c r="A584" s="17"/>
      <c r="B584" s="18"/>
      <c r="C584" s="18"/>
      <c r="D584" s="18"/>
      <c r="E584" s="10" t="str">
        <f>IF(B584="","",IFERROR(INDEX(Harytlar!$C$5:$C$44,MATCH(B584,Harytlar!$A$5:$A$44,0)),""))</f>
        <v/>
      </c>
      <c r="F584" s="10" t="str">
        <f t="shared" si="9"/>
        <v/>
      </c>
      <c r="G584" s="10" t="str">
        <f>IF(OR(C584="",B584=""),"",IFERROR(C584*INDEX(Harytlar!$D$5:$D$44,MATCH(B584,Harytlar!$A$5:$A$44,0)),""))</f>
        <v/>
      </c>
    </row>
    <row r="585" spans="1:7" x14ac:dyDescent="0.3">
      <c r="A585" s="17"/>
      <c r="B585" s="18"/>
      <c r="C585" s="18"/>
      <c r="D585" s="18"/>
      <c r="E585" s="10" t="str">
        <f>IF(B585="","",IFERROR(INDEX(Harytlar!$C$5:$C$44,MATCH(B585,Harytlar!$A$5:$A$44,0)),""))</f>
        <v/>
      </c>
      <c r="F585" s="10" t="str">
        <f t="shared" si="9"/>
        <v/>
      </c>
      <c r="G585" s="10" t="str">
        <f>IF(OR(C585="",B585=""),"",IFERROR(C585*INDEX(Harytlar!$D$5:$D$44,MATCH(B585,Harytlar!$A$5:$A$44,0)),""))</f>
        <v/>
      </c>
    </row>
    <row r="586" spans="1:7" x14ac:dyDescent="0.3">
      <c r="A586" s="17"/>
      <c r="B586" s="18"/>
      <c r="C586" s="18"/>
      <c r="D586" s="18"/>
      <c r="E586" s="10" t="str">
        <f>IF(B586="","",IFERROR(INDEX(Harytlar!$C$5:$C$44,MATCH(B586,Harytlar!$A$5:$A$44,0)),""))</f>
        <v/>
      </c>
      <c r="F586" s="10" t="str">
        <f t="shared" si="9"/>
        <v/>
      </c>
      <c r="G586" s="10" t="str">
        <f>IF(OR(C586="",B586=""),"",IFERROR(C586*INDEX(Harytlar!$D$5:$D$44,MATCH(B586,Harytlar!$A$5:$A$44,0)),""))</f>
        <v/>
      </c>
    </row>
    <row r="587" spans="1:7" x14ac:dyDescent="0.3">
      <c r="A587" s="17"/>
      <c r="B587" s="18"/>
      <c r="C587" s="18"/>
      <c r="D587" s="18"/>
      <c r="E587" s="10" t="str">
        <f>IF(B587="","",IFERROR(INDEX(Harytlar!$C$5:$C$44,MATCH(B587,Harytlar!$A$5:$A$44,0)),""))</f>
        <v/>
      </c>
      <c r="F587" s="10" t="str">
        <f t="shared" si="9"/>
        <v/>
      </c>
      <c r="G587" s="10" t="str">
        <f>IF(OR(C587="",B587=""),"",IFERROR(C587*INDEX(Harytlar!$D$5:$D$44,MATCH(B587,Harytlar!$A$5:$A$44,0)),""))</f>
        <v/>
      </c>
    </row>
    <row r="588" spans="1:7" x14ac:dyDescent="0.3">
      <c r="A588" s="17"/>
      <c r="B588" s="18"/>
      <c r="C588" s="18"/>
      <c r="D588" s="18"/>
      <c r="E588" s="10" t="str">
        <f>IF(B588="","",IFERROR(INDEX(Harytlar!$C$5:$C$44,MATCH(B588,Harytlar!$A$5:$A$44,0)),""))</f>
        <v/>
      </c>
      <c r="F588" s="10" t="str">
        <f t="shared" si="9"/>
        <v/>
      </c>
      <c r="G588" s="10" t="str">
        <f>IF(OR(C588="",B588=""),"",IFERROR(C588*INDEX(Harytlar!$D$5:$D$44,MATCH(B588,Harytlar!$A$5:$A$44,0)),""))</f>
        <v/>
      </c>
    </row>
    <row r="589" spans="1:7" x14ac:dyDescent="0.3">
      <c r="A589" s="17"/>
      <c r="B589" s="18"/>
      <c r="C589" s="18"/>
      <c r="D589" s="18"/>
      <c r="E589" s="10" t="str">
        <f>IF(B589="","",IFERROR(INDEX(Harytlar!$C$5:$C$44,MATCH(B589,Harytlar!$A$5:$A$44,0)),""))</f>
        <v/>
      </c>
      <c r="F589" s="10" t="str">
        <f t="shared" si="9"/>
        <v/>
      </c>
      <c r="G589" s="10" t="str">
        <f>IF(OR(C589="",B589=""),"",IFERROR(C589*INDEX(Harytlar!$D$5:$D$44,MATCH(B589,Harytlar!$A$5:$A$44,0)),""))</f>
        <v/>
      </c>
    </row>
    <row r="590" spans="1:7" x14ac:dyDescent="0.3">
      <c r="A590" s="17"/>
      <c r="B590" s="18"/>
      <c r="C590" s="18"/>
      <c r="D590" s="18"/>
      <c r="E590" s="10" t="str">
        <f>IF(B590="","",IFERROR(INDEX(Harytlar!$C$5:$C$44,MATCH(B590,Harytlar!$A$5:$A$44,0)),""))</f>
        <v/>
      </c>
      <c r="F590" s="10" t="str">
        <f t="shared" si="9"/>
        <v/>
      </c>
      <c r="G590" s="10" t="str">
        <f>IF(OR(C590="",B590=""),"",IFERROR(C590*INDEX(Harytlar!$D$5:$D$44,MATCH(B590,Harytlar!$A$5:$A$44,0)),""))</f>
        <v/>
      </c>
    </row>
    <row r="591" spans="1:7" x14ac:dyDescent="0.3">
      <c r="A591" s="17"/>
      <c r="B591" s="18"/>
      <c r="C591" s="18"/>
      <c r="D591" s="18"/>
      <c r="E591" s="10" t="str">
        <f>IF(B591="","",IFERROR(INDEX(Harytlar!$C$5:$C$44,MATCH(B591,Harytlar!$A$5:$A$44,0)),""))</f>
        <v/>
      </c>
      <c r="F591" s="10" t="str">
        <f t="shared" si="9"/>
        <v/>
      </c>
      <c r="G591" s="10" t="str">
        <f>IF(OR(C591="",B591=""),"",IFERROR(C591*INDEX(Harytlar!$D$5:$D$44,MATCH(B591,Harytlar!$A$5:$A$44,0)),""))</f>
        <v/>
      </c>
    </row>
    <row r="592" spans="1:7" x14ac:dyDescent="0.3">
      <c r="A592" s="17"/>
      <c r="B592" s="18"/>
      <c r="C592" s="18"/>
      <c r="D592" s="18"/>
      <c r="E592" s="10" t="str">
        <f>IF(B592="","",IFERROR(INDEX(Harytlar!$C$5:$C$44,MATCH(B592,Harytlar!$A$5:$A$44,0)),""))</f>
        <v/>
      </c>
      <c r="F592" s="10" t="str">
        <f t="shared" si="9"/>
        <v/>
      </c>
      <c r="G592" s="10" t="str">
        <f>IF(OR(C592="",B592=""),"",IFERROR(C592*INDEX(Harytlar!$D$5:$D$44,MATCH(B592,Harytlar!$A$5:$A$44,0)),""))</f>
        <v/>
      </c>
    </row>
    <row r="593" spans="1:7" x14ac:dyDescent="0.3">
      <c r="A593" s="17"/>
      <c r="B593" s="18"/>
      <c r="C593" s="18"/>
      <c r="D593" s="18"/>
      <c r="E593" s="10" t="str">
        <f>IF(B593="","",IFERROR(INDEX(Harytlar!$C$5:$C$44,MATCH(B593,Harytlar!$A$5:$A$44,0)),""))</f>
        <v/>
      </c>
      <c r="F593" s="10" t="str">
        <f t="shared" si="9"/>
        <v/>
      </c>
      <c r="G593" s="10" t="str">
        <f>IF(OR(C593="",B593=""),"",IFERROR(C593*INDEX(Harytlar!$D$5:$D$44,MATCH(B593,Harytlar!$A$5:$A$44,0)),""))</f>
        <v/>
      </c>
    </row>
    <row r="594" spans="1:7" x14ac:dyDescent="0.3">
      <c r="A594" s="17"/>
      <c r="B594" s="18"/>
      <c r="C594" s="18"/>
      <c r="D594" s="18"/>
      <c r="E594" s="10" t="str">
        <f>IF(B594="","",IFERROR(INDEX(Harytlar!$C$5:$C$44,MATCH(B594,Harytlar!$A$5:$A$44,0)),""))</f>
        <v/>
      </c>
      <c r="F594" s="10" t="str">
        <f t="shared" si="9"/>
        <v/>
      </c>
      <c r="G594" s="10" t="str">
        <f>IF(OR(C594="",B594=""),"",IFERROR(C594*INDEX(Harytlar!$D$5:$D$44,MATCH(B594,Harytlar!$A$5:$A$44,0)),""))</f>
        <v/>
      </c>
    </row>
    <row r="595" spans="1:7" x14ac:dyDescent="0.3">
      <c r="A595" s="17"/>
      <c r="B595" s="18"/>
      <c r="C595" s="18"/>
      <c r="D595" s="18"/>
      <c r="E595" s="10" t="str">
        <f>IF(B595="","",IFERROR(INDEX(Harytlar!$C$5:$C$44,MATCH(B595,Harytlar!$A$5:$A$44,0)),""))</f>
        <v/>
      </c>
      <c r="F595" s="10" t="str">
        <f t="shared" si="9"/>
        <v/>
      </c>
      <c r="G595" s="10" t="str">
        <f>IF(OR(C595="",B595=""),"",IFERROR(C595*INDEX(Harytlar!$D$5:$D$44,MATCH(B595,Harytlar!$A$5:$A$44,0)),""))</f>
        <v/>
      </c>
    </row>
    <row r="596" spans="1:7" x14ac:dyDescent="0.3">
      <c r="A596" s="17"/>
      <c r="B596" s="18"/>
      <c r="C596" s="18"/>
      <c r="D596" s="18"/>
      <c r="E596" s="10" t="str">
        <f>IF(B596="","",IFERROR(INDEX(Harytlar!$C$5:$C$44,MATCH(B596,Harytlar!$A$5:$A$44,0)),""))</f>
        <v/>
      </c>
      <c r="F596" s="10" t="str">
        <f t="shared" si="9"/>
        <v/>
      </c>
      <c r="G596" s="10" t="str">
        <f>IF(OR(C596="",B596=""),"",IFERROR(C596*INDEX(Harytlar!$D$5:$D$44,MATCH(B596,Harytlar!$A$5:$A$44,0)),""))</f>
        <v/>
      </c>
    </row>
    <row r="597" spans="1:7" x14ac:dyDescent="0.3">
      <c r="A597" s="17"/>
      <c r="B597" s="18"/>
      <c r="C597" s="18"/>
      <c r="D597" s="18"/>
      <c r="E597" s="10" t="str">
        <f>IF(B597="","",IFERROR(INDEX(Harytlar!$C$5:$C$44,MATCH(B597,Harytlar!$A$5:$A$44,0)),""))</f>
        <v/>
      </c>
      <c r="F597" s="10" t="str">
        <f t="shared" si="9"/>
        <v/>
      </c>
      <c r="G597" s="10" t="str">
        <f>IF(OR(C597="",B597=""),"",IFERROR(C597*INDEX(Harytlar!$D$5:$D$44,MATCH(B597,Harytlar!$A$5:$A$44,0)),""))</f>
        <v/>
      </c>
    </row>
    <row r="598" spans="1:7" x14ac:dyDescent="0.3">
      <c r="A598" s="17"/>
      <c r="B598" s="18"/>
      <c r="C598" s="18"/>
      <c r="D598" s="18"/>
      <c r="E598" s="10" t="str">
        <f>IF(B598="","",IFERROR(INDEX(Harytlar!$C$5:$C$44,MATCH(B598,Harytlar!$A$5:$A$44,0)),""))</f>
        <v/>
      </c>
      <c r="F598" s="10" t="str">
        <f t="shared" si="9"/>
        <v/>
      </c>
      <c r="G598" s="10" t="str">
        <f>IF(OR(C598="",B598=""),"",IFERROR(C598*INDEX(Harytlar!$D$5:$D$44,MATCH(B598,Harytlar!$A$5:$A$44,0)),""))</f>
        <v/>
      </c>
    </row>
    <row r="599" spans="1:7" x14ac:dyDescent="0.3">
      <c r="A599" s="17"/>
      <c r="B599" s="18"/>
      <c r="C599" s="18"/>
      <c r="D599" s="18"/>
      <c r="E599" s="10" t="str">
        <f>IF(B599="","",IFERROR(INDEX(Harytlar!$C$5:$C$44,MATCH(B599,Harytlar!$A$5:$A$44,0)),""))</f>
        <v/>
      </c>
      <c r="F599" s="10" t="str">
        <f t="shared" si="9"/>
        <v/>
      </c>
      <c r="G599" s="10" t="str">
        <f>IF(OR(C599="",B599=""),"",IFERROR(C599*INDEX(Harytlar!$D$5:$D$44,MATCH(B599,Harytlar!$A$5:$A$44,0)),""))</f>
        <v/>
      </c>
    </row>
    <row r="600" spans="1:7" x14ac:dyDescent="0.3">
      <c r="A600" s="17"/>
      <c r="B600" s="18"/>
      <c r="C600" s="18"/>
      <c r="D600" s="18"/>
      <c r="E600" s="10" t="str">
        <f>IF(B600="","",IFERROR(INDEX(Harytlar!$C$5:$C$44,MATCH(B600,Harytlar!$A$5:$A$44,0)),""))</f>
        <v/>
      </c>
      <c r="F600" s="10" t="str">
        <f t="shared" si="9"/>
        <v/>
      </c>
      <c r="G600" s="10" t="str">
        <f>IF(OR(C600="",B600=""),"",IFERROR(C600*INDEX(Harytlar!$D$5:$D$44,MATCH(B600,Harytlar!$A$5:$A$44,0)),""))</f>
        <v/>
      </c>
    </row>
    <row r="601" spans="1:7" x14ac:dyDescent="0.3">
      <c r="A601" s="17"/>
      <c r="B601" s="18"/>
      <c r="C601" s="18"/>
      <c r="D601" s="18"/>
      <c r="E601" s="10" t="str">
        <f>IF(B601="","",IFERROR(INDEX(Harytlar!$C$5:$C$44,MATCH(B601,Harytlar!$A$5:$A$44,0)),""))</f>
        <v/>
      </c>
      <c r="F601" s="10" t="str">
        <f t="shared" si="9"/>
        <v/>
      </c>
      <c r="G601" s="10" t="str">
        <f>IF(OR(C601="",B601=""),"",IFERROR(C601*INDEX(Harytlar!$D$5:$D$44,MATCH(B601,Harytlar!$A$5:$A$44,0)),""))</f>
        <v/>
      </c>
    </row>
    <row r="602" spans="1:7" x14ac:dyDescent="0.3">
      <c r="A602" s="17"/>
      <c r="B602" s="18"/>
      <c r="C602" s="18"/>
      <c r="D602" s="18"/>
      <c r="E602" s="10" t="str">
        <f>IF(B602="","",IFERROR(INDEX(Harytlar!$C$5:$C$44,MATCH(B602,Harytlar!$A$5:$A$44,0)),""))</f>
        <v/>
      </c>
      <c r="F602" s="10" t="str">
        <f t="shared" si="9"/>
        <v/>
      </c>
      <c r="G602" s="10" t="str">
        <f>IF(OR(C602="",B602=""),"",IFERROR(C602*INDEX(Harytlar!$D$5:$D$44,MATCH(B602,Harytlar!$A$5:$A$44,0)),""))</f>
        <v/>
      </c>
    </row>
    <row r="603" spans="1:7" x14ac:dyDescent="0.3">
      <c r="A603" s="17"/>
      <c r="B603" s="18"/>
      <c r="C603" s="18"/>
      <c r="D603" s="18"/>
      <c r="E603" s="10" t="str">
        <f>IF(B603="","",IFERROR(INDEX(Harytlar!$C$5:$C$44,MATCH(B603,Harytlar!$A$5:$A$44,0)),""))</f>
        <v/>
      </c>
      <c r="F603" s="10" t="str">
        <f t="shared" si="9"/>
        <v/>
      </c>
      <c r="G603" s="10" t="str">
        <f>IF(OR(C603="",B603=""),"",IFERROR(C603*INDEX(Harytlar!$D$5:$D$44,MATCH(B603,Harytlar!$A$5:$A$44,0)),""))</f>
        <v/>
      </c>
    </row>
    <row r="604" spans="1:7" x14ac:dyDescent="0.3">
      <c r="A604" s="17"/>
      <c r="B604" s="18"/>
      <c r="C604" s="18"/>
      <c r="D604" s="18"/>
      <c r="E604" s="10" t="str">
        <f>IF(B604="","",IFERROR(INDEX(Harytlar!$C$5:$C$44,MATCH(B604,Harytlar!$A$5:$A$44,0)),""))</f>
        <v/>
      </c>
      <c r="F604" s="10" t="str">
        <f t="shared" si="9"/>
        <v/>
      </c>
      <c r="G604" s="10" t="str">
        <f>IF(OR(C604="",B604=""),"",IFERROR(C604*INDEX(Harytlar!$D$5:$D$44,MATCH(B604,Harytlar!$A$5:$A$44,0)),""))</f>
        <v/>
      </c>
    </row>
    <row r="605" spans="1:7" x14ac:dyDescent="0.3">
      <c r="A605" s="17"/>
      <c r="B605" s="18"/>
      <c r="C605" s="18"/>
      <c r="D605" s="18"/>
      <c r="E605" s="10" t="str">
        <f>IF(B605="","",IFERROR(INDEX(Harytlar!$C$5:$C$44,MATCH(B605,Harytlar!$A$5:$A$44,0)),""))</f>
        <v/>
      </c>
      <c r="F605" s="10" t="str">
        <f t="shared" si="9"/>
        <v/>
      </c>
      <c r="G605" s="10" t="str">
        <f>IF(OR(C605="",B605=""),"",IFERROR(C605*INDEX(Harytlar!$D$5:$D$44,MATCH(B605,Harytlar!$A$5:$A$44,0)),""))</f>
        <v/>
      </c>
    </row>
    <row r="606" spans="1:7" x14ac:dyDescent="0.3">
      <c r="A606" s="17"/>
      <c r="B606" s="18"/>
      <c r="C606" s="18"/>
      <c r="D606" s="18"/>
      <c r="E606" s="10" t="str">
        <f>IF(B606="","",IFERROR(INDEX(Harytlar!$C$5:$C$44,MATCH(B606,Harytlar!$A$5:$A$44,0)),""))</f>
        <v/>
      </c>
      <c r="F606" s="10" t="str">
        <f t="shared" si="9"/>
        <v/>
      </c>
      <c r="G606" s="10" t="str">
        <f>IF(OR(C606="",B606=""),"",IFERROR(C606*INDEX(Harytlar!$D$5:$D$44,MATCH(B606,Harytlar!$A$5:$A$44,0)),""))</f>
        <v/>
      </c>
    </row>
    <row r="607" spans="1:7" x14ac:dyDescent="0.3">
      <c r="A607" s="17"/>
      <c r="B607" s="18"/>
      <c r="C607" s="18"/>
      <c r="D607" s="18"/>
      <c r="E607" s="10" t="str">
        <f>IF(B607="","",IFERROR(INDEX(Harytlar!$C$5:$C$44,MATCH(B607,Harytlar!$A$5:$A$44,0)),""))</f>
        <v/>
      </c>
      <c r="F607" s="10" t="str">
        <f t="shared" si="9"/>
        <v/>
      </c>
      <c r="G607" s="10" t="str">
        <f>IF(OR(C607="",B607=""),"",IFERROR(C607*INDEX(Harytlar!$D$5:$D$44,MATCH(B607,Harytlar!$A$5:$A$44,0)),""))</f>
        <v/>
      </c>
    </row>
    <row r="608" spans="1:7" x14ac:dyDescent="0.3">
      <c r="A608" s="17"/>
      <c r="B608" s="18"/>
      <c r="C608" s="18"/>
      <c r="D608" s="18"/>
      <c r="E608" s="10" t="str">
        <f>IF(B608="","",IFERROR(INDEX(Harytlar!$C$5:$C$44,MATCH(B608,Harytlar!$A$5:$A$44,0)),""))</f>
        <v/>
      </c>
      <c r="F608" s="10" t="str">
        <f t="shared" si="9"/>
        <v/>
      </c>
      <c r="G608" s="10" t="str">
        <f>IF(OR(C608="",B608=""),"",IFERROR(C608*INDEX(Harytlar!$D$5:$D$44,MATCH(B608,Harytlar!$A$5:$A$44,0)),""))</f>
        <v/>
      </c>
    </row>
    <row r="609" spans="1:7" x14ac:dyDescent="0.3">
      <c r="A609" s="17"/>
      <c r="B609" s="18"/>
      <c r="C609" s="18"/>
      <c r="D609" s="18"/>
      <c r="E609" s="10" t="str">
        <f>IF(B609="","",IFERROR(INDEX(Harytlar!$C$5:$C$44,MATCH(B609,Harytlar!$A$5:$A$44,0)),""))</f>
        <v/>
      </c>
      <c r="F609" s="10" t="str">
        <f t="shared" si="9"/>
        <v/>
      </c>
      <c r="G609" s="10" t="str">
        <f>IF(OR(C609="",B609=""),"",IFERROR(C609*INDEX(Harytlar!$D$5:$D$44,MATCH(B609,Harytlar!$A$5:$A$44,0)),""))</f>
        <v/>
      </c>
    </row>
    <row r="610" spans="1:7" x14ac:dyDescent="0.3">
      <c r="A610" s="17"/>
      <c r="B610" s="18"/>
      <c r="C610" s="18"/>
      <c r="D610" s="18"/>
      <c r="E610" s="10" t="str">
        <f>IF(B610="","",IFERROR(INDEX(Harytlar!$C$5:$C$44,MATCH(B610,Harytlar!$A$5:$A$44,0)),""))</f>
        <v/>
      </c>
      <c r="F610" s="10" t="str">
        <f t="shared" si="9"/>
        <v/>
      </c>
      <c r="G610" s="10" t="str">
        <f>IF(OR(C610="",B610=""),"",IFERROR(C610*INDEX(Harytlar!$D$5:$D$44,MATCH(B610,Harytlar!$A$5:$A$44,0)),""))</f>
        <v/>
      </c>
    </row>
    <row r="611" spans="1:7" x14ac:dyDescent="0.3">
      <c r="A611" s="17"/>
      <c r="B611" s="18"/>
      <c r="C611" s="18"/>
      <c r="D611" s="18"/>
      <c r="E611" s="10" t="str">
        <f>IF(B611="","",IFERROR(INDEX(Harytlar!$C$5:$C$44,MATCH(B611,Harytlar!$A$5:$A$44,0)),""))</f>
        <v/>
      </c>
      <c r="F611" s="10" t="str">
        <f t="shared" si="9"/>
        <v/>
      </c>
      <c r="G611" s="10" t="str">
        <f>IF(OR(C611="",B611=""),"",IFERROR(C611*INDEX(Harytlar!$D$5:$D$44,MATCH(B611,Harytlar!$A$5:$A$44,0)),""))</f>
        <v/>
      </c>
    </row>
    <row r="612" spans="1:7" x14ac:dyDescent="0.3">
      <c r="A612" s="17"/>
      <c r="B612" s="18"/>
      <c r="C612" s="18"/>
      <c r="D612" s="18"/>
      <c r="E612" s="10" t="str">
        <f>IF(B612="","",IFERROR(INDEX(Harytlar!$C$5:$C$44,MATCH(B612,Harytlar!$A$5:$A$44,0)),""))</f>
        <v/>
      </c>
      <c r="F612" s="10" t="str">
        <f t="shared" si="9"/>
        <v/>
      </c>
      <c r="G612" s="10" t="str">
        <f>IF(OR(C612="",B612=""),"",IFERROR(C612*INDEX(Harytlar!$D$5:$D$44,MATCH(B612,Harytlar!$A$5:$A$44,0)),""))</f>
        <v/>
      </c>
    </row>
    <row r="613" spans="1:7" x14ac:dyDescent="0.3">
      <c r="A613" s="17"/>
      <c r="B613" s="18"/>
      <c r="C613" s="18"/>
      <c r="D613" s="18"/>
      <c r="E613" s="10" t="str">
        <f>IF(B613="","",IFERROR(INDEX(Harytlar!$C$5:$C$44,MATCH(B613,Harytlar!$A$5:$A$44,0)),""))</f>
        <v/>
      </c>
      <c r="F613" s="10" t="str">
        <f t="shared" si="9"/>
        <v/>
      </c>
      <c r="G613" s="10" t="str">
        <f>IF(OR(C613="",B613=""),"",IFERROR(C613*INDEX(Harytlar!$D$5:$D$44,MATCH(B613,Harytlar!$A$5:$A$44,0)),""))</f>
        <v/>
      </c>
    </row>
    <row r="614" spans="1:7" x14ac:dyDescent="0.3">
      <c r="A614" s="17"/>
      <c r="B614" s="18"/>
      <c r="C614" s="18"/>
      <c r="D614" s="18"/>
      <c r="E614" s="10" t="str">
        <f>IF(B614="","",IFERROR(INDEX(Harytlar!$C$5:$C$44,MATCH(B614,Harytlar!$A$5:$A$44,0)),""))</f>
        <v/>
      </c>
      <c r="F614" s="10" t="str">
        <f t="shared" si="9"/>
        <v/>
      </c>
      <c r="G614" s="10" t="str">
        <f>IF(OR(C614="",B614=""),"",IFERROR(C614*INDEX(Harytlar!$D$5:$D$44,MATCH(B614,Harytlar!$A$5:$A$44,0)),""))</f>
        <v/>
      </c>
    </row>
    <row r="615" spans="1:7" x14ac:dyDescent="0.3">
      <c r="A615" s="17"/>
      <c r="B615" s="18"/>
      <c r="C615" s="18"/>
      <c r="D615" s="18"/>
      <c r="E615" s="10" t="str">
        <f>IF(B615="","",IFERROR(INDEX(Harytlar!$C$5:$C$44,MATCH(B615,Harytlar!$A$5:$A$44,0)),""))</f>
        <v/>
      </c>
      <c r="F615" s="10" t="str">
        <f t="shared" si="9"/>
        <v/>
      </c>
      <c r="G615" s="10" t="str">
        <f>IF(OR(C615="",B615=""),"",IFERROR(C615*INDEX(Harytlar!$D$5:$D$44,MATCH(B615,Harytlar!$A$5:$A$44,0)),""))</f>
        <v/>
      </c>
    </row>
    <row r="616" spans="1:7" x14ac:dyDescent="0.3">
      <c r="A616" s="17"/>
      <c r="B616" s="18"/>
      <c r="C616" s="18"/>
      <c r="D616" s="18"/>
      <c r="E616" s="10" t="str">
        <f>IF(B616="","",IFERROR(INDEX(Harytlar!$C$5:$C$44,MATCH(B616,Harytlar!$A$5:$A$44,0)),""))</f>
        <v/>
      </c>
      <c r="F616" s="10" t="str">
        <f t="shared" si="9"/>
        <v/>
      </c>
      <c r="G616" s="10" t="str">
        <f>IF(OR(C616="",B616=""),"",IFERROR(C616*INDEX(Harytlar!$D$5:$D$44,MATCH(B616,Harytlar!$A$5:$A$44,0)),""))</f>
        <v/>
      </c>
    </row>
    <row r="617" spans="1:7" x14ac:dyDescent="0.3">
      <c r="A617" s="17"/>
      <c r="B617" s="18"/>
      <c r="C617" s="18"/>
      <c r="D617" s="18"/>
      <c r="E617" s="10" t="str">
        <f>IF(B617="","",IFERROR(INDEX(Harytlar!$C$5:$C$44,MATCH(B617,Harytlar!$A$5:$A$44,0)),""))</f>
        <v/>
      </c>
      <c r="F617" s="10" t="str">
        <f t="shared" si="9"/>
        <v/>
      </c>
      <c r="G617" s="10" t="str">
        <f>IF(OR(C617="",B617=""),"",IFERROR(C617*INDEX(Harytlar!$D$5:$D$44,MATCH(B617,Harytlar!$A$5:$A$44,0)),""))</f>
        <v/>
      </c>
    </row>
    <row r="618" spans="1:7" x14ac:dyDescent="0.3">
      <c r="A618" s="17"/>
      <c r="B618" s="18"/>
      <c r="C618" s="18"/>
      <c r="D618" s="18"/>
      <c r="E618" s="10" t="str">
        <f>IF(B618="","",IFERROR(INDEX(Harytlar!$C$5:$C$44,MATCH(B618,Harytlar!$A$5:$A$44,0)),""))</f>
        <v/>
      </c>
      <c r="F618" s="10" t="str">
        <f t="shared" si="9"/>
        <v/>
      </c>
      <c r="G618" s="10" t="str">
        <f>IF(OR(C618="",B618=""),"",IFERROR(C618*INDEX(Harytlar!$D$5:$D$44,MATCH(B618,Harytlar!$A$5:$A$44,0)),""))</f>
        <v/>
      </c>
    </row>
    <row r="619" spans="1:7" x14ac:dyDescent="0.3">
      <c r="A619" s="17"/>
      <c r="B619" s="18"/>
      <c r="C619" s="18"/>
      <c r="D619" s="18"/>
      <c r="E619" s="10" t="str">
        <f>IF(B619="","",IFERROR(INDEX(Harytlar!$C$5:$C$44,MATCH(B619,Harytlar!$A$5:$A$44,0)),""))</f>
        <v/>
      </c>
      <c r="F619" s="10" t="str">
        <f t="shared" si="9"/>
        <v/>
      </c>
      <c r="G619" s="10" t="str">
        <f>IF(OR(C619="",B619=""),"",IFERROR(C619*INDEX(Harytlar!$D$5:$D$44,MATCH(B619,Harytlar!$A$5:$A$44,0)),""))</f>
        <v/>
      </c>
    </row>
    <row r="620" spans="1:7" x14ac:dyDescent="0.3">
      <c r="A620" s="17"/>
      <c r="B620" s="18"/>
      <c r="C620" s="18"/>
      <c r="D620" s="18"/>
      <c r="E620" s="10" t="str">
        <f>IF(B620="","",IFERROR(INDEX(Harytlar!$C$5:$C$44,MATCH(B620,Harytlar!$A$5:$A$44,0)),""))</f>
        <v/>
      </c>
      <c r="F620" s="10" t="str">
        <f t="shared" si="9"/>
        <v/>
      </c>
      <c r="G620" s="10" t="str">
        <f>IF(OR(C620="",B620=""),"",IFERROR(C620*INDEX(Harytlar!$D$5:$D$44,MATCH(B620,Harytlar!$A$5:$A$44,0)),""))</f>
        <v/>
      </c>
    </row>
    <row r="621" spans="1:7" x14ac:dyDescent="0.3">
      <c r="A621" s="17"/>
      <c r="B621" s="18"/>
      <c r="C621" s="18"/>
      <c r="D621" s="18"/>
      <c r="E621" s="10" t="str">
        <f>IF(B621="","",IFERROR(INDEX(Harytlar!$C$5:$C$44,MATCH(B621,Harytlar!$A$5:$A$44,0)),""))</f>
        <v/>
      </c>
      <c r="F621" s="10" t="str">
        <f t="shared" si="9"/>
        <v/>
      </c>
      <c r="G621" s="10" t="str">
        <f>IF(OR(C621="",B621=""),"",IFERROR(C621*INDEX(Harytlar!$D$5:$D$44,MATCH(B621,Harytlar!$A$5:$A$44,0)),""))</f>
        <v/>
      </c>
    </row>
    <row r="622" spans="1:7" x14ac:dyDescent="0.3">
      <c r="A622" s="17"/>
      <c r="B622" s="18"/>
      <c r="C622" s="18"/>
      <c r="D622" s="18"/>
      <c r="E622" s="10" t="str">
        <f>IF(B622="","",IFERROR(INDEX(Harytlar!$C$5:$C$44,MATCH(B622,Harytlar!$A$5:$A$44,0)),""))</f>
        <v/>
      </c>
      <c r="F622" s="10" t="str">
        <f t="shared" si="9"/>
        <v/>
      </c>
      <c r="G622" s="10" t="str">
        <f>IF(OR(C622="",B622=""),"",IFERROR(C622*INDEX(Harytlar!$D$5:$D$44,MATCH(B622,Harytlar!$A$5:$A$44,0)),""))</f>
        <v/>
      </c>
    </row>
    <row r="623" spans="1:7" x14ac:dyDescent="0.3">
      <c r="A623" s="17"/>
      <c r="B623" s="18"/>
      <c r="C623" s="18"/>
      <c r="D623" s="18"/>
      <c r="E623" s="10" t="str">
        <f>IF(B623="","",IFERROR(INDEX(Harytlar!$C$5:$C$44,MATCH(B623,Harytlar!$A$5:$A$44,0)),""))</f>
        <v/>
      </c>
      <c r="F623" s="10" t="str">
        <f t="shared" si="9"/>
        <v/>
      </c>
      <c r="G623" s="10" t="str">
        <f>IF(OR(C623="",B623=""),"",IFERROR(C623*INDEX(Harytlar!$D$5:$D$44,MATCH(B623,Harytlar!$A$5:$A$44,0)),""))</f>
        <v/>
      </c>
    </row>
    <row r="624" spans="1:7" x14ac:dyDescent="0.3">
      <c r="A624" s="17"/>
      <c r="B624" s="18"/>
      <c r="C624" s="18"/>
      <c r="D624" s="18"/>
      <c r="E624" s="10" t="str">
        <f>IF(B624="","",IFERROR(INDEX(Harytlar!$C$5:$C$44,MATCH(B624,Harytlar!$A$5:$A$44,0)),""))</f>
        <v/>
      </c>
      <c r="F624" s="10" t="str">
        <f t="shared" si="9"/>
        <v/>
      </c>
      <c r="G624" s="10" t="str">
        <f>IF(OR(C624="",B624=""),"",IFERROR(C624*INDEX(Harytlar!$D$5:$D$44,MATCH(B624,Harytlar!$A$5:$A$44,0)),""))</f>
        <v/>
      </c>
    </row>
    <row r="625" spans="1:7" x14ac:dyDescent="0.3">
      <c r="A625" s="17"/>
      <c r="B625" s="18"/>
      <c r="C625" s="18"/>
      <c r="D625" s="18"/>
      <c r="E625" s="10" t="str">
        <f>IF(B625="","",IFERROR(INDEX(Harytlar!$C$5:$C$44,MATCH(B625,Harytlar!$A$5:$A$44,0)),""))</f>
        <v/>
      </c>
      <c r="F625" s="10" t="str">
        <f t="shared" si="9"/>
        <v/>
      </c>
      <c r="G625" s="10" t="str">
        <f>IF(OR(C625="",B625=""),"",IFERROR(C625*INDEX(Harytlar!$D$5:$D$44,MATCH(B625,Harytlar!$A$5:$A$44,0)),""))</f>
        <v/>
      </c>
    </row>
    <row r="626" spans="1:7" x14ac:dyDescent="0.3">
      <c r="A626" s="17"/>
      <c r="B626" s="18"/>
      <c r="C626" s="18"/>
      <c r="D626" s="18"/>
      <c r="E626" s="10" t="str">
        <f>IF(B626="","",IFERROR(INDEX(Harytlar!$C$5:$C$44,MATCH(B626,Harytlar!$A$5:$A$44,0)),""))</f>
        <v/>
      </c>
      <c r="F626" s="10" t="str">
        <f t="shared" si="9"/>
        <v/>
      </c>
      <c r="G626" s="10" t="str">
        <f>IF(OR(C626="",B626=""),"",IFERROR(C626*INDEX(Harytlar!$D$5:$D$44,MATCH(B626,Harytlar!$A$5:$A$44,0)),""))</f>
        <v/>
      </c>
    </row>
    <row r="627" spans="1:7" x14ac:dyDescent="0.3">
      <c r="A627" s="17"/>
      <c r="B627" s="18"/>
      <c r="C627" s="18"/>
      <c r="D627" s="18"/>
      <c r="E627" s="10" t="str">
        <f>IF(B627="","",IFERROR(INDEX(Harytlar!$C$5:$C$44,MATCH(B627,Harytlar!$A$5:$A$44,0)),""))</f>
        <v/>
      </c>
      <c r="F627" s="10" t="str">
        <f t="shared" si="9"/>
        <v/>
      </c>
      <c r="G627" s="10" t="str">
        <f>IF(OR(C627="",B627=""),"",IFERROR(C627*INDEX(Harytlar!$D$5:$D$44,MATCH(B627,Harytlar!$A$5:$A$44,0)),""))</f>
        <v/>
      </c>
    </row>
    <row r="628" spans="1:7" x14ac:dyDescent="0.3">
      <c r="A628" s="17"/>
      <c r="B628" s="18"/>
      <c r="C628" s="18"/>
      <c r="D628" s="18"/>
      <c r="E628" s="10" t="str">
        <f>IF(B628="","",IFERROR(INDEX(Harytlar!$C$5:$C$44,MATCH(B628,Harytlar!$A$5:$A$44,0)),""))</f>
        <v/>
      </c>
      <c r="F628" s="10" t="str">
        <f t="shared" si="9"/>
        <v/>
      </c>
      <c r="G628" s="10" t="str">
        <f>IF(OR(C628="",B628=""),"",IFERROR(C628*INDEX(Harytlar!$D$5:$D$44,MATCH(B628,Harytlar!$A$5:$A$44,0)),""))</f>
        <v/>
      </c>
    </row>
    <row r="629" spans="1:7" x14ac:dyDescent="0.3">
      <c r="A629" s="17"/>
      <c r="B629" s="18"/>
      <c r="C629" s="18"/>
      <c r="D629" s="18"/>
      <c r="E629" s="10" t="str">
        <f>IF(B629="","",IFERROR(INDEX(Harytlar!$C$5:$C$44,MATCH(B629,Harytlar!$A$5:$A$44,0)),""))</f>
        <v/>
      </c>
      <c r="F629" s="10" t="str">
        <f t="shared" si="9"/>
        <v/>
      </c>
      <c r="G629" s="10" t="str">
        <f>IF(OR(C629="",B629=""),"",IFERROR(C629*INDEX(Harytlar!$D$5:$D$44,MATCH(B629,Harytlar!$A$5:$A$44,0)),""))</f>
        <v/>
      </c>
    </row>
    <row r="630" spans="1:7" x14ac:dyDescent="0.3">
      <c r="A630" s="17"/>
      <c r="B630" s="18"/>
      <c r="C630" s="18"/>
      <c r="D630" s="18"/>
      <c r="E630" s="10" t="str">
        <f>IF(B630="","",IFERROR(INDEX(Harytlar!$C$5:$C$44,MATCH(B630,Harytlar!$A$5:$A$44,0)),""))</f>
        <v/>
      </c>
      <c r="F630" s="10" t="str">
        <f t="shared" si="9"/>
        <v/>
      </c>
      <c r="G630" s="10" t="str">
        <f>IF(OR(C630="",B630=""),"",IFERROR(C630*INDEX(Harytlar!$D$5:$D$44,MATCH(B630,Harytlar!$A$5:$A$44,0)),""))</f>
        <v/>
      </c>
    </row>
    <row r="631" spans="1:7" x14ac:dyDescent="0.3">
      <c r="A631" s="17"/>
      <c r="B631" s="18"/>
      <c r="C631" s="18"/>
      <c r="D631" s="18"/>
      <c r="E631" s="10" t="str">
        <f>IF(B631="","",IFERROR(INDEX(Harytlar!$C$5:$C$44,MATCH(B631,Harytlar!$A$5:$A$44,0)),""))</f>
        <v/>
      </c>
      <c r="F631" s="10" t="str">
        <f t="shared" si="9"/>
        <v/>
      </c>
      <c r="G631" s="10" t="str">
        <f>IF(OR(C631="",B631=""),"",IFERROR(C631*INDEX(Harytlar!$D$5:$D$44,MATCH(B631,Harytlar!$A$5:$A$44,0)),""))</f>
        <v/>
      </c>
    </row>
    <row r="632" spans="1:7" x14ac:dyDescent="0.3">
      <c r="A632" s="17"/>
      <c r="B632" s="18"/>
      <c r="C632" s="18"/>
      <c r="D632" s="18"/>
      <c r="E632" s="10" t="str">
        <f>IF(B632="","",IFERROR(INDEX(Harytlar!$C$5:$C$44,MATCH(B632,Harytlar!$A$5:$A$44,0)),""))</f>
        <v/>
      </c>
      <c r="F632" s="10" t="str">
        <f t="shared" si="9"/>
        <v/>
      </c>
      <c r="G632" s="10" t="str">
        <f>IF(OR(C632="",B632=""),"",IFERROR(C632*INDEX(Harytlar!$D$5:$D$44,MATCH(B632,Harytlar!$A$5:$A$44,0)),""))</f>
        <v/>
      </c>
    </row>
    <row r="633" spans="1:7" x14ac:dyDescent="0.3">
      <c r="A633" s="17"/>
      <c r="B633" s="18"/>
      <c r="C633" s="18"/>
      <c r="D633" s="18"/>
      <c r="E633" s="10" t="str">
        <f>IF(B633="","",IFERROR(INDEX(Harytlar!$C$5:$C$44,MATCH(B633,Harytlar!$A$5:$A$44,0)),""))</f>
        <v/>
      </c>
      <c r="F633" s="10" t="str">
        <f t="shared" si="9"/>
        <v/>
      </c>
      <c r="G633" s="10" t="str">
        <f>IF(OR(C633="",B633=""),"",IFERROR(C633*INDEX(Harytlar!$D$5:$D$44,MATCH(B633,Harytlar!$A$5:$A$44,0)),""))</f>
        <v/>
      </c>
    </row>
    <row r="634" spans="1:7" x14ac:dyDescent="0.3">
      <c r="A634" s="17"/>
      <c r="B634" s="18"/>
      <c r="C634" s="18"/>
      <c r="D634" s="18"/>
      <c r="E634" s="10" t="str">
        <f>IF(B634="","",IFERROR(INDEX(Harytlar!$C$5:$C$44,MATCH(B634,Harytlar!$A$5:$A$44,0)),""))</f>
        <v/>
      </c>
      <c r="F634" s="10" t="str">
        <f t="shared" si="9"/>
        <v/>
      </c>
      <c r="G634" s="10" t="str">
        <f>IF(OR(C634="",B634=""),"",IFERROR(C634*INDEX(Harytlar!$D$5:$D$44,MATCH(B634,Harytlar!$A$5:$A$44,0)),""))</f>
        <v/>
      </c>
    </row>
    <row r="635" spans="1:7" x14ac:dyDescent="0.3">
      <c r="A635" s="17"/>
      <c r="B635" s="18"/>
      <c r="C635" s="18"/>
      <c r="D635" s="18"/>
      <c r="E635" s="10" t="str">
        <f>IF(B635="","",IFERROR(INDEX(Harytlar!$C$5:$C$44,MATCH(B635,Harytlar!$A$5:$A$44,0)),""))</f>
        <v/>
      </c>
      <c r="F635" s="10" t="str">
        <f t="shared" si="9"/>
        <v/>
      </c>
      <c r="G635" s="10" t="str">
        <f>IF(OR(C635="",B635=""),"",IFERROR(C635*INDEX(Harytlar!$D$5:$D$44,MATCH(B635,Harytlar!$A$5:$A$44,0)),""))</f>
        <v/>
      </c>
    </row>
    <row r="636" spans="1:7" x14ac:dyDescent="0.3">
      <c r="A636" s="17"/>
      <c r="B636" s="18"/>
      <c r="C636" s="18"/>
      <c r="D636" s="18"/>
      <c r="E636" s="10" t="str">
        <f>IF(B636="","",IFERROR(INDEX(Harytlar!$C$5:$C$44,MATCH(B636,Harytlar!$A$5:$A$44,0)),""))</f>
        <v/>
      </c>
      <c r="F636" s="10" t="str">
        <f t="shared" si="9"/>
        <v/>
      </c>
      <c r="G636" s="10" t="str">
        <f>IF(OR(C636="",B636=""),"",IFERROR(C636*INDEX(Harytlar!$D$5:$D$44,MATCH(B636,Harytlar!$A$5:$A$44,0)),""))</f>
        <v/>
      </c>
    </row>
    <row r="637" spans="1:7" x14ac:dyDescent="0.3">
      <c r="A637" s="17"/>
      <c r="B637" s="18"/>
      <c r="C637" s="18"/>
      <c r="D637" s="18"/>
      <c r="E637" s="10" t="str">
        <f>IF(B637="","",IFERROR(INDEX(Harytlar!$C$5:$C$44,MATCH(B637,Harytlar!$A$5:$A$44,0)),""))</f>
        <v/>
      </c>
      <c r="F637" s="10" t="str">
        <f t="shared" si="9"/>
        <v/>
      </c>
      <c r="G637" s="10" t="str">
        <f>IF(OR(C637="",B637=""),"",IFERROR(C637*INDEX(Harytlar!$D$5:$D$44,MATCH(B637,Harytlar!$A$5:$A$44,0)),""))</f>
        <v/>
      </c>
    </row>
    <row r="638" spans="1:7" x14ac:dyDescent="0.3">
      <c r="A638" s="17"/>
      <c r="B638" s="18"/>
      <c r="C638" s="18"/>
      <c r="D638" s="18"/>
      <c r="E638" s="10" t="str">
        <f>IF(B638="","",IFERROR(INDEX(Harytlar!$C$5:$C$44,MATCH(B638,Harytlar!$A$5:$A$44,0)),""))</f>
        <v/>
      </c>
      <c r="F638" s="10" t="str">
        <f t="shared" si="9"/>
        <v/>
      </c>
      <c r="G638" s="10" t="str">
        <f>IF(OR(C638="",B638=""),"",IFERROR(C638*INDEX(Harytlar!$D$5:$D$44,MATCH(B638,Harytlar!$A$5:$A$44,0)),""))</f>
        <v/>
      </c>
    </row>
    <row r="639" spans="1:7" x14ac:dyDescent="0.3">
      <c r="A639" s="17"/>
      <c r="B639" s="18"/>
      <c r="C639" s="18"/>
      <c r="D639" s="18"/>
      <c r="E639" s="10" t="str">
        <f>IF(B639="","",IFERROR(INDEX(Harytlar!$C$5:$C$44,MATCH(B639,Harytlar!$A$5:$A$44,0)),""))</f>
        <v/>
      </c>
      <c r="F639" s="10" t="str">
        <f t="shared" si="9"/>
        <v/>
      </c>
      <c r="G639" s="10" t="str">
        <f>IF(OR(C639="",B639=""),"",IFERROR(C639*INDEX(Harytlar!$D$5:$D$44,MATCH(B639,Harytlar!$A$5:$A$44,0)),""))</f>
        <v/>
      </c>
    </row>
    <row r="640" spans="1:7" x14ac:dyDescent="0.3">
      <c r="A640" s="17"/>
      <c r="B640" s="18"/>
      <c r="C640" s="18"/>
      <c r="D640" s="18"/>
      <c r="E640" s="10" t="str">
        <f>IF(B640="","",IFERROR(INDEX(Harytlar!$C$5:$C$44,MATCH(B640,Harytlar!$A$5:$A$44,0)),""))</f>
        <v/>
      </c>
      <c r="F640" s="10" t="str">
        <f t="shared" si="9"/>
        <v/>
      </c>
      <c r="G640" s="10" t="str">
        <f>IF(OR(C640="",B640=""),"",IFERROR(C640*INDEX(Harytlar!$D$5:$D$44,MATCH(B640,Harytlar!$A$5:$A$44,0)),""))</f>
        <v/>
      </c>
    </row>
    <row r="641" spans="1:7" x14ac:dyDescent="0.3">
      <c r="A641" s="17"/>
      <c r="B641" s="18"/>
      <c r="C641" s="18"/>
      <c r="D641" s="18"/>
      <c r="E641" s="10" t="str">
        <f>IF(B641="","",IFERROR(INDEX(Harytlar!$C$5:$C$44,MATCH(B641,Harytlar!$A$5:$A$44,0)),""))</f>
        <v/>
      </c>
      <c r="F641" s="10" t="str">
        <f t="shared" si="9"/>
        <v/>
      </c>
      <c r="G641" s="10" t="str">
        <f>IF(OR(C641="",B641=""),"",IFERROR(C641*INDEX(Harytlar!$D$5:$D$44,MATCH(B641,Harytlar!$A$5:$A$44,0)),""))</f>
        <v/>
      </c>
    </row>
    <row r="642" spans="1:7" x14ac:dyDescent="0.3">
      <c r="A642" s="17"/>
      <c r="B642" s="18"/>
      <c r="C642" s="18"/>
      <c r="D642" s="18"/>
      <c r="E642" s="10" t="str">
        <f>IF(B642="","",IFERROR(INDEX(Harytlar!$C$5:$C$44,MATCH(B642,Harytlar!$A$5:$A$44,0)),""))</f>
        <v/>
      </c>
      <c r="F642" s="10" t="str">
        <f t="shared" si="9"/>
        <v/>
      </c>
      <c r="G642" s="10" t="str">
        <f>IF(OR(C642="",B642=""),"",IFERROR(C642*INDEX(Harytlar!$D$5:$D$44,MATCH(B642,Harytlar!$A$5:$A$44,0)),""))</f>
        <v/>
      </c>
    </row>
    <row r="643" spans="1:7" x14ac:dyDescent="0.3">
      <c r="A643" s="17"/>
      <c r="B643" s="18"/>
      <c r="C643" s="18"/>
      <c r="D643" s="18"/>
      <c r="E643" s="10" t="str">
        <f>IF(B643="","",IFERROR(INDEX(Harytlar!$C$5:$C$44,MATCH(B643,Harytlar!$A$5:$A$44,0)),""))</f>
        <v/>
      </c>
      <c r="F643" s="10" t="str">
        <f t="shared" si="9"/>
        <v/>
      </c>
      <c r="G643" s="10" t="str">
        <f>IF(OR(C643="",B643=""),"",IFERROR(C643*INDEX(Harytlar!$D$5:$D$44,MATCH(B643,Harytlar!$A$5:$A$44,0)),""))</f>
        <v/>
      </c>
    </row>
    <row r="644" spans="1:7" x14ac:dyDescent="0.3">
      <c r="A644" s="17"/>
      <c r="B644" s="18"/>
      <c r="C644" s="18"/>
      <c r="D644" s="18"/>
      <c r="E644" s="10" t="str">
        <f>IF(B644="","",IFERROR(INDEX(Harytlar!$C$5:$C$44,MATCH(B644,Harytlar!$A$5:$A$44,0)),""))</f>
        <v/>
      </c>
      <c r="F644" s="10" t="str">
        <f t="shared" si="9"/>
        <v/>
      </c>
      <c r="G644" s="10" t="str">
        <f>IF(OR(C644="",B644=""),"",IFERROR(C644*INDEX(Harytlar!$D$5:$D$44,MATCH(B644,Harytlar!$A$5:$A$44,0)),""))</f>
        <v/>
      </c>
    </row>
    <row r="645" spans="1:7" x14ac:dyDescent="0.3">
      <c r="A645" s="17"/>
      <c r="B645" s="18"/>
      <c r="C645" s="18"/>
      <c r="D645" s="18"/>
      <c r="E645" s="10" t="str">
        <f>IF(B645="","",IFERROR(INDEX(Harytlar!$C$5:$C$44,MATCH(B645,Harytlar!$A$5:$A$44,0)),""))</f>
        <v/>
      </c>
      <c r="F645" s="10" t="str">
        <f t="shared" si="9"/>
        <v/>
      </c>
      <c r="G645" s="10" t="str">
        <f>IF(OR(C645="",B645=""),"",IFERROR(C645*INDEX(Harytlar!$D$5:$D$44,MATCH(B645,Harytlar!$A$5:$A$44,0)),""))</f>
        <v/>
      </c>
    </row>
    <row r="646" spans="1:7" x14ac:dyDescent="0.3">
      <c r="A646" s="17"/>
      <c r="B646" s="18"/>
      <c r="C646" s="18"/>
      <c r="D646" s="18"/>
      <c r="E646" s="10" t="str">
        <f>IF(B646="","",IFERROR(INDEX(Harytlar!$C$5:$C$44,MATCH(B646,Harytlar!$A$5:$A$44,0)),""))</f>
        <v/>
      </c>
      <c r="F646" s="10" t="str">
        <f t="shared" ref="F646:F709" si="10">IF(OR(C646="",E646=""),"",C646*E646)</f>
        <v/>
      </c>
      <c r="G646" s="10" t="str">
        <f>IF(OR(C646="",B646=""),"",IFERROR(C646*INDEX(Harytlar!$D$5:$D$44,MATCH(B646,Harytlar!$A$5:$A$44,0)),""))</f>
        <v/>
      </c>
    </row>
    <row r="647" spans="1:7" x14ac:dyDescent="0.3">
      <c r="A647" s="17"/>
      <c r="B647" s="18"/>
      <c r="C647" s="18"/>
      <c r="D647" s="18"/>
      <c r="E647" s="10" t="str">
        <f>IF(B647="","",IFERROR(INDEX(Harytlar!$C$5:$C$44,MATCH(B647,Harytlar!$A$5:$A$44,0)),""))</f>
        <v/>
      </c>
      <c r="F647" s="10" t="str">
        <f t="shared" si="10"/>
        <v/>
      </c>
      <c r="G647" s="10" t="str">
        <f>IF(OR(C647="",B647=""),"",IFERROR(C647*INDEX(Harytlar!$D$5:$D$44,MATCH(B647,Harytlar!$A$5:$A$44,0)),""))</f>
        <v/>
      </c>
    </row>
    <row r="648" spans="1:7" x14ac:dyDescent="0.3">
      <c r="A648" s="17"/>
      <c r="B648" s="18"/>
      <c r="C648" s="18"/>
      <c r="D648" s="18"/>
      <c r="E648" s="10" t="str">
        <f>IF(B648="","",IFERROR(INDEX(Harytlar!$C$5:$C$44,MATCH(B648,Harytlar!$A$5:$A$44,0)),""))</f>
        <v/>
      </c>
      <c r="F648" s="10" t="str">
        <f t="shared" si="10"/>
        <v/>
      </c>
      <c r="G648" s="10" t="str">
        <f>IF(OR(C648="",B648=""),"",IFERROR(C648*INDEX(Harytlar!$D$5:$D$44,MATCH(B648,Harytlar!$A$5:$A$44,0)),""))</f>
        <v/>
      </c>
    </row>
    <row r="649" spans="1:7" x14ac:dyDescent="0.3">
      <c r="A649" s="17"/>
      <c r="B649" s="18"/>
      <c r="C649" s="18"/>
      <c r="D649" s="18"/>
      <c r="E649" s="10" t="str">
        <f>IF(B649="","",IFERROR(INDEX(Harytlar!$C$5:$C$44,MATCH(B649,Harytlar!$A$5:$A$44,0)),""))</f>
        <v/>
      </c>
      <c r="F649" s="10" t="str">
        <f t="shared" si="10"/>
        <v/>
      </c>
      <c r="G649" s="10" t="str">
        <f>IF(OR(C649="",B649=""),"",IFERROR(C649*INDEX(Harytlar!$D$5:$D$44,MATCH(B649,Harytlar!$A$5:$A$44,0)),""))</f>
        <v/>
      </c>
    </row>
    <row r="650" spans="1:7" x14ac:dyDescent="0.3">
      <c r="A650" s="17"/>
      <c r="B650" s="18"/>
      <c r="C650" s="18"/>
      <c r="D650" s="18"/>
      <c r="E650" s="10" t="str">
        <f>IF(B650="","",IFERROR(INDEX(Harytlar!$C$5:$C$44,MATCH(B650,Harytlar!$A$5:$A$44,0)),""))</f>
        <v/>
      </c>
      <c r="F650" s="10" t="str">
        <f t="shared" si="10"/>
        <v/>
      </c>
      <c r="G650" s="10" t="str">
        <f>IF(OR(C650="",B650=""),"",IFERROR(C650*INDEX(Harytlar!$D$5:$D$44,MATCH(B650,Harytlar!$A$5:$A$44,0)),""))</f>
        <v/>
      </c>
    </row>
    <row r="651" spans="1:7" x14ac:dyDescent="0.3">
      <c r="A651" s="17"/>
      <c r="B651" s="18"/>
      <c r="C651" s="18"/>
      <c r="D651" s="18"/>
      <c r="E651" s="10" t="str">
        <f>IF(B651="","",IFERROR(INDEX(Harytlar!$C$5:$C$44,MATCH(B651,Harytlar!$A$5:$A$44,0)),""))</f>
        <v/>
      </c>
      <c r="F651" s="10" t="str">
        <f t="shared" si="10"/>
        <v/>
      </c>
      <c r="G651" s="10" t="str">
        <f>IF(OR(C651="",B651=""),"",IFERROR(C651*INDEX(Harytlar!$D$5:$D$44,MATCH(B651,Harytlar!$A$5:$A$44,0)),""))</f>
        <v/>
      </c>
    </row>
    <row r="652" spans="1:7" x14ac:dyDescent="0.3">
      <c r="A652" s="17"/>
      <c r="B652" s="18"/>
      <c r="C652" s="18"/>
      <c r="D652" s="18"/>
      <c r="E652" s="10" t="str">
        <f>IF(B652="","",IFERROR(INDEX(Harytlar!$C$5:$C$44,MATCH(B652,Harytlar!$A$5:$A$44,0)),""))</f>
        <v/>
      </c>
      <c r="F652" s="10" t="str">
        <f t="shared" si="10"/>
        <v/>
      </c>
      <c r="G652" s="10" t="str">
        <f>IF(OR(C652="",B652=""),"",IFERROR(C652*INDEX(Harytlar!$D$5:$D$44,MATCH(B652,Harytlar!$A$5:$A$44,0)),""))</f>
        <v/>
      </c>
    </row>
    <row r="653" spans="1:7" x14ac:dyDescent="0.3">
      <c r="A653" s="17"/>
      <c r="B653" s="18"/>
      <c r="C653" s="18"/>
      <c r="D653" s="18"/>
      <c r="E653" s="10" t="str">
        <f>IF(B653="","",IFERROR(INDEX(Harytlar!$C$5:$C$44,MATCH(B653,Harytlar!$A$5:$A$44,0)),""))</f>
        <v/>
      </c>
      <c r="F653" s="10" t="str">
        <f t="shared" si="10"/>
        <v/>
      </c>
      <c r="G653" s="10" t="str">
        <f>IF(OR(C653="",B653=""),"",IFERROR(C653*INDEX(Harytlar!$D$5:$D$44,MATCH(B653,Harytlar!$A$5:$A$44,0)),""))</f>
        <v/>
      </c>
    </row>
    <row r="654" spans="1:7" x14ac:dyDescent="0.3">
      <c r="A654" s="17"/>
      <c r="B654" s="18"/>
      <c r="C654" s="18"/>
      <c r="D654" s="18"/>
      <c r="E654" s="10" t="str">
        <f>IF(B654="","",IFERROR(INDEX(Harytlar!$C$5:$C$44,MATCH(B654,Harytlar!$A$5:$A$44,0)),""))</f>
        <v/>
      </c>
      <c r="F654" s="10" t="str">
        <f t="shared" si="10"/>
        <v/>
      </c>
      <c r="G654" s="10" t="str">
        <f>IF(OR(C654="",B654=""),"",IFERROR(C654*INDEX(Harytlar!$D$5:$D$44,MATCH(B654,Harytlar!$A$5:$A$44,0)),""))</f>
        <v/>
      </c>
    </row>
    <row r="655" spans="1:7" x14ac:dyDescent="0.3">
      <c r="A655" s="17"/>
      <c r="B655" s="18"/>
      <c r="C655" s="18"/>
      <c r="D655" s="18"/>
      <c r="E655" s="10" t="str">
        <f>IF(B655="","",IFERROR(INDEX(Harytlar!$C$5:$C$44,MATCH(B655,Harytlar!$A$5:$A$44,0)),""))</f>
        <v/>
      </c>
      <c r="F655" s="10" t="str">
        <f t="shared" si="10"/>
        <v/>
      </c>
      <c r="G655" s="10" t="str">
        <f>IF(OR(C655="",B655=""),"",IFERROR(C655*INDEX(Harytlar!$D$5:$D$44,MATCH(B655,Harytlar!$A$5:$A$44,0)),""))</f>
        <v/>
      </c>
    </row>
    <row r="656" spans="1:7" x14ac:dyDescent="0.3">
      <c r="A656" s="17"/>
      <c r="B656" s="18"/>
      <c r="C656" s="18"/>
      <c r="D656" s="18"/>
      <c r="E656" s="10" t="str">
        <f>IF(B656="","",IFERROR(INDEX(Harytlar!$C$5:$C$44,MATCH(B656,Harytlar!$A$5:$A$44,0)),""))</f>
        <v/>
      </c>
      <c r="F656" s="10" t="str">
        <f t="shared" si="10"/>
        <v/>
      </c>
      <c r="G656" s="10" t="str">
        <f>IF(OR(C656="",B656=""),"",IFERROR(C656*INDEX(Harytlar!$D$5:$D$44,MATCH(B656,Harytlar!$A$5:$A$44,0)),""))</f>
        <v/>
      </c>
    </row>
    <row r="657" spans="1:7" x14ac:dyDescent="0.3">
      <c r="A657" s="17"/>
      <c r="B657" s="18"/>
      <c r="C657" s="18"/>
      <c r="D657" s="18"/>
      <c r="E657" s="10" t="str">
        <f>IF(B657="","",IFERROR(INDEX(Harytlar!$C$5:$C$44,MATCH(B657,Harytlar!$A$5:$A$44,0)),""))</f>
        <v/>
      </c>
      <c r="F657" s="10" t="str">
        <f t="shared" si="10"/>
        <v/>
      </c>
      <c r="G657" s="10" t="str">
        <f>IF(OR(C657="",B657=""),"",IFERROR(C657*INDEX(Harytlar!$D$5:$D$44,MATCH(B657,Harytlar!$A$5:$A$44,0)),""))</f>
        <v/>
      </c>
    </row>
    <row r="658" spans="1:7" x14ac:dyDescent="0.3">
      <c r="A658" s="17"/>
      <c r="B658" s="18"/>
      <c r="C658" s="18"/>
      <c r="D658" s="18"/>
      <c r="E658" s="10" t="str">
        <f>IF(B658="","",IFERROR(INDEX(Harytlar!$C$5:$C$44,MATCH(B658,Harytlar!$A$5:$A$44,0)),""))</f>
        <v/>
      </c>
      <c r="F658" s="10" t="str">
        <f t="shared" si="10"/>
        <v/>
      </c>
      <c r="G658" s="10" t="str">
        <f>IF(OR(C658="",B658=""),"",IFERROR(C658*INDEX(Harytlar!$D$5:$D$44,MATCH(B658,Harytlar!$A$5:$A$44,0)),""))</f>
        <v/>
      </c>
    </row>
    <row r="659" spans="1:7" x14ac:dyDescent="0.3">
      <c r="A659" s="17"/>
      <c r="B659" s="18"/>
      <c r="C659" s="18"/>
      <c r="D659" s="18"/>
      <c r="E659" s="10" t="str">
        <f>IF(B659="","",IFERROR(INDEX(Harytlar!$C$5:$C$44,MATCH(B659,Harytlar!$A$5:$A$44,0)),""))</f>
        <v/>
      </c>
      <c r="F659" s="10" t="str">
        <f t="shared" si="10"/>
        <v/>
      </c>
      <c r="G659" s="10" t="str">
        <f>IF(OR(C659="",B659=""),"",IFERROR(C659*INDEX(Harytlar!$D$5:$D$44,MATCH(B659,Harytlar!$A$5:$A$44,0)),""))</f>
        <v/>
      </c>
    </row>
    <row r="660" spans="1:7" x14ac:dyDescent="0.3">
      <c r="A660" s="17"/>
      <c r="B660" s="18"/>
      <c r="C660" s="18"/>
      <c r="D660" s="18"/>
      <c r="E660" s="10" t="str">
        <f>IF(B660="","",IFERROR(INDEX(Harytlar!$C$5:$C$44,MATCH(B660,Harytlar!$A$5:$A$44,0)),""))</f>
        <v/>
      </c>
      <c r="F660" s="10" t="str">
        <f t="shared" si="10"/>
        <v/>
      </c>
      <c r="G660" s="10" t="str">
        <f>IF(OR(C660="",B660=""),"",IFERROR(C660*INDEX(Harytlar!$D$5:$D$44,MATCH(B660,Harytlar!$A$5:$A$44,0)),""))</f>
        <v/>
      </c>
    </row>
    <row r="661" spans="1:7" x14ac:dyDescent="0.3">
      <c r="A661" s="17"/>
      <c r="B661" s="18"/>
      <c r="C661" s="18"/>
      <c r="D661" s="18"/>
      <c r="E661" s="10" t="str">
        <f>IF(B661="","",IFERROR(INDEX(Harytlar!$C$5:$C$44,MATCH(B661,Harytlar!$A$5:$A$44,0)),""))</f>
        <v/>
      </c>
      <c r="F661" s="10" t="str">
        <f t="shared" si="10"/>
        <v/>
      </c>
      <c r="G661" s="10" t="str">
        <f>IF(OR(C661="",B661=""),"",IFERROR(C661*INDEX(Harytlar!$D$5:$D$44,MATCH(B661,Harytlar!$A$5:$A$44,0)),""))</f>
        <v/>
      </c>
    </row>
    <row r="662" spans="1:7" x14ac:dyDescent="0.3">
      <c r="A662" s="17"/>
      <c r="B662" s="18"/>
      <c r="C662" s="18"/>
      <c r="D662" s="18"/>
      <c r="E662" s="10" t="str">
        <f>IF(B662="","",IFERROR(INDEX(Harytlar!$C$5:$C$44,MATCH(B662,Harytlar!$A$5:$A$44,0)),""))</f>
        <v/>
      </c>
      <c r="F662" s="10" t="str">
        <f t="shared" si="10"/>
        <v/>
      </c>
      <c r="G662" s="10" t="str">
        <f>IF(OR(C662="",B662=""),"",IFERROR(C662*INDEX(Harytlar!$D$5:$D$44,MATCH(B662,Harytlar!$A$5:$A$44,0)),""))</f>
        <v/>
      </c>
    </row>
    <row r="663" spans="1:7" x14ac:dyDescent="0.3">
      <c r="A663" s="17"/>
      <c r="B663" s="18"/>
      <c r="C663" s="18"/>
      <c r="D663" s="18"/>
      <c r="E663" s="10" t="str">
        <f>IF(B663="","",IFERROR(INDEX(Harytlar!$C$5:$C$44,MATCH(B663,Harytlar!$A$5:$A$44,0)),""))</f>
        <v/>
      </c>
      <c r="F663" s="10" t="str">
        <f t="shared" si="10"/>
        <v/>
      </c>
      <c r="G663" s="10" t="str">
        <f>IF(OR(C663="",B663=""),"",IFERROR(C663*INDEX(Harytlar!$D$5:$D$44,MATCH(B663,Harytlar!$A$5:$A$44,0)),""))</f>
        <v/>
      </c>
    </row>
    <row r="664" spans="1:7" x14ac:dyDescent="0.3">
      <c r="A664" s="17"/>
      <c r="B664" s="18"/>
      <c r="C664" s="18"/>
      <c r="D664" s="18"/>
      <c r="E664" s="10" t="str">
        <f>IF(B664="","",IFERROR(INDEX(Harytlar!$C$5:$C$44,MATCH(B664,Harytlar!$A$5:$A$44,0)),""))</f>
        <v/>
      </c>
      <c r="F664" s="10" t="str">
        <f t="shared" si="10"/>
        <v/>
      </c>
      <c r="G664" s="10" t="str">
        <f>IF(OR(C664="",B664=""),"",IFERROR(C664*INDEX(Harytlar!$D$5:$D$44,MATCH(B664,Harytlar!$A$5:$A$44,0)),""))</f>
        <v/>
      </c>
    </row>
    <row r="665" spans="1:7" x14ac:dyDescent="0.3">
      <c r="A665" s="17"/>
      <c r="B665" s="18"/>
      <c r="C665" s="18"/>
      <c r="D665" s="18"/>
      <c r="E665" s="10" t="str">
        <f>IF(B665="","",IFERROR(INDEX(Harytlar!$C$5:$C$44,MATCH(B665,Harytlar!$A$5:$A$44,0)),""))</f>
        <v/>
      </c>
      <c r="F665" s="10" t="str">
        <f t="shared" si="10"/>
        <v/>
      </c>
      <c r="G665" s="10" t="str">
        <f>IF(OR(C665="",B665=""),"",IFERROR(C665*INDEX(Harytlar!$D$5:$D$44,MATCH(B665,Harytlar!$A$5:$A$44,0)),""))</f>
        <v/>
      </c>
    </row>
    <row r="666" spans="1:7" x14ac:dyDescent="0.3">
      <c r="A666" s="17"/>
      <c r="B666" s="18"/>
      <c r="C666" s="18"/>
      <c r="D666" s="18"/>
      <c r="E666" s="10" t="str">
        <f>IF(B666="","",IFERROR(INDEX(Harytlar!$C$5:$C$44,MATCH(B666,Harytlar!$A$5:$A$44,0)),""))</f>
        <v/>
      </c>
      <c r="F666" s="10" t="str">
        <f t="shared" si="10"/>
        <v/>
      </c>
      <c r="G666" s="10" t="str">
        <f>IF(OR(C666="",B666=""),"",IFERROR(C666*INDEX(Harytlar!$D$5:$D$44,MATCH(B666,Harytlar!$A$5:$A$44,0)),""))</f>
        <v/>
      </c>
    </row>
    <row r="667" spans="1:7" x14ac:dyDescent="0.3">
      <c r="A667" s="17"/>
      <c r="B667" s="18"/>
      <c r="C667" s="18"/>
      <c r="D667" s="18"/>
      <c r="E667" s="10" t="str">
        <f>IF(B667="","",IFERROR(INDEX(Harytlar!$C$5:$C$44,MATCH(B667,Harytlar!$A$5:$A$44,0)),""))</f>
        <v/>
      </c>
      <c r="F667" s="10" t="str">
        <f t="shared" si="10"/>
        <v/>
      </c>
      <c r="G667" s="10" t="str">
        <f>IF(OR(C667="",B667=""),"",IFERROR(C667*INDEX(Harytlar!$D$5:$D$44,MATCH(B667,Harytlar!$A$5:$A$44,0)),""))</f>
        <v/>
      </c>
    </row>
    <row r="668" spans="1:7" x14ac:dyDescent="0.3">
      <c r="A668" s="17"/>
      <c r="B668" s="18"/>
      <c r="C668" s="18"/>
      <c r="D668" s="18"/>
      <c r="E668" s="10" t="str">
        <f>IF(B668="","",IFERROR(INDEX(Harytlar!$C$5:$C$44,MATCH(B668,Harytlar!$A$5:$A$44,0)),""))</f>
        <v/>
      </c>
      <c r="F668" s="10" t="str">
        <f t="shared" si="10"/>
        <v/>
      </c>
      <c r="G668" s="10" t="str">
        <f>IF(OR(C668="",B668=""),"",IFERROR(C668*INDEX(Harytlar!$D$5:$D$44,MATCH(B668,Harytlar!$A$5:$A$44,0)),""))</f>
        <v/>
      </c>
    </row>
    <row r="669" spans="1:7" x14ac:dyDescent="0.3">
      <c r="A669" s="17"/>
      <c r="B669" s="18"/>
      <c r="C669" s="18"/>
      <c r="D669" s="18"/>
      <c r="E669" s="10" t="str">
        <f>IF(B669="","",IFERROR(INDEX(Harytlar!$C$5:$C$44,MATCH(B669,Harytlar!$A$5:$A$44,0)),""))</f>
        <v/>
      </c>
      <c r="F669" s="10" t="str">
        <f t="shared" si="10"/>
        <v/>
      </c>
      <c r="G669" s="10" t="str">
        <f>IF(OR(C669="",B669=""),"",IFERROR(C669*INDEX(Harytlar!$D$5:$D$44,MATCH(B669,Harytlar!$A$5:$A$44,0)),""))</f>
        <v/>
      </c>
    </row>
    <row r="670" spans="1:7" x14ac:dyDescent="0.3">
      <c r="A670" s="17"/>
      <c r="B670" s="18"/>
      <c r="C670" s="18"/>
      <c r="D670" s="18"/>
      <c r="E670" s="10" t="str">
        <f>IF(B670="","",IFERROR(INDEX(Harytlar!$C$5:$C$44,MATCH(B670,Harytlar!$A$5:$A$44,0)),""))</f>
        <v/>
      </c>
      <c r="F670" s="10" t="str">
        <f t="shared" si="10"/>
        <v/>
      </c>
      <c r="G670" s="10" t="str">
        <f>IF(OR(C670="",B670=""),"",IFERROR(C670*INDEX(Harytlar!$D$5:$D$44,MATCH(B670,Harytlar!$A$5:$A$44,0)),""))</f>
        <v/>
      </c>
    </row>
    <row r="671" spans="1:7" x14ac:dyDescent="0.3">
      <c r="A671" s="17"/>
      <c r="B671" s="18"/>
      <c r="C671" s="18"/>
      <c r="D671" s="18"/>
      <c r="E671" s="10" t="str">
        <f>IF(B671="","",IFERROR(INDEX(Harytlar!$C$5:$C$44,MATCH(B671,Harytlar!$A$5:$A$44,0)),""))</f>
        <v/>
      </c>
      <c r="F671" s="10" t="str">
        <f t="shared" si="10"/>
        <v/>
      </c>
      <c r="G671" s="10" t="str">
        <f>IF(OR(C671="",B671=""),"",IFERROR(C671*INDEX(Harytlar!$D$5:$D$44,MATCH(B671,Harytlar!$A$5:$A$44,0)),""))</f>
        <v/>
      </c>
    </row>
    <row r="672" spans="1:7" x14ac:dyDescent="0.3">
      <c r="A672" s="17"/>
      <c r="B672" s="18"/>
      <c r="C672" s="18"/>
      <c r="D672" s="18"/>
      <c r="E672" s="10" t="str">
        <f>IF(B672="","",IFERROR(INDEX(Harytlar!$C$5:$C$44,MATCH(B672,Harytlar!$A$5:$A$44,0)),""))</f>
        <v/>
      </c>
      <c r="F672" s="10" t="str">
        <f t="shared" si="10"/>
        <v/>
      </c>
      <c r="G672" s="10" t="str">
        <f>IF(OR(C672="",B672=""),"",IFERROR(C672*INDEX(Harytlar!$D$5:$D$44,MATCH(B672,Harytlar!$A$5:$A$44,0)),""))</f>
        <v/>
      </c>
    </row>
    <row r="673" spans="1:7" x14ac:dyDescent="0.3">
      <c r="A673" s="17"/>
      <c r="B673" s="18"/>
      <c r="C673" s="18"/>
      <c r="D673" s="18"/>
      <c r="E673" s="10" t="str">
        <f>IF(B673="","",IFERROR(INDEX(Harytlar!$C$5:$C$44,MATCH(B673,Harytlar!$A$5:$A$44,0)),""))</f>
        <v/>
      </c>
      <c r="F673" s="10" t="str">
        <f t="shared" si="10"/>
        <v/>
      </c>
      <c r="G673" s="10" t="str">
        <f>IF(OR(C673="",B673=""),"",IFERROR(C673*INDEX(Harytlar!$D$5:$D$44,MATCH(B673,Harytlar!$A$5:$A$44,0)),""))</f>
        <v/>
      </c>
    </row>
    <row r="674" spans="1:7" x14ac:dyDescent="0.3">
      <c r="A674" s="17"/>
      <c r="B674" s="18"/>
      <c r="C674" s="18"/>
      <c r="D674" s="18"/>
      <c r="E674" s="10" t="str">
        <f>IF(B674="","",IFERROR(INDEX(Harytlar!$C$5:$C$44,MATCH(B674,Harytlar!$A$5:$A$44,0)),""))</f>
        <v/>
      </c>
      <c r="F674" s="10" t="str">
        <f t="shared" si="10"/>
        <v/>
      </c>
      <c r="G674" s="10" t="str">
        <f>IF(OR(C674="",B674=""),"",IFERROR(C674*INDEX(Harytlar!$D$5:$D$44,MATCH(B674,Harytlar!$A$5:$A$44,0)),""))</f>
        <v/>
      </c>
    </row>
    <row r="675" spans="1:7" x14ac:dyDescent="0.3">
      <c r="A675" s="17"/>
      <c r="B675" s="18"/>
      <c r="C675" s="18"/>
      <c r="D675" s="18"/>
      <c r="E675" s="10" t="str">
        <f>IF(B675="","",IFERROR(INDEX(Harytlar!$C$5:$C$44,MATCH(B675,Harytlar!$A$5:$A$44,0)),""))</f>
        <v/>
      </c>
      <c r="F675" s="10" t="str">
        <f t="shared" si="10"/>
        <v/>
      </c>
      <c r="G675" s="10" t="str">
        <f>IF(OR(C675="",B675=""),"",IFERROR(C675*INDEX(Harytlar!$D$5:$D$44,MATCH(B675,Harytlar!$A$5:$A$44,0)),""))</f>
        <v/>
      </c>
    </row>
    <row r="676" spans="1:7" x14ac:dyDescent="0.3">
      <c r="A676" s="17"/>
      <c r="B676" s="18"/>
      <c r="C676" s="18"/>
      <c r="D676" s="18"/>
      <c r="E676" s="10" t="str">
        <f>IF(B676="","",IFERROR(INDEX(Harytlar!$C$5:$C$44,MATCH(B676,Harytlar!$A$5:$A$44,0)),""))</f>
        <v/>
      </c>
      <c r="F676" s="10" t="str">
        <f t="shared" si="10"/>
        <v/>
      </c>
      <c r="G676" s="10" t="str">
        <f>IF(OR(C676="",B676=""),"",IFERROR(C676*INDEX(Harytlar!$D$5:$D$44,MATCH(B676,Harytlar!$A$5:$A$44,0)),""))</f>
        <v/>
      </c>
    </row>
    <row r="677" spans="1:7" x14ac:dyDescent="0.3">
      <c r="A677" s="17"/>
      <c r="B677" s="18"/>
      <c r="C677" s="18"/>
      <c r="D677" s="18"/>
      <c r="E677" s="10" t="str">
        <f>IF(B677="","",IFERROR(INDEX(Harytlar!$C$5:$C$44,MATCH(B677,Harytlar!$A$5:$A$44,0)),""))</f>
        <v/>
      </c>
      <c r="F677" s="10" t="str">
        <f t="shared" si="10"/>
        <v/>
      </c>
      <c r="G677" s="10" t="str">
        <f>IF(OR(C677="",B677=""),"",IFERROR(C677*INDEX(Harytlar!$D$5:$D$44,MATCH(B677,Harytlar!$A$5:$A$44,0)),""))</f>
        <v/>
      </c>
    </row>
    <row r="678" spans="1:7" x14ac:dyDescent="0.3">
      <c r="A678" s="17"/>
      <c r="B678" s="18"/>
      <c r="C678" s="18"/>
      <c r="D678" s="18"/>
      <c r="E678" s="10" t="str">
        <f>IF(B678="","",IFERROR(INDEX(Harytlar!$C$5:$C$44,MATCH(B678,Harytlar!$A$5:$A$44,0)),""))</f>
        <v/>
      </c>
      <c r="F678" s="10" t="str">
        <f t="shared" si="10"/>
        <v/>
      </c>
      <c r="G678" s="10" t="str">
        <f>IF(OR(C678="",B678=""),"",IFERROR(C678*INDEX(Harytlar!$D$5:$D$44,MATCH(B678,Harytlar!$A$5:$A$44,0)),""))</f>
        <v/>
      </c>
    </row>
    <row r="679" spans="1:7" x14ac:dyDescent="0.3">
      <c r="A679" s="17"/>
      <c r="B679" s="18"/>
      <c r="C679" s="18"/>
      <c r="D679" s="18"/>
      <c r="E679" s="10" t="str">
        <f>IF(B679="","",IFERROR(INDEX(Harytlar!$C$5:$C$44,MATCH(B679,Harytlar!$A$5:$A$44,0)),""))</f>
        <v/>
      </c>
      <c r="F679" s="10" t="str">
        <f t="shared" si="10"/>
        <v/>
      </c>
      <c r="G679" s="10" t="str">
        <f>IF(OR(C679="",B679=""),"",IFERROR(C679*INDEX(Harytlar!$D$5:$D$44,MATCH(B679,Harytlar!$A$5:$A$44,0)),""))</f>
        <v/>
      </c>
    </row>
    <row r="680" spans="1:7" x14ac:dyDescent="0.3">
      <c r="A680" s="17"/>
      <c r="B680" s="18"/>
      <c r="C680" s="18"/>
      <c r="D680" s="18"/>
      <c r="E680" s="10" t="str">
        <f>IF(B680="","",IFERROR(INDEX(Harytlar!$C$5:$C$44,MATCH(B680,Harytlar!$A$5:$A$44,0)),""))</f>
        <v/>
      </c>
      <c r="F680" s="10" t="str">
        <f t="shared" si="10"/>
        <v/>
      </c>
      <c r="G680" s="10" t="str">
        <f>IF(OR(C680="",B680=""),"",IFERROR(C680*INDEX(Harytlar!$D$5:$D$44,MATCH(B680,Harytlar!$A$5:$A$44,0)),""))</f>
        <v/>
      </c>
    </row>
    <row r="681" spans="1:7" x14ac:dyDescent="0.3">
      <c r="A681" s="17"/>
      <c r="B681" s="18"/>
      <c r="C681" s="18"/>
      <c r="D681" s="18"/>
      <c r="E681" s="10" t="str">
        <f>IF(B681="","",IFERROR(INDEX(Harytlar!$C$5:$C$44,MATCH(B681,Harytlar!$A$5:$A$44,0)),""))</f>
        <v/>
      </c>
      <c r="F681" s="10" t="str">
        <f t="shared" si="10"/>
        <v/>
      </c>
      <c r="G681" s="10" t="str">
        <f>IF(OR(C681="",B681=""),"",IFERROR(C681*INDEX(Harytlar!$D$5:$D$44,MATCH(B681,Harytlar!$A$5:$A$44,0)),""))</f>
        <v/>
      </c>
    </row>
    <row r="682" spans="1:7" x14ac:dyDescent="0.3">
      <c r="A682" s="17"/>
      <c r="B682" s="18"/>
      <c r="C682" s="18"/>
      <c r="D682" s="18"/>
      <c r="E682" s="10" t="str">
        <f>IF(B682="","",IFERROR(INDEX(Harytlar!$C$5:$C$44,MATCH(B682,Harytlar!$A$5:$A$44,0)),""))</f>
        <v/>
      </c>
      <c r="F682" s="10" t="str">
        <f t="shared" si="10"/>
        <v/>
      </c>
      <c r="G682" s="10" t="str">
        <f>IF(OR(C682="",B682=""),"",IFERROR(C682*INDEX(Harytlar!$D$5:$D$44,MATCH(B682,Harytlar!$A$5:$A$44,0)),""))</f>
        <v/>
      </c>
    </row>
    <row r="683" spans="1:7" x14ac:dyDescent="0.3">
      <c r="A683" s="17"/>
      <c r="B683" s="18"/>
      <c r="C683" s="18"/>
      <c r="D683" s="18"/>
      <c r="E683" s="10" t="str">
        <f>IF(B683="","",IFERROR(INDEX(Harytlar!$C$5:$C$44,MATCH(B683,Harytlar!$A$5:$A$44,0)),""))</f>
        <v/>
      </c>
      <c r="F683" s="10" t="str">
        <f t="shared" si="10"/>
        <v/>
      </c>
      <c r="G683" s="10" t="str">
        <f>IF(OR(C683="",B683=""),"",IFERROR(C683*INDEX(Harytlar!$D$5:$D$44,MATCH(B683,Harytlar!$A$5:$A$44,0)),""))</f>
        <v/>
      </c>
    </row>
    <row r="684" spans="1:7" x14ac:dyDescent="0.3">
      <c r="A684" s="17"/>
      <c r="B684" s="18"/>
      <c r="C684" s="18"/>
      <c r="D684" s="18"/>
      <c r="E684" s="10" t="str">
        <f>IF(B684="","",IFERROR(INDEX(Harytlar!$C$5:$C$44,MATCH(B684,Harytlar!$A$5:$A$44,0)),""))</f>
        <v/>
      </c>
      <c r="F684" s="10" t="str">
        <f t="shared" si="10"/>
        <v/>
      </c>
      <c r="G684" s="10" t="str">
        <f>IF(OR(C684="",B684=""),"",IFERROR(C684*INDEX(Harytlar!$D$5:$D$44,MATCH(B684,Harytlar!$A$5:$A$44,0)),""))</f>
        <v/>
      </c>
    </row>
    <row r="685" spans="1:7" x14ac:dyDescent="0.3">
      <c r="A685" s="17"/>
      <c r="B685" s="18"/>
      <c r="C685" s="18"/>
      <c r="D685" s="18"/>
      <c r="E685" s="10" t="str">
        <f>IF(B685="","",IFERROR(INDEX(Harytlar!$C$5:$C$44,MATCH(B685,Harytlar!$A$5:$A$44,0)),""))</f>
        <v/>
      </c>
      <c r="F685" s="10" t="str">
        <f t="shared" si="10"/>
        <v/>
      </c>
      <c r="G685" s="10" t="str">
        <f>IF(OR(C685="",B685=""),"",IFERROR(C685*INDEX(Harytlar!$D$5:$D$44,MATCH(B685,Harytlar!$A$5:$A$44,0)),""))</f>
        <v/>
      </c>
    </row>
    <row r="686" spans="1:7" x14ac:dyDescent="0.3">
      <c r="A686" s="17"/>
      <c r="B686" s="18"/>
      <c r="C686" s="18"/>
      <c r="D686" s="18"/>
      <c r="E686" s="10" t="str">
        <f>IF(B686="","",IFERROR(INDEX(Harytlar!$C$5:$C$44,MATCH(B686,Harytlar!$A$5:$A$44,0)),""))</f>
        <v/>
      </c>
      <c r="F686" s="10" t="str">
        <f t="shared" si="10"/>
        <v/>
      </c>
      <c r="G686" s="10" t="str">
        <f>IF(OR(C686="",B686=""),"",IFERROR(C686*INDEX(Harytlar!$D$5:$D$44,MATCH(B686,Harytlar!$A$5:$A$44,0)),""))</f>
        <v/>
      </c>
    </row>
    <row r="687" spans="1:7" x14ac:dyDescent="0.3">
      <c r="A687" s="17"/>
      <c r="B687" s="18"/>
      <c r="C687" s="18"/>
      <c r="D687" s="18"/>
      <c r="E687" s="10" t="str">
        <f>IF(B687="","",IFERROR(INDEX(Harytlar!$C$5:$C$44,MATCH(B687,Harytlar!$A$5:$A$44,0)),""))</f>
        <v/>
      </c>
      <c r="F687" s="10" t="str">
        <f t="shared" si="10"/>
        <v/>
      </c>
      <c r="G687" s="10" t="str">
        <f>IF(OR(C687="",B687=""),"",IFERROR(C687*INDEX(Harytlar!$D$5:$D$44,MATCH(B687,Harytlar!$A$5:$A$44,0)),""))</f>
        <v/>
      </c>
    </row>
    <row r="688" spans="1:7" x14ac:dyDescent="0.3">
      <c r="A688" s="17"/>
      <c r="B688" s="18"/>
      <c r="C688" s="18"/>
      <c r="D688" s="18"/>
      <c r="E688" s="10" t="str">
        <f>IF(B688="","",IFERROR(INDEX(Harytlar!$C$5:$C$44,MATCH(B688,Harytlar!$A$5:$A$44,0)),""))</f>
        <v/>
      </c>
      <c r="F688" s="10" t="str">
        <f t="shared" si="10"/>
        <v/>
      </c>
      <c r="G688" s="10" t="str">
        <f>IF(OR(C688="",B688=""),"",IFERROR(C688*INDEX(Harytlar!$D$5:$D$44,MATCH(B688,Harytlar!$A$5:$A$44,0)),""))</f>
        <v/>
      </c>
    </row>
    <row r="689" spans="1:7" x14ac:dyDescent="0.3">
      <c r="A689" s="17"/>
      <c r="B689" s="18"/>
      <c r="C689" s="18"/>
      <c r="D689" s="18"/>
      <c r="E689" s="10" t="str">
        <f>IF(B689="","",IFERROR(INDEX(Harytlar!$C$5:$C$44,MATCH(B689,Harytlar!$A$5:$A$44,0)),""))</f>
        <v/>
      </c>
      <c r="F689" s="10" t="str">
        <f t="shared" si="10"/>
        <v/>
      </c>
      <c r="G689" s="10" t="str">
        <f>IF(OR(C689="",B689=""),"",IFERROR(C689*INDEX(Harytlar!$D$5:$D$44,MATCH(B689,Harytlar!$A$5:$A$44,0)),""))</f>
        <v/>
      </c>
    </row>
    <row r="690" spans="1:7" x14ac:dyDescent="0.3">
      <c r="A690" s="17"/>
      <c r="B690" s="18"/>
      <c r="C690" s="18"/>
      <c r="D690" s="18"/>
      <c r="E690" s="10" t="str">
        <f>IF(B690="","",IFERROR(INDEX(Harytlar!$C$5:$C$44,MATCH(B690,Harytlar!$A$5:$A$44,0)),""))</f>
        <v/>
      </c>
      <c r="F690" s="10" t="str">
        <f t="shared" si="10"/>
        <v/>
      </c>
      <c r="G690" s="10" t="str">
        <f>IF(OR(C690="",B690=""),"",IFERROR(C690*INDEX(Harytlar!$D$5:$D$44,MATCH(B690,Harytlar!$A$5:$A$44,0)),""))</f>
        <v/>
      </c>
    </row>
    <row r="691" spans="1:7" x14ac:dyDescent="0.3">
      <c r="A691" s="17"/>
      <c r="B691" s="18"/>
      <c r="C691" s="18"/>
      <c r="D691" s="18"/>
      <c r="E691" s="10" t="str">
        <f>IF(B691="","",IFERROR(INDEX(Harytlar!$C$5:$C$44,MATCH(B691,Harytlar!$A$5:$A$44,0)),""))</f>
        <v/>
      </c>
      <c r="F691" s="10" t="str">
        <f t="shared" si="10"/>
        <v/>
      </c>
      <c r="G691" s="10" t="str">
        <f>IF(OR(C691="",B691=""),"",IFERROR(C691*INDEX(Harytlar!$D$5:$D$44,MATCH(B691,Harytlar!$A$5:$A$44,0)),""))</f>
        <v/>
      </c>
    </row>
    <row r="692" spans="1:7" x14ac:dyDescent="0.3">
      <c r="A692" s="17"/>
      <c r="B692" s="18"/>
      <c r="C692" s="18"/>
      <c r="D692" s="18"/>
      <c r="E692" s="10" t="str">
        <f>IF(B692="","",IFERROR(INDEX(Harytlar!$C$5:$C$44,MATCH(B692,Harytlar!$A$5:$A$44,0)),""))</f>
        <v/>
      </c>
      <c r="F692" s="10" t="str">
        <f t="shared" si="10"/>
        <v/>
      </c>
      <c r="G692" s="10" t="str">
        <f>IF(OR(C692="",B692=""),"",IFERROR(C692*INDEX(Harytlar!$D$5:$D$44,MATCH(B692,Harytlar!$A$5:$A$44,0)),""))</f>
        <v/>
      </c>
    </row>
    <row r="693" spans="1:7" x14ac:dyDescent="0.3">
      <c r="A693" s="17"/>
      <c r="B693" s="18"/>
      <c r="C693" s="18"/>
      <c r="D693" s="18"/>
      <c r="E693" s="10" t="str">
        <f>IF(B693="","",IFERROR(INDEX(Harytlar!$C$5:$C$44,MATCH(B693,Harytlar!$A$5:$A$44,0)),""))</f>
        <v/>
      </c>
      <c r="F693" s="10" t="str">
        <f t="shared" si="10"/>
        <v/>
      </c>
      <c r="G693" s="10" t="str">
        <f>IF(OR(C693="",B693=""),"",IFERROR(C693*INDEX(Harytlar!$D$5:$D$44,MATCH(B693,Harytlar!$A$5:$A$44,0)),""))</f>
        <v/>
      </c>
    </row>
    <row r="694" spans="1:7" x14ac:dyDescent="0.3">
      <c r="A694" s="17"/>
      <c r="B694" s="18"/>
      <c r="C694" s="18"/>
      <c r="D694" s="18"/>
      <c r="E694" s="10" t="str">
        <f>IF(B694="","",IFERROR(INDEX(Harytlar!$C$5:$C$44,MATCH(B694,Harytlar!$A$5:$A$44,0)),""))</f>
        <v/>
      </c>
      <c r="F694" s="10" t="str">
        <f t="shared" si="10"/>
        <v/>
      </c>
      <c r="G694" s="10" t="str">
        <f>IF(OR(C694="",B694=""),"",IFERROR(C694*INDEX(Harytlar!$D$5:$D$44,MATCH(B694,Harytlar!$A$5:$A$44,0)),""))</f>
        <v/>
      </c>
    </row>
    <row r="695" spans="1:7" x14ac:dyDescent="0.3">
      <c r="A695" s="17"/>
      <c r="B695" s="18"/>
      <c r="C695" s="18"/>
      <c r="D695" s="18"/>
      <c r="E695" s="10" t="str">
        <f>IF(B695="","",IFERROR(INDEX(Harytlar!$C$5:$C$44,MATCH(B695,Harytlar!$A$5:$A$44,0)),""))</f>
        <v/>
      </c>
      <c r="F695" s="10" t="str">
        <f t="shared" si="10"/>
        <v/>
      </c>
      <c r="G695" s="10" t="str">
        <f>IF(OR(C695="",B695=""),"",IFERROR(C695*INDEX(Harytlar!$D$5:$D$44,MATCH(B695,Harytlar!$A$5:$A$44,0)),""))</f>
        <v/>
      </c>
    </row>
    <row r="696" spans="1:7" x14ac:dyDescent="0.3">
      <c r="A696" s="17"/>
      <c r="B696" s="18"/>
      <c r="C696" s="18"/>
      <c r="D696" s="18"/>
      <c r="E696" s="10" t="str">
        <f>IF(B696="","",IFERROR(INDEX(Harytlar!$C$5:$C$44,MATCH(B696,Harytlar!$A$5:$A$44,0)),""))</f>
        <v/>
      </c>
      <c r="F696" s="10" t="str">
        <f t="shared" si="10"/>
        <v/>
      </c>
      <c r="G696" s="10" t="str">
        <f>IF(OR(C696="",B696=""),"",IFERROR(C696*INDEX(Harytlar!$D$5:$D$44,MATCH(B696,Harytlar!$A$5:$A$44,0)),""))</f>
        <v/>
      </c>
    </row>
    <row r="697" spans="1:7" x14ac:dyDescent="0.3">
      <c r="A697" s="17"/>
      <c r="B697" s="18"/>
      <c r="C697" s="18"/>
      <c r="D697" s="18"/>
      <c r="E697" s="10" t="str">
        <f>IF(B697="","",IFERROR(INDEX(Harytlar!$C$5:$C$44,MATCH(B697,Harytlar!$A$5:$A$44,0)),""))</f>
        <v/>
      </c>
      <c r="F697" s="10" t="str">
        <f t="shared" si="10"/>
        <v/>
      </c>
      <c r="G697" s="10" t="str">
        <f>IF(OR(C697="",B697=""),"",IFERROR(C697*INDEX(Harytlar!$D$5:$D$44,MATCH(B697,Harytlar!$A$5:$A$44,0)),""))</f>
        <v/>
      </c>
    </row>
    <row r="698" spans="1:7" x14ac:dyDescent="0.3">
      <c r="A698" s="17"/>
      <c r="B698" s="18"/>
      <c r="C698" s="18"/>
      <c r="D698" s="18"/>
      <c r="E698" s="10" t="str">
        <f>IF(B698="","",IFERROR(INDEX(Harytlar!$C$5:$C$44,MATCH(B698,Harytlar!$A$5:$A$44,0)),""))</f>
        <v/>
      </c>
      <c r="F698" s="10" t="str">
        <f t="shared" si="10"/>
        <v/>
      </c>
      <c r="G698" s="10" t="str">
        <f>IF(OR(C698="",B698=""),"",IFERROR(C698*INDEX(Harytlar!$D$5:$D$44,MATCH(B698,Harytlar!$A$5:$A$44,0)),""))</f>
        <v/>
      </c>
    </row>
    <row r="699" spans="1:7" x14ac:dyDescent="0.3">
      <c r="A699" s="17"/>
      <c r="B699" s="18"/>
      <c r="C699" s="18"/>
      <c r="D699" s="18"/>
      <c r="E699" s="10" t="str">
        <f>IF(B699="","",IFERROR(INDEX(Harytlar!$C$5:$C$44,MATCH(B699,Harytlar!$A$5:$A$44,0)),""))</f>
        <v/>
      </c>
      <c r="F699" s="10" t="str">
        <f t="shared" si="10"/>
        <v/>
      </c>
      <c r="G699" s="10" t="str">
        <f>IF(OR(C699="",B699=""),"",IFERROR(C699*INDEX(Harytlar!$D$5:$D$44,MATCH(B699,Harytlar!$A$5:$A$44,0)),""))</f>
        <v/>
      </c>
    </row>
    <row r="700" spans="1:7" x14ac:dyDescent="0.3">
      <c r="A700" s="17"/>
      <c r="B700" s="18"/>
      <c r="C700" s="18"/>
      <c r="D700" s="18"/>
      <c r="E700" s="10" t="str">
        <f>IF(B700="","",IFERROR(INDEX(Harytlar!$C$5:$C$44,MATCH(B700,Harytlar!$A$5:$A$44,0)),""))</f>
        <v/>
      </c>
      <c r="F700" s="10" t="str">
        <f t="shared" si="10"/>
        <v/>
      </c>
      <c r="G700" s="10" t="str">
        <f>IF(OR(C700="",B700=""),"",IFERROR(C700*INDEX(Harytlar!$D$5:$D$44,MATCH(B700,Harytlar!$A$5:$A$44,0)),""))</f>
        <v/>
      </c>
    </row>
    <row r="701" spans="1:7" x14ac:dyDescent="0.3">
      <c r="A701" s="17"/>
      <c r="B701" s="18"/>
      <c r="C701" s="18"/>
      <c r="D701" s="18"/>
      <c r="E701" s="10" t="str">
        <f>IF(B701="","",IFERROR(INDEX(Harytlar!$C$5:$C$44,MATCH(B701,Harytlar!$A$5:$A$44,0)),""))</f>
        <v/>
      </c>
      <c r="F701" s="10" t="str">
        <f t="shared" si="10"/>
        <v/>
      </c>
      <c r="G701" s="10" t="str">
        <f>IF(OR(C701="",B701=""),"",IFERROR(C701*INDEX(Harytlar!$D$5:$D$44,MATCH(B701,Harytlar!$A$5:$A$44,0)),""))</f>
        <v/>
      </c>
    </row>
    <row r="702" spans="1:7" x14ac:dyDescent="0.3">
      <c r="A702" s="17"/>
      <c r="B702" s="18"/>
      <c r="C702" s="18"/>
      <c r="D702" s="18"/>
      <c r="E702" s="10" t="str">
        <f>IF(B702="","",IFERROR(INDEX(Harytlar!$C$5:$C$44,MATCH(B702,Harytlar!$A$5:$A$44,0)),""))</f>
        <v/>
      </c>
      <c r="F702" s="10" t="str">
        <f t="shared" si="10"/>
        <v/>
      </c>
      <c r="G702" s="10" t="str">
        <f>IF(OR(C702="",B702=""),"",IFERROR(C702*INDEX(Harytlar!$D$5:$D$44,MATCH(B702,Harytlar!$A$5:$A$44,0)),""))</f>
        <v/>
      </c>
    </row>
    <row r="703" spans="1:7" x14ac:dyDescent="0.3">
      <c r="A703" s="17"/>
      <c r="B703" s="18"/>
      <c r="C703" s="18"/>
      <c r="D703" s="18"/>
      <c r="E703" s="10" t="str">
        <f>IF(B703="","",IFERROR(INDEX(Harytlar!$C$5:$C$44,MATCH(B703,Harytlar!$A$5:$A$44,0)),""))</f>
        <v/>
      </c>
      <c r="F703" s="10" t="str">
        <f t="shared" si="10"/>
        <v/>
      </c>
      <c r="G703" s="10" t="str">
        <f>IF(OR(C703="",B703=""),"",IFERROR(C703*INDEX(Harytlar!$D$5:$D$44,MATCH(B703,Harytlar!$A$5:$A$44,0)),""))</f>
        <v/>
      </c>
    </row>
    <row r="704" spans="1:7" x14ac:dyDescent="0.3">
      <c r="A704" s="17"/>
      <c r="B704" s="18"/>
      <c r="C704" s="18"/>
      <c r="D704" s="18"/>
      <c r="E704" s="10" t="str">
        <f>IF(B704="","",IFERROR(INDEX(Harytlar!$C$5:$C$44,MATCH(B704,Harytlar!$A$5:$A$44,0)),""))</f>
        <v/>
      </c>
      <c r="F704" s="10" t="str">
        <f t="shared" si="10"/>
        <v/>
      </c>
      <c r="G704" s="10" t="str">
        <f>IF(OR(C704="",B704=""),"",IFERROR(C704*INDEX(Harytlar!$D$5:$D$44,MATCH(B704,Harytlar!$A$5:$A$44,0)),""))</f>
        <v/>
      </c>
    </row>
    <row r="705" spans="1:7" x14ac:dyDescent="0.3">
      <c r="A705" s="17"/>
      <c r="B705" s="18"/>
      <c r="C705" s="18"/>
      <c r="D705" s="18"/>
      <c r="E705" s="10" t="str">
        <f>IF(B705="","",IFERROR(INDEX(Harytlar!$C$5:$C$44,MATCH(B705,Harytlar!$A$5:$A$44,0)),""))</f>
        <v/>
      </c>
      <c r="F705" s="10" t="str">
        <f t="shared" si="10"/>
        <v/>
      </c>
      <c r="G705" s="10" t="str">
        <f>IF(OR(C705="",B705=""),"",IFERROR(C705*INDEX(Harytlar!$D$5:$D$44,MATCH(B705,Harytlar!$A$5:$A$44,0)),""))</f>
        <v/>
      </c>
    </row>
    <row r="706" spans="1:7" x14ac:dyDescent="0.3">
      <c r="A706" s="17"/>
      <c r="B706" s="18"/>
      <c r="C706" s="18"/>
      <c r="D706" s="18"/>
      <c r="E706" s="10" t="str">
        <f>IF(B706="","",IFERROR(INDEX(Harytlar!$C$5:$C$44,MATCH(B706,Harytlar!$A$5:$A$44,0)),""))</f>
        <v/>
      </c>
      <c r="F706" s="10" t="str">
        <f t="shared" si="10"/>
        <v/>
      </c>
      <c r="G706" s="10" t="str">
        <f>IF(OR(C706="",B706=""),"",IFERROR(C706*INDEX(Harytlar!$D$5:$D$44,MATCH(B706,Harytlar!$A$5:$A$44,0)),""))</f>
        <v/>
      </c>
    </row>
    <row r="707" spans="1:7" x14ac:dyDescent="0.3">
      <c r="A707" s="17"/>
      <c r="B707" s="18"/>
      <c r="C707" s="18"/>
      <c r="D707" s="18"/>
      <c r="E707" s="10" t="str">
        <f>IF(B707="","",IFERROR(INDEX(Harytlar!$C$5:$C$44,MATCH(B707,Harytlar!$A$5:$A$44,0)),""))</f>
        <v/>
      </c>
      <c r="F707" s="10" t="str">
        <f t="shared" si="10"/>
        <v/>
      </c>
      <c r="G707" s="10" t="str">
        <f>IF(OR(C707="",B707=""),"",IFERROR(C707*INDEX(Harytlar!$D$5:$D$44,MATCH(B707,Harytlar!$A$5:$A$44,0)),""))</f>
        <v/>
      </c>
    </row>
    <row r="708" spans="1:7" x14ac:dyDescent="0.3">
      <c r="A708" s="17"/>
      <c r="B708" s="18"/>
      <c r="C708" s="18"/>
      <c r="D708" s="18"/>
      <c r="E708" s="10" t="str">
        <f>IF(B708="","",IFERROR(INDEX(Harytlar!$C$5:$C$44,MATCH(B708,Harytlar!$A$5:$A$44,0)),""))</f>
        <v/>
      </c>
      <c r="F708" s="10" t="str">
        <f t="shared" si="10"/>
        <v/>
      </c>
      <c r="G708" s="10" t="str">
        <f>IF(OR(C708="",B708=""),"",IFERROR(C708*INDEX(Harytlar!$D$5:$D$44,MATCH(B708,Harytlar!$A$5:$A$44,0)),""))</f>
        <v/>
      </c>
    </row>
    <row r="709" spans="1:7" x14ac:dyDescent="0.3">
      <c r="A709" s="17"/>
      <c r="B709" s="18"/>
      <c r="C709" s="18"/>
      <c r="D709" s="18"/>
      <c r="E709" s="10" t="str">
        <f>IF(B709="","",IFERROR(INDEX(Harytlar!$C$5:$C$44,MATCH(B709,Harytlar!$A$5:$A$44,0)),""))</f>
        <v/>
      </c>
      <c r="F709" s="10" t="str">
        <f t="shared" si="10"/>
        <v/>
      </c>
      <c r="G709" s="10" t="str">
        <f>IF(OR(C709="",B709=""),"",IFERROR(C709*INDEX(Harytlar!$D$5:$D$44,MATCH(B709,Harytlar!$A$5:$A$44,0)),""))</f>
        <v/>
      </c>
    </row>
    <row r="710" spans="1:7" x14ac:dyDescent="0.3">
      <c r="A710" s="17"/>
      <c r="B710" s="18"/>
      <c r="C710" s="18"/>
      <c r="D710" s="18"/>
      <c r="E710" s="10" t="str">
        <f>IF(B710="","",IFERROR(INDEX(Harytlar!$C$5:$C$44,MATCH(B710,Harytlar!$A$5:$A$44,0)),""))</f>
        <v/>
      </c>
      <c r="F710" s="10" t="str">
        <f t="shared" ref="F710:F773" si="11">IF(OR(C710="",E710=""),"",C710*E710)</f>
        <v/>
      </c>
      <c r="G710" s="10" t="str">
        <f>IF(OR(C710="",B710=""),"",IFERROR(C710*INDEX(Harytlar!$D$5:$D$44,MATCH(B710,Harytlar!$A$5:$A$44,0)),""))</f>
        <v/>
      </c>
    </row>
    <row r="711" spans="1:7" x14ac:dyDescent="0.3">
      <c r="A711" s="17"/>
      <c r="B711" s="18"/>
      <c r="C711" s="18"/>
      <c r="D711" s="18"/>
      <c r="E711" s="10" t="str">
        <f>IF(B711="","",IFERROR(INDEX(Harytlar!$C$5:$C$44,MATCH(B711,Harytlar!$A$5:$A$44,0)),""))</f>
        <v/>
      </c>
      <c r="F711" s="10" t="str">
        <f t="shared" si="11"/>
        <v/>
      </c>
      <c r="G711" s="10" t="str">
        <f>IF(OR(C711="",B711=""),"",IFERROR(C711*INDEX(Harytlar!$D$5:$D$44,MATCH(B711,Harytlar!$A$5:$A$44,0)),""))</f>
        <v/>
      </c>
    </row>
    <row r="712" spans="1:7" x14ac:dyDescent="0.3">
      <c r="A712" s="17"/>
      <c r="B712" s="18"/>
      <c r="C712" s="18"/>
      <c r="D712" s="18"/>
      <c r="E712" s="10" t="str">
        <f>IF(B712="","",IFERROR(INDEX(Harytlar!$C$5:$C$44,MATCH(B712,Harytlar!$A$5:$A$44,0)),""))</f>
        <v/>
      </c>
      <c r="F712" s="10" t="str">
        <f t="shared" si="11"/>
        <v/>
      </c>
      <c r="G712" s="10" t="str">
        <f>IF(OR(C712="",B712=""),"",IFERROR(C712*INDEX(Harytlar!$D$5:$D$44,MATCH(B712,Harytlar!$A$5:$A$44,0)),""))</f>
        <v/>
      </c>
    </row>
    <row r="713" spans="1:7" x14ac:dyDescent="0.3">
      <c r="A713" s="17"/>
      <c r="B713" s="18"/>
      <c r="C713" s="18"/>
      <c r="D713" s="18"/>
      <c r="E713" s="10" t="str">
        <f>IF(B713="","",IFERROR(INDEX(Harytlar!$C$5:$C$44,MATCH(B713,Harytlar!$A$5:$A$44,0)),""))</f>
        <v/>
      </c>
      <c r="F713" s="10" t="str">
        <f t="shared" si="11"/>
        <v/>
      </c>
      <c r="G713" s="10" t="str">
        <f>IF(OR(C713="",B713=""),"",IFERROR(C713*INDEX(Harytlar!$D$5:$D$44,MATCH(B713,Harytlar!$A$5:$A$44,0)),""))</f>
        <v/>
      </c>
    </row>
    <row r="714" spans="1:7" x14ac:dyDescent="0.3">
      <c r="A714" s="17"/>
      <c r="B714" s="18"/>
      <c r="C714" s="18"/>
      <c r="D714" s="18"/>
      <c r="E714" s="10" t="str">
        <f>IF(B714="","",IFERROR(INDEX(Harytlar!$C$5:$C$44,MATCH(B714,Harytlar!$A$5:$A$44,0)),""))</f>
        <v/>
      </c>
      <c r="F714" s="10" t="str">
        <f t="shared" si="11"/>
        <v/>
      </c>
      <c r="G714" s="10" t="str">
        <f>IF(OR(C714="",B714=""),"",IFERROR(C714*INDEX(Harytlar!$D$5:$D$44,MATCH(B714,Harytlar!$A$5:$A$44,0)),""))</f>
        <v/>
      </c>
    </row>
    <row r="715" spans="1:7" x14ac:dyDescent="0.3">
      <c r="A715" s="17"/>
      <c r="B715" s="18"/>
      <c r="C715" s="18"/>
      <c r="D715" s="18"/>
      <c r="E715" s="10" t="str">
        <f>IF(B715="","",IFERROR(INDEX(Harytlar!$C$5:$C$44,MATCH(B715,Harytlar!$A$5:$A$44,0)),""))</f>
        <v/>
      </c>
      <c r="F715" s="10" t="str">
        <f t="shared" si="11"/>
        <v/>
      </c>
      <c r="G715" s="10" t="str">
        <f>IF(OR(C715="",B715=""),"",IFERROR(C715*INDEX(Harytlar!$D$5:$D$44,MATCH(B715,Harytlar!$A$5:$A$44,0)),""))</f>
        <v/>
      </c>
    </row>
    <row r="716" spans="1:7" x14ac:dyDescent="0.3">
      <c r="A716" s="17"/>
      <c r="B716" s="18"/>
      <c r="C716" s="18"/>
      <c r="D716" s="18"/>
      <c r="E716" s="10" t="str">
        <f>IF(B716="","",IFERROR(INDEX(Harytlar!$C$5:$C$44,MATCH(B716,Harytlar!$A$5:$A$44,0)),""))</f>
        <v/>
      </c>
      <c r="F716" s="10" t="str">
        <f t="shared" si="11"/>
        <v/>
      </c>
      <c r="G716" s="10" t="str">
        <f>IF(OR(C716="",B716=""),"",IFERROR(C716*INDEX(Harytlar!$D$5:$D$44,MATCH(B716,Harytlar!$A$5:$A$44,0)),""))</f>
        <v/>
      </c>
    </row>
    <row r="717" spans="1:7" x14ac:dyDescent="0.3">
      <c r="A717" s="17"/>
      <c r="B717" s="18"/>
      <c r="C717" s="18"/>
      <c r="D717" s="18"/>
      <c r="E717" s="10" t="str">
        <f>IF(B717="","",IFERROR(INDEX(Harytlar!$C$5:$C$44,MATCH(B717,Harytlar!$A$5:$A$44,0)),""))</f>
        <v/>
      </c>
      <c r="F717" s="10" t="str">
        <f t="shared" si="11"/>
        <v/>
      </c>
      <c r="G717" s="10" t="str">
        <f>IF(OR(C717="",B717=""),"",IFERROR(C717*INDEX(Harytlar!$D$5:$D$44,MATCH(B717,Harytlar!$A$5:$A$44,0)),""))</f>
        <v/>
      </c>
    </row>
    <row r="718" spans="1:7" x14ac:dyDescent="0.3">
      <c r="A718" s="17"/>
      <c r="B718" s="18"/>
      <c r="C718" s="18"/>
      <c r="D718" s="18"/>
      <c r="E718" s="10" t="str">
        <f>IF(B718="","",IFERROR(INDEX(Harytlar!$C$5:$C$44,MATCH(B718,Harytlar!$A$5:$A$44,0)),""))</f>
        <v/>
      </c>
      <c r="F718" s="10" t="str">
        <f t="shared" si="11"/>
        <v/>
      </c>
      <c r="G718" s="10" t="str">
        <f>IF(OR(C718="",B718=""),"",IFERROR(C718*INDEX(Harytlar!$D$5:$D$44,MATCH(B718,Harytlar!$A$5:$A$44,0)),""))</f>
        <v/>
      </c>
    </row>
    <row r="719" spans="1:7" x14ac:dyDescent="0.3">
      <c r="A719" s="17"/>
      <c r="B719" s="18"/>
      <c r="C719" s="18"/>
      <c r="D719" s="18"/>
      <c r="E719" s="10" t="str">
        <f>IF(B719="","",IFERROR(INDEX(Harytlar!$C$5:$C$44,MATCH(B719,Harytlar!$A$5:$A$44,0)),""))</f>
        <v/>
      </c>
      <c r="F719" s="10" t="str">
        <f t="shared" si="11"/>
        <v/>
      </c>
      <c r="G719" s="10" t="str">
        <f>IF(OR(C719="",B719=""),"",IFERROR(C719*INDEX(Harytlar!$D$5:$D$44,MATCH(B719,Harytlar!$A$5:$A$44,0)),""))</f>
        <v/>
      </c>
    </row>
    <row r="720" spans="1:7" x14ac:dyDescent="0.3">
      <c r="A720" s="17"/>
      <c r="B720" s="18"/>
      <c r="C720" s="18"/>
      <c r="D720" s="18"/>
      <c r="E720" s="10" t="str">
        <f>IF(B720="","",IFERROR(INDEX(Harytlar!$C$5:$C$44,MATCH(B720,Harytlar!$A$5:$A$44,0)),""))</f>
        <v/>
      </c>
      <c r="F720" s="10" t="str">
        <f t="shared" si="11"/>
        <v/>
      </c>
      <c r="G720" s="10" t="str">
        <f>IF(OR(C720="",B720=""),"",IFERROR(C720*INDEX(Harytlar!$D$5:$D$44,MATCH(B720,Harytlar!$A$5:$A$44,0)),""))</f>
        <v/>
      </c>
    </row>
    <row r="721" spans="1:7" x14ac:dyDescent="0.3">
      <c r="A721" s="17"/>
      <c r="B721" s="18"/>
      <c r="C721" s="18"/>
      <c r="D721" s="18"/>
      <c r="E721" s="10" t="str">
        <f>IF(B721="","",IFERROR(INDEX(Harytlar!$C$5:$C$44,MATCH(B721,Harytlar!$A$5:$A$44,0)),""))</f>
        <v/>
      </c>
      <c r="F721" s="10" t="str">
        <f t="shared" si="11"/>
        <v/>
      </c>
      <c r="G721" s="10" t="str">
        <f>IF(OR(C721="",B721=""),"",IFERROR(C721*INDEX(Harytlar!$D$5:$D$44,MATCH(B721,Harytlar!$A$5:$A$44,0)),""))</f>
        <v/>
      </c>
    </row>
    <row r="722" spans="1:7" x14ac:dyDescent="0.3">
      <c r="A722" s="17"/>
      <c r="B722" s="18"/>
      <c r="C722" s="18"/>
      <c r="D722" s="18"/>
      <c r="E722" s="10" t="str">
        <f>IF(B722="","",IFERROR(INDEX(Harytlar!$C$5:$C$44,MATCH(B722,Harytlar!$A$5:$A$44,0)),""))</f>
        <v/>
      </c>
      <c r="F722" s="10" t="str">
        <f t="shared" si="11"/>
        <v/>
      </c>
      <c r="G722" s="10" t="str">
        <f>IF(OR(C722="",B722=""),"",IFERROR(C722*INDEX(Harytlar!$D$5:$D$44,MATCH(B722,Harytlar!$A$5:$A$44,0)),""))</f>
        <v/>
      </c>
    </row>
    <row r="723" spans="1:7" x14ac:dyDescent="0.3">
      <c r="A723" s="17"/>
      <c r="B723" s="18"/>
      <c r="C723" s="18"/>
      <c r="D723" s="18"/>
      <c r="E723" s="10" t="str">
        <f>IF(B723="","",IFERROR(INDEX(Harytlar!$C$5:$C$44,MATCH(B723,Harytlar!$A$5:$A$44,0)),""))</f>
        <v/>
      </c>
      <c r="F723" s="10" t="str">
        <f t="shared" si="11"/>
        <v/>
      </c>
      <c r="G723" s="10" t="str">
        <f>IF(OR(C723="",B723=""),"",IFERROR(C723*INDEX(Harytlar!$D$5:$D$44,MATCH(B723,Harytlar!$A$5:$A$44,0)),""))</f>
        <v/>
      </c>
    </row>
    <row r="724" spans="1:7" x14ac:dyDescent="0.3">
      <c r="A724" s="17"/>
      <c r="B724" s="18"/>
      <c r="C724" s="18"/>
      <c r="D724" s="18"/>
      <c r="E724" s="10" t="str">
        <f>IF(B724="","",IFERROR(INDEX(Harytlar!$C$5:$C$44,MATCH(B724,Harytlar!$A$5:$A$44,0)),""))</f>
        <v/>
      </c>
      <c r="F724" s="10" t="str">
        <f t="shared" si="11"/>
        <v/>
      </c>
      <c r="G724" s="10" t="str">
        <f>IF(OR(C724="",B724=""),"",IFERROR(C724*INDEX(Harytlar!$D$5:$D$44,MATCH(B724,Harytlar!$A$5:$A$44,0)),""))</f>
        <v/>
      </c>
    </row>
    <row r="725" spans="1:7" x14ac:dyDescent="0.3">
      <c r="A725" s="17"/>
      <c r="B725" s="18"/>
      <c r="C725" s="18"/>
      <c r="D725" s="18"/>
      <c r="E725" s="10" t="str">
        <f>IF(B725="","",IFERROR(INDEX(Harytlar!$C$5:$C$44,MATCH(B725,Harytlar!$A$5:$A$44,0)),""))</f>
        <v/>
      </c>
      <c r="F725" s="10" t="str">
        <f t="shared" si="11"/>
        <v/>
      </c>
      <c r="G725" s="10" t="str">
        <f>IF(OR(C725="",B725=""),"",IFERROR(C725*INDEX(Harytlar!$D$5:$D$44,MATCH(B725,Harytlar!$A$5:$A$44,0)),""))</f>
        <v/>
      </c>
    </row>
    <row r="726" spans="1:7" x14ac:dyDescent="0.3">
      <c r="A726" s="17"/>
      <c r="B726" s="18"/>
      <c r="C726" s="18"/>
      <c r="D726" s="18"/>
      <c r="E726" s="10" t="str">
        <f>IF(B726="","",IFERROR(INDEX(Harytlar!$C$5:$C$44,MATCH(B726,Harytlar!$A$5:$A$44,0)),""))</f>
        <v/>
      </c>
      <c r="F726" s="10" t="str">
        <f t="shared" si="11"/>
        <v/>
      </c>
      <c r="G726" s="10" t="str">
        <f>IF(OR(C726="",B726=""),"",IFERROR(C726*INDEX(Harytlar!$D$5:$D$44,MATCH(B726,Harytlar!$A$5:$A$44,0)),""))</f>
        <v/>
      </c>
    </row>
    <row r="727" spans="1:7" x14ac:dyDescent="0.3">
      <c r="A727" s="17"/>
      <c r="B727" s="18"/>
      <c r="C727" s="18"/>
      <c r="D727" s="18"/>
      <c r="E727" s="10" t="str">
        <f>IF(B727="","",IFERROR(INDEX(Harytlar!$C$5:$C$44,MATCH(B727,Harytlar!$A$5:$A$44,0)),""))</f>
        <v/>
      </c>
      <c r="F727" s="10" t="str">
        <f t="shared" si="11"/>
        <v/>
      </c>
      <c r="G727" s="10" t="str">
        <f>IF(OR(C727="",B727=""),"",IFERROR(C727*INDEX(Harytlar!$D$5:$D$44,MATCH(B727,Harytlar!$A$5:$A$44,0)),""))</f>
        <v/>
      </c>
    </row>
    <row r="728" spans="1:7" x14ac:dyDescent="0.3">
      <c r="A728" s="17"/>
      <c r="B728" s="18"/>
      <c r="C728" s="18"/>
      <c r="D728" s="18"/>
      <c r="E728" s="10" t="str">
        <f>IF(B728="","",IFERROR(INDEX(Harytlar!$C$5:$C$44,MATCH(B728,Harytlar!$A$5:$A$44,0)),""))</f>
        <v/>
      </c>
      <c r="F728" s="10" t="str">
        <f t="shared" si="11"/>
        <v/>
      </c>
      <c r="G728" s="10" t="str">
        <f>IF(OR(C728="",B728=""),"",IFERROR(C728*INDEX(Harytlar!$D$5:$D$44,MATCH(B728,Harytlar!$A$5:$A$44,0)),""))</f>
        <v/>
      </c>
    </row>
    <row r="729" spans="1:7" x14ac:dyDescent="0.3">
      <c r="A729" s="17"/>
      <c r="B729" s="18"/>
      <c r="C729" s="18"/>
      <c r="D729" s="18"/>
      <c r="E729" s="10" t="str">
        <f>IF(B729="","",IFERROR(INDEX(Harytlar!$C$5:$C$44,MATCH(B729,Harytlar!$A$5:$A$44,0)),""))</f>
        <v/>
      </c>
      <c r="F729" s="10" t="str">
        <f t="shared" si="11"/>
        <v/>
      </c>
      <c r="G729" s="10" t="str">
        <f>IF(OR(C729="",B729=""),"",IFERROR(C729*INDEX(Harytlar!$D$5:$D$44,MATCH(B729,Harytlar!$A$5:$A$44,0)),""))</f>
        <v/>
      </c>
    </row>
    <row r="730" spans="1:7" x14ac:dyDescent="0.3">
      <c r="A730" s="17"/>
      <c r="B730" s="18"/>
      <c r="C730" s="18"/>
      <c r="D730" s="18"/>
      <c r="E730" s="10" t="str">
        <f>IF(B730="","",IFERROR(INDEX(Harytlar!$C$5:$C$44,MATCH(B730,Harytlar!$A$5:$A$44,0)),""))</f>
        <v/>
      </c>
      <c r="F730" s="10" t="str">
        <f t="shared" si="11"/>
        <v/>
      </c>
      <c r="G730" s="10" t="str">
        <f>IF(OR(C730="",B730=""),"",IFERROR(C730*INDEX(Harytlar!$D$5:$D$44,MATCH(B730,Harytlar!$A$5:$A$44,0)),""))</f>
        <v/>
      </c>
    </row>
    <row r="731" spans="1:7" x14ac:dyDescent="0.3">
      <c r="A731" s="17"/>
      <c r="B731" s="18"/>
      <c r="C731" s="18"/>
      <c r="D731" s="18"/>
      <c r="E731" s="10" t="str">
        <f>IF(B731="","",IFERROR(INDEX(Harytlar!$C$5:$C$44,MATCH(B731,Harytlar!$A$5:$A$44,0)),""))</f>
        <v/>
      </c>
      <c r="F731" s="10" t="str">
        <f t="shared" si="11"/>
        <v/>
      </c>
      <c r="G731" s="10" t="str">
        <f>IF(OR(C731="",B731=""),"",IFERROR(C731*INDEX(Harytlar!$D$5:$D$44,MATCH(B731,Harytlar!$A$5:$A$44,0)),""))</f>
        <v/>
      </c>
    </row>
    <row r="732" spans="1:7" x14ac:dyDescent="0.3">
      <c r="A732" s="17"/>
      <c r="B732" s="18"/>
      <c r="C732" s="18"/>
      <c r="D732" s="18"/>
      <c r="E732" s="10" t="str">
        <f>IF(B732="","",IFERROR(INDEX(Harytlar!$C$5:$C$44,MATCH(B732,Harytlar!$A$5:$A$44,0)),""))</f>
        <v/>
      </c>
      <c r="F732" s="10" t="str">
        <f t="shared" si="11"/>
        <v/>
      </c>
      <c r="G732" s="10" t="str">
        <f>IF(OR(C732="",B732=""),"",IFERROR(C732*INDEX(Harytlar!$D$5:$D$44,MATCH(B732,Harytlar!$A$5:$A$44,0)),""))</f>
        <v/>
      </c>
    </row>
    <row r="733" spans="1:7" x14ac:dyDescent="0.3">
      <c r="A733" s="17"/>
      <c r="B733" s="18"/>
      <c r="C733" s="18"/>
      <c r="D733" s="18"/>
      <c r="E733" s="10" t="str">
        <f>IF(B733="","",IFERROR(INDEX(Harytlar!$C$5:$C$44,MATCH(B733,Harytlar!$A$5:$A$44,0)),""))</f>
        <v/>
      </c>
      <c r="F733" s="10" t="str">
        <f t="shared" si="11"/>
        <v/>
      </c>
      <c r="G733" s="10" t="str">
        <f>IF(OR(C733="",B733=""),"",IFERROR(C733*INDEX(Harytlar!$D$5:$D$44,MATCH(B733,Harytlar!$A$5:$A$44,0)),""))</f>
        <v/>
      </c>
    </row>
    <row r="734" spans="1:7" x14ac:dyDescent="0.3">
      <c r="A734" s="17"/>
      <c r="B734" s="18"/>
      <c r="C734" s="18"/>
      <c r="D734" s="18"/>
      <c r="E734" s="10" t="str">
        <f>IF(B734="","",IFERROR(INDEX(Harytlar!$C$5:$C$44,MATCH(B734,Harytlar!$A$5:$A$44,0)),""))</f>
        <v/>
      </c>
      <c r="F734" s="10" t="str">
        <f t="shared" si="11"/>
        <v/>
      </c>
      <c r="G734" s="10" t="str">
        <f>IF(OR(C734="",B734=""),"",IFERROR(C734*INDEX(Harytlar!$D$5:$D$44,MATCH(B734,Harytlar!$A$5:$A$44,0)),""))</f>
        <v/>
      </c>
    </row>
    <row r="735" spans="1:7" x14ac:dyDescent="0.3">
      <c r="A735" s="17"/>
      <c r="B735" s="18"/>
      <c r="C735" s="18"/>
      <c r="D735" s="18"/>
      <c r="E735" s="10" t="str">
        <f>IF(B735="","",IFERROR(INDEX(Harytlar!$C$5:$C$44,MATCH(B735,Harytlar!$A$5:$A$44,0)),""))</f>
        <v/>
      </c>
      <c r="F735" s="10" t="str">
        <f t="shared" si="11"/>
        <v/>
      </c>
      <c r="G735" s="10" t="str">
        <f>IF(OR(C735="",B735=""),"",IFERROR(C735*INDEX(Harytlar!$D$5:$D$44,MATCH(B735,Harytlar!$A$5:$A$44,0)),""))</f>
        <v/>
      </c>
    </row>
    <row r="736" spans="1:7" x14ac:dyDescent="0.3">
      <c r="A736" s="17"/>
      <c r="B736" s="18"/>
      <c r="C736" s="18"/>
      <c r="D736" s="18"/>
      <c r="E736" s="10" t="str">
        <f>IF(B736="","",IFERROR(INDEX(Harytlar!$C$5:$C$44,MATCH(B736,Harytlar!$A$5:$A$44,0)),""))</f>
        <v/>
      </c>
      <c r="F736" s="10" t="str">
        <f t="shared" si="11"/>
        <v/>
      </c>
      <c r="G736" s="10" t="str">
        <f>IF(OR(C736="",B736=""),"",IFERROR(C736*INDEX(Harytlar!$D$5:$D$44,MATCH(B736,Harytlar!$A$5:$A$44,0)),""))</f>
        <v/>
      </c>
    </row>
    <row r="737" spans="1:7" x14ac:dyDescent="0.3">
      <c r="A737" s="17"/>
      <c r="B737" s="18"/>
      <c r="C737" s="18"/>
      <c r="D737" s="18"/>
      <c r="E737" s="10" t="str">
        <f>IF(B737="","",IFERROR(INDEX(Harytlar!$C$5:$C$44,MATCH(B737,Harytlar!$A$5:$A$44,0)),""))</f>
        <v/>
      </c>
      <c r="F737" s="10" t="str">
        <f t="shared" si="11"/>
        <v/>
      </c>
      <c r="G737" s="10" t="str">
        <f>IF(OR(C737="",B737=""),"",IFERROR(C737*INDEX(Harytlar!$D$5:$D$44,MATCH(B737,Harytlar!$A$5:$A$44,0)),""))</f>
        <v/>
      </c>
    </row>
    <row r="738" spans="1:7" x14ac:dyDescent="0.3">
      <c r="A738" s="17"/>
      <c r="B738" s="18"/>
      <c r="C738" s="18"/>
      <c r="D738" s="18"/>
      <c r="E738" s="10" t="str">
        <f>IF(B738="","",IFERROR(INDEX(Harytlar!$C$5:$C$44,MATCH(B738,Harytlar!$A$5:$A$44,0)),""))</f>
        <v/>
      </c>
      <c r="F738" s="10" t="str">
        <f t="shared" si="11"/>
        <v/>
      </c>
      <c r="G738" s="10" t="str">
        <f>IF(OR(C738="",B738=""),"",IFERROR(C738*INDEX(Harytlar!$D$5:$D$44,MATCH(B738,Harytlar!$A$5:$A$44,0)),""))</f>
        <v/>
      </c>
    </row>
    <row r="739" spans="1:7" x14ac:dyDescent="0.3">
      <c r="A739" s="17"/>
      <c r="B739" s="18"/>
      <c r="C739" s="18"/>
      <c r="D739" s="18"/>
      <c r="E739" s="10" t="str">
        <f>IF(B739="","",IFERROR(INDEX(Harytlar!$C$5:$C$44,MATCH(B739,Harytlar!$A$5:$A$44,0)),""))</f>
        <v/>
      </c>
      <c r="F739" s="10" t="str">
        <f t="shared" si="11"/>
        <v/>
      </c>
      <c r="G739" s="10" t="str">
        <f>IF(OR(C739="",B739=""),"",IFERROR(C739*INDEX(Harytlar!$D$5:$D$44,MATCH(B739,Harytlar!$A$5:$A$44,0)),""))</f>
        <v/>
      </c>
    </row>
    <row r="740" spans="1:7" x14ac:dyDescent="0.3">
      <c r="A740" s="17"/>
      <c r="B740" s="18"/>
      <c r="C740" s="18"/>
      <c r="D740" s="18"/>
      <c r="E740" s="10" t="str">
        <f>IF(B740="","",IFERROR(INDEX(Harytlar!$C$5:$C$44,MATCH(B740,Harytlar!$A$5:$A$44,0)),""))</f>
        <v/>
      </c>
      <c r="F740" s="10" t="str">
        <f t="shared" si="11"/>
        <v/>
      </c>
      <c r="G740" s="10" t="str">
        <f>IF(OR(C740="",B740=""),"",IFERROR(C740*INDEX(Harytlar!$D$5:$D$44,MATCH(B740,Harytlar!$A$5:$A$44,0)),""))</f>
        <v/>
      </c>
    </row>
    <row r="741" spans="1:7" x14ac:dyDescent="0.3">
      <c r="A741" s="17"/>
      <c r="B741" s="18"/>
      <c r="C741" s="18"/>
      <c r="D741" s="18"/>
      <c r="E741" s="10" t="str">
        <f>IF(B741="","",IFERROR(INDEX(Harytlar!$C$5:$C$44,MATCH(B741,Harytlar!$A$5:$A$44,0)),""))</f>
        <v/>
      </c>
      <c r="F741" s="10" t="str">
        <f t="shared" si="11"/>
        <v/>
      </c>
      <c r="G741" s="10" t="str">
        <f>IF(OR(C741="",B741=""),"",IFERROR(C741*INDEX(Harytlar!$D$5:$D$44,MATCH(B741,Harytlar!$A$5:$A$44,0)),""))</f>
        <v/>
      </c>
    </row>
    <row r="742" spans="1:7" x14ac:dyDescent="0.3">
      <c r="A742" s="17"/>
      <c r="B742" s="18"/>
      <c r="C742" s="18"/>
      <c r="D742" s="18"/>
      <c r="E742" s="10" t="str">
        <f>IF(B742="","",IFERROR(INDEX(Harytlar!$C$5:$C$44,MATCH(B742,Harytlar!$A$5:$A$44,0)),""))</f>
        <v/>
      </c>
      <c r="F742" s="10" t="str">
        <f t="shared" si="11"/>
        <v/>
      </c>
      <c r="G742" s="10" t="str">
        <f>IF(OR(C742="",B742=""),"",IFERROR(C742*INDEX(Harytlar!$D$5:$D$44,MATCH(B742,Harytlar!$A$5:$A$44,0)),""))</f>
        <v/>
      </c>
    </row>
    <row r="743" spans="1:7" x14ac:dyDescent="0.3">
      <c r="A743" s="17"/>
      <c r="B743" s="18"/>
      <c r="C743" s="18"/>
      <c r="D743" s="18"/>
      <c r="E743" s="10" t="str">
        <f>IF(B743="","",IFERROR(INDEX(Harytlar!$C$5:$C$44,MATCH(B743,Harytlar!$A$5:$A$44,0)),""))</f>
        <v/>
      </c>
      <c r="F743" s="10" t="str">
        <f t="shared" si="11"/>
        <v/>
      </c>
      <c r="G743" s="10" t="str">
        <f>IF(OR(C743="",B743=""),"",IFERROR(C743*INDEX(Harytlar!$D$5:$D$44,MATCH(B743,Harytlar!$A$5:$A$44,0)),""))</f>
        <v/>
      </c>
    </row>
    <row r="744" spans="1:7" x14ac:dyDescent="0.3">
      <c r="A744" s="17"/>
      <c r="B744" s="18"/>
      <c r="C744" s="18"/>
      <c r="D744" s="18"/>
      <c r="E744" s="10" t="str">
        <f>IF(B744="","",IFERROR(INDEX(Harytlar!$C$5:$C$44,MATCH(B744,Harytlar!$A$5:$A$44,0)),""))</f>
        <v/>
      </c>
      <c r="F744" s="10" t="str">
        <f t="shared" si="11"/>
        <v/>
      </c>
      <c r="G744" s="10" t="str">
        <f>IF(OR(C744="",B744=""),"",IFERROR(C744*INDEX(Harytlar!$D$5:$D$44,MATCH(B744,Harytlar!$A$5:$A$44,0)),""))</f>
        <v/>
      </c>
    </row>
    <row r="745" spans="1:7" x14ac:dyDescent="0.3">
      <c r="A745" s="17"/>
      <c r="B745" s="18"/>
      <c r="C745" s="18"/>
      <c r="D745" s="18"/>
      <c r="E745" s="10" t="str">
        <f>IF(B745="","",IFERROR(INDEX(Harytlar!$C$5:$C$44,MATCH(B745,Harytlar!$A$5:$A$44,0)),""))</f>
        <v/>
      </c>
      <c r="F745" s="10" t="str">
        <f t="shared" si="11"/>
        <v/>
      </c>
      <c r="G745" s="10" t="str">
        <f>IF(OR(C745="",B745=""),"",IFERROR(C745*INDEX(Harytlar!$D$5:$D$44,MATCH(B745,Harytlar!$A$5:$A$44,0)),""))</f>
        <v/>
      </c>
    </row>
    <row r="746" spans="1:7" x14ac:dyDescent="0.3">
      <c r="A746" s="17"/>
      <c r="B746" s="18"/>
      <c r="C746" s="18"/>
      <c r="D746" s="18"/>
      <c r="E746" s="10" t="str">
        <f>IF(B746="","",IFERROR(INDEX(Harytlar!$C$5:$C$44,MATCH(B746,Harytlar!$A$5:$A$44,0)),""))</f>
        <v/>
      </c>
      <c r="F746" s="10" t="str">
        <f t="shared" si="11"/>
        <v/>
      </c>
      <c r="G746" s="10" t="str">
        <f>IF(OR(C746="",B746=""),"",IFERROR(C746*INDEX(Harytlar!$D$5:$D$44,MATCH(B746,Harytlar!$A$5:$A$44,0)),""))</f>
        <v/>
      </c>
    </row>
    <row r="747" spans="1:7" x14ac:dyDescent="0.3">
      <c r="A747" s="17"/>
      <c r="B747" s="18"/>
      <c r="C747" s="18"/>
      <c r="D747" s="18"/>
      <c r="E747" s="10" t="str">
        <f>IF(B747="","",IFERROR(INDEX(Harytlar!$C$5:$C$44,MATCH(B747,Harytlar!$A$5:$A$44,0)),""))</f>
        <v/>
      </c>
      <c r="F747" s="10" t="str">
        <f t="shared" si="11"/>
        <v/>
      </c>
      <c r="G747" s="10" t="str">
        <f>IF(OR(C747="",B747=""),"",IFERROR(C747*INDEX(Harytlar!$D$5:$D$44,MATCH(B747,Harytlar!$A$5:$A$44,0)),""))</f>
        <v/>
      </c>
    </row>
    <row r="748" spans="1:7" x14ac:dyDescent="0.3">
      <c r="A748" s="17"/>
      <c r="B748" s="18"/>
      <c r="C748" s="18"/>
      <c r="D748" s="18"/>
      <c r="E748" s="10" t="str">
        <f>IF(B748="","",IFERROR(INDEX(Harytlar!$C$5:$C$44,MATCH(B748,Harytlar!$A$5:$A$44,0)),""))</f>
        <v/>
      </c>
      <c r="F748" s="10" t="str">
        <f t="shared" si="11"/>
        <v/>
      </c>
      <c r="G748" s="10" t="str">
        <f>IF(OR(C748="",B748=""),"",IFERROR(C748*INDEX(Harytlar!$D$5:$D$44,MATCH(B748,Harytlar!$A$5:$A$44,0)),""))</f>
        <v/>
      </c>
    </row>
    <row r="749" spans="1:7" x14ac:dyDescent="0.3">
      <c r="A749" s="17"/>
      <c r="B749" s="18"/>
      <c r="C749" s="18"/>
      <c r="D749" s="18"/>
      <c r="E749" s="10" t="str">
        <f>IF(B749="","",IFERROR(INDEX(Harytlar!$C$5:$C$44,MATCH(B749,Harytlar!$A$5:$A$44,0)),""))</f>
        <v/>
      </c>
      <c r="F749" s="10" t="str">
        <f t="shared" si="11"/>
        <v/>
      </c>
      <c r="G749" s="10" t="str">
        <f>IF(OR(C749="",B749=""),"",IFERROR(C749*INDEX(Harytlar!$D$5:$D$44,MATCH(B749,Harytlar!$A$5:$A$44,0)),""))</f>
        <v/>
      </c>
    </row>
    <row r="750" spans="1:7" x14ac:dyDescent="0.3">
      <c r="A750" s="17"/>
      <c r="B750" s="18"/>
      <c r="C750" s="18"/>
      <c r="D750" s="18"/>
      <c r="E750" s="10" t="str">
        <f>IF(B750="","",IFERROR(INDEX(Harytlar!$C$5:$C$44,MATCH(B750,Harytlar!$A$5:$A$44,0)),""))</f>
        <v/>
      </c>
      <c r="F750" s="10" t="str">
        <f t="shared" si="11"/>
        <v/>
      </c>
      <c r="G750" s="10" t="str">
        <f>IF(OR(C750="",B750=""),"",IFERROR(C750*INDEX(Harytlar!$D$5:$D$44,MATCH(B750,Harytlar!$A$5:$A$44,0)),""))</f>
        <v/>
      </c>
    </row>
    <row r="751" spans="1:7" x14ac:dyDescent="0.3">
      <c r="A751" s="17"/>
      <c r="B751" s="18"/>
      <c r="C751" s="18"/>
      <c r="D751" s="18"/>
      <c r="E751" s="10" t="str">
        <f>IF(B751="","",IFERROR(INDEX(Harytlar!$C$5:$C$44,MATCH(B751,Harytlar!$A$5:$A$44,0)),""))</f>
        <v/>
      </c>
      <c r="F751" s="10" t="str">
        <f t="shared" si="11"/>
        <v/>
      </c>
      <c r="G751" s="10" t="str">
        <f>IF(OR(C751="",B751=""),"",IFERROR(C751*INDEX(Harytlar!$D$5:$D$44,MATCH(B751,Harytlar!$A$5:$A$44,0)),""))</f>
        <v/>
      </c>
    </row>
    <row r="752" spans="1:7" x14ac:dyDescent="0.3">
      <c r="A752" s="17"/>
      <c r="B752" s="18"/>
      <c r="C752" s="18"/>
      <c r="D752" s="18"/>
      <c r="E752" s="10" t="str">
        <f>IF(B752="","",IFERROR(INDEX(Harytlar!$C$5:$C$44,MATCH(B752,Harytlar!$A$5:$A$44,0)),""))</f>
        <v/>
      </c>
      <c r="F752" s="10" t="str">
        <f t="shared" si="11"/>
        <v/>
      </c>
      <c r="G752" s="10" t="str">
        <f>IF(OR(C752="",B752=""),"",IFERROR(C752*INDEX(Harytlar!$D$5:$D$44,MATCH(B752,Harytlar!$A$5:$A$44,0)),""))</f>
        <v/>
      </c>
    </row>
    <row r="753" spans="1:7" x14ac:dyDescent="0.3">
      <c r="A753" s="17"/>
      <c r="B753" s="18"/>
      <c r="C753" s="18"/>
      <c r="D753" s="18"/>
      <c r="E753" s="10" t="str">
        <f>IF(B753="","",IFERROR(INDEX(Harytlar!$C$5:$C$44,MATCH(B753,Harytlar!$A$5:$A$44,0)),""))</f>
        <v/>
      </c>
      <c r="F753" s="10" t="str">
        <f t="shared" si="11"/>
        <v/>
      </c>
      <c r="G753" s="10" t="str">
        <f>IF(OR(C753="",B753=""),"",IFERROR(C753*INDEX(Harytlar!$D$5:$D$44,MATCH(B753,Harytlar!$A$5:$A$44,0)),""))</f>
        <v/>
      </c>
    </row>
    <row r="754" spans="1:7" x14ac:dyDescent="0.3">
      <c r="A754" s="17"/>
      <c r="B754" s="18"/>
      <c r="C754" s="18"/>
      <c r="D754" s="18"/>
      <c r="E754" s="10" t="str">
        <f>IF(B754="","",IFERROR(INDEX(Harytlar!$C$5:$C$44,MATCH(B754,Harytlar!$A$5:$A$44,0)),""))</f>
        <v/>
      </c>
      <c r="F754" s="10" t="str">
        <f t="shared" si="11"/>
        <v/>
      </c>
      <c r="G754" s="10" t="str">
        <f>IF(OR(C754="",B754=""),"",IFERROR(C754*INDEX(Harytlar!$D$5:$D$44,MATCH(B754,Harytlar!$A$5:$A$44,0)),""))</f>
        <v/>
      </c>
    </row>
    <row r="755" spans="1:7" x14ac:dyDescent="0.3">
      <c r="A755" s="17"/>
      <c r="B755" s="18"/>
      <c r="C755" s="18"/>
      <c r="D755" s="18"/>
      <c r="E755" s="10" t="str">
        <f>IF(B755="","",IFERROR(INDEX(Harytlar!$C$5:$C$44,MATCH(B755,Harytlar!$A$5:$A$44,0)),""))</f>
        <v/>
      </c>
      <c r="F755" s="10" t="str">
        <f t="shared" si="11"/>
        <v/>
      </c>
      <c r="G755" s="10" t="str">
        <f>IF(OR(C755="",B755=""),"",IFERROR(C755*INDEX(Harytlar!$D$5:$D$44,MATCH(B755,Harytlar!$A$5:$A$44,0)),""))</f>
        <v/>
      </c>
    </row>
    <row r="756" spans="1:7" x14ac:dyDescent="0.3">
      <c r="A756" s="17"/>
      <c r="B756" s="18"/>
      <c r="C756" s="18"/>
      <c r="D756" s="18"/>
      <c r="E756" s="10" t="str">
        <f>IF(B756="","",IFERROR(INDEX(Harytlar!$C$5:$C$44,MATCH(B756,Harytlar!$A$5:$A$44,0)),""))</f>
        <v/>
      </c>
      <c r="F756" s="10" t="str">
        <f t="shared" si="11"/>
        <v/>
      </c>
      <c r="G756" s="10" t="str">
        <f>IF(OR(C756="",B756=""),"",IFERROR(C756*INDEX(Harytlar!$D$5:$D$44,MATCH(B756,Harytlar!$A$5:$A$44,0)),""))</f>
        <v/>
      </c>
    </row>
    <row r="757" spans="1:7" x14ac:dyDescent="0.3">
      <c r="A757" s="17"/>
      <c r="B757" s="18"/>
      <c r="C757" s="18"/>
      <c r="D757" s="18"/>
      <c r="E757" s="10" t="str">
        <f>IF(B757="","",IFERROR(INDEX(Harytlar!$C$5:$C$44,MATCH(B757,Harytlar!$A$5:$A$44,0)),""))</f>
        <v/>
      </c>
      <c r="F757" s="10" t="str">
        <f t="shared" si="11"/>
        <v/>
      </c>
      <c r="G757" s="10" t="str">
        <f>IF(OR(C757="",B757=""),"",IFERROR(C757*INDEX(Harytlar!$D$5:$D$44,MATCH(B757,Harytlar!$A$5:$A$44,0)),""))</f>
        <v/>
      </c>
    </row>
    <row r="758" spans="1:7" x14ac:dyDescent="0.3">
      <c r="A758" s="17"/>
      <c r="B758" s="18"/>
      <c r="C758" s="18"/>
      <c r="D758" s="18"/>
      <c r="E758" s="10" t="str">
        <f>IF(B758="","",IFERROR(INDEX(Harytlar!$C$5:$C$44,MATCH(B758,Harytlar!$A$5:$A$44,0)),""))</f>
        <v/>
      </c>
      <c r="F758" s="10" t="str">
        <f t="shared" si="11"/>
        <v/>
      </c>
      <c r="G758" s="10" t="str">
        <f>IF(OR(C758="",B758=""),"",IFERROR(C758*INDEX(Harytlar!$D$5:$D$44,MATCH(B758,Harytlar!$A$5:$A$44,0)),""))</f>
        <v/>
      </c>
    </row>
    <row r="759" spans="1:7" x14ac:dyDescent="0.3">
      <c r="A759" s="17"/>
      <c r="B759" s="18"/>
      <c r="C759" s="18"/>
      <c r="D759" s="18"/>
      <c r="E759" s="10" t="str">
        <f>IF(B759="","",IFERROR(INDEX(Harytlar!$C$5:$C$44,MATCH(B759,Harytlar!$A$5:$A$44,0)),""))</f>
        <v/>
      </c>
      <c r="F759" s="10" t="str">
        <f t="shared" si="11"/>
        <v/>
      </c>
      <c r="G759" s="10" t="str">
        <f>IF(OR(C759="",B759=""),"",IFERROR(C759*INDEX(Harytlar!$D$5:$D$44,MATCH(B759,Harytlar!$A$5:$A$44,0)),""))</f>
        <v/>
      </c>
    </row>
    <row r="760" spans="1:7" x14ac:dyDescent="0.3">
      <c r="A760" s="17"/>
      <c r="B760" s="18"/>
      <c r="C760" s="18"/>
      <c r="D760" s="18"/>
      <c r="E760" s="10" t="str">
        <f>IF(B760="","",IFERROR(INDEX(Harytlar!$C$5:$C$44,MATCH(B760,Harytlar!$A$5:$A$44,0)),""))</f>
        <v/>
      </c>
      <c r="F760" s="10" t="str">
        <f t="shared" si="11"/>
        <v/>
      </c>
      <c r="G760" s="10" t="str">
        <f>IF(OR(C760="",B760=""),"",IFERROR(C760*INDEX(Harytlar!$D$5:$D$44,MATCH(B760,Harytlar!$A$5:$A$44,0)),""))</f>
        <v/>
      </c>
    </row>
    <row r="761" spans="1:7" x14ac:dyDescent="0.3">
      <c r="A761" s="17"/>
      <c r="B761" s="18"/>
      <c r="C761" s="18"/>
      <c r="D761" s="18"/>
      <c r="E761" s="10" t="str">
        <f>IF(B761="","",IFERROR(INDEX(Harytlar!$C$5:$C$44,MATCH(B761,Harytlar!$A$5:$A$44,0)),""))</f>
        <v/>
      </c>
      <c r="F761" s="10" t="str">
        <f t="shared" si="11"/>
        <v/>
      </c>
      <c r="G761" s="10" t="str">
        <f>IF(OR(C761="",B761=""),"",IFERROR(C761*INDEX(Harytlar!$D$5:$D$44,MATCH(B761,Harytlar!$A$5:$A$44,0)),""))</f>
        <v/>
      </c>
    </row>
    <row r="762" spans="1:7" x14ac:dyDescent="0.3">
      <c r="A762" s="17"/>
      <c r="B762" s="18"/>
      <c r="C762" s="18"/>
      <c r="D762" s="18"/>
      <c r="E762" s="10" t="str">
        <f>IF(B762="","",IFERROR(INDEX(Harytlar!$C$5:$C$44,MATCH(B762,Harytlar!$A$5:$A$44,0)),""))</f>
        <v/>
      </c>
      <c r="F762" s="10" t="str">
        <f t="shared" si="11"/>
        <v/>
      </c>
      <c r="G762" s="10" t="str">
        <f>IF(OR(C762="",B762=""),"",IFERROR(C762*INDEX(Harytlar!$D$5:$D$44,MATCH(B762,Harytlar!$A$5:$A$44,0)),""))</f>
        <v/>
      </c>
    </row>
    <row r="763" spans="1:7" x14ac:dyDescent="0.3">
      <c r="A763" s="17"/>
      <c r="B763" s="18"/>
      <c r="C763" s="18"/>
      <c r="D763" s="18"/>
      <c r="E763" s="10" t="str">
        <f>IF(B763="","",IFERROR(INDEX(Harytlar!$C$5:$C$44,MATCH(B763,Harytlar!$A$5:$A$44,0)),""))</f>
        <v/>
      </c>
      <c r="F763" s="10" t="str">
        <f t="shared" si="11"/>
        <v/>
      </c>
      <c r="G763" s="10" t="str">
        <f>IF(OR(C763="",B763=""),"",IFERROR(C763*INDEX(Harytlar!$D$5:$D$44,MATCH(B763,Harytlar!$A$5:$A$44,0)),""))</f>
        <v/>
      </c>
    </row>
    <row r="764" spans="1:7" x14ac:dyDescent="0.3">
      <c r="A764" s="17"/>
      <c r="B764" s="18"/>
      <c r="C764" s="18"/>
      <c r="D764" s="18"/>
      <c r="E764" s="10" t="str">
        <f>IF(B764="","",IFERROR(INDEX(Harytlar!$C$5:$C$44,MATCH(B764,Harytlar!$A$5:$A$44,0)),""))</f>
        <v/>
      </c>
      <c r="F764" s="10" t="str">
        <f t="shared" si="11"/>
        <v/>
      </c>
      <c r="G764" s="10" t="str">
        <f>IF(OR(C764="",B764=""),"",IFERROR(C764*INDEX(Harytlar!$D$5:$D$44,MATCH(B764,Harytlar!$A$5:$A$44,0)),""))</f>
        <v/>
      </c>
    </row>
    <row r="765" spans="1:7" x14ac:dyDescent="0.3">
      <c r="A765" s="17"/>
      <c r="B765" s="18"/>
      <c r="C765" s="18"/>
      <c r="D765" s="18"/>
      <c r="E765" s="10" t="str">
        <f>IF(B765="","",IFERROR(INDEX(Harytlar!$C$5:$C$44,MATCH(B765,Harytlar!$A$5:$A$44,0)),""))</f>
        <v/>
      </c>
      <c r="F765" s="10" t="str">
        <f t="shared" si="11"/>
        <v/>
      </c>
      <c r="G765" s="10" t="str">
        <f>IF(OR(C765="",B765=""),"",IFERROR(C765*INDEX(Harytlar!$D$5:$D$44,MATCH(B765,Harytlar!$A$5:$A$44,0)),""))</f>
        <v/>
      </c>
    </row>
    <row r="766" spans="1:7" x14ac:dyDescent="0.3">
      <c r="A766" s="17"/>
      <c r="B766" s="18"/>
      <c r="C766" s="18"/>
      <c r="D766" s="18"/>
      <c r="E766" s="10" t="str">
        <f>IF(B766="","",IFERROR(INDEX(Harytlar!$C$5:$C$44,MATCH(B766,Harytlar!$A$5:$A$44,0)),""))</f>
        <v/>
      </c>
      <c r="F766" s="10" t="str">
        <f t="shared" si="11"/>
        <v/>
      </c>
      <c r="G766" s="10" t="str">
        <f>IF(OR(C766="",B766=""),"",IFERROR(C766*INDEX(Harytlar!$D$5:$D$44,MATCH(B766,Harytlar!$A$5:$A$44,0)),""))</f>
        <v/>
      </c>
    </row>
    <row r="767" spans="1:7" x14ac:dyDescent="0.3">
      <c r="A767" s="17"/>
      <c r="B767" s="18"/>
      <c r="C767" s="18"/>
      <c r="D767" s="18"/>
      <c r="E767" s="10" t="str">
        <f>IF(B767="","",IFERROR(INDEX(Harytlar!$C$5:$C$44,MATCH(B767,Harytlar!$A$5:$A$44,0)),""))</f>
        <v/>
      </c>
      <c r="F767" s="10" t="str">
        <f t="shared" si="11"/>
        <v/>
      </c>
      <c r="G767" s="10" t="str">
        <f>IF(OR(C767="",B767=""),"",IFERROR(C767*INDEX(Harytlar!$D$5:$D$44,MATCH(B767,Harytlar!$A$5:$A$44,0)),""))</f>
        <v/>
      </c>
    </row>
    <row r="768" spans="1:7" x14ac:dyDescent="0.3">
      <c r="A768" s="17"/>
      <c r="B768" s="18"/>
      <c r="C768" s="18"/>
      <c r="D768" s="18"/>
      <c r="E768" s="10" t="str">
        <f>IF(B768="","",IFERROR(INDEX(Harytlar!$C$5:$C$44,MATCH(B768,Harytlar!$A$5:$A$44,0)),""))</f>
        <v/>
      </c>
      <c r="F768" s="10" t="str">
        <f t="shared" si="11"/>
        <v/>
      </c>
      <c r="G768" s="10" t="str">
        <f>IF(OR(C768="",B768=""),"",IFERROR(C768*INDEX(Harytlar!$D$5:$D$44,MATCH(B768,Harytlar!$A$5:$A$44,0)),""))</f>
        <v/>
      </c>
    </row>
    <row r="769" spans="1:7" x14ac:dyDescent="0.3">
      <c r="A769" s="17"/>
      <c r="B769" s="18"/>
      <c r="C769" s="18"/>
      <c r="D769" s="18"/>
      <c r="E769" s="10" t="str">
        <f>IF(B769="","",IFERROR(INDEX(Harytlar!$C$5:$C$44,MATCH(B769,Harytlar!$A$5:$A$44,0)),""))</f>
        <v/>
      </c>
      <c r="F769" s="10" t="str">
        <f t="shared" si="11"/>
        <v/>
      </c>
      <c r="G769" s="10" t="str">
        <f>IF(OR(C769="",B769=""),"",IFERROR(C769*INDEX(Harytlar!$D$5:$D$44,MATCH(B769,Harytlar!$A$5:$A$44,0)),""))</f>
        <v/>
      </c>
    </row>
    <row r="770" spans="1:7" x14ac:dyDescent="0.3">
      <c r="A770" s="17"/>
      <c r="B770" s="18"/>
      <c r="C770" s="18"/>
      <c r="D770" s="18"/>
      <c r="E770" s="10" t="str">
        <f>IF(B770="","",IFERROR(INDEX(Harytlar!$C$5:$C$44,MATCH(B770,Harytlar!$A$5:$A$44,0)),""))</f>
        <v/>
      </c>
      <c r="F770" s="10" t="str">
        <f t="shared" si="11"/>
        <v/>
      </c>
      <c r="G770" s="10" t="str">
        <f>IF(OR(C770="",B770=""),"",IFERROR(C770*INDEX(Harytlar!$D$5:$D$44,MATCH(B770,Harytlar!$A$5:$A$44,0)),""))</f>
        <v/>
      </c>
    </row>
    <row r="771" spans="1:7" x14ac:dyDescent="0.3">
      <c r="A771" s="17"/>
      <c r="B771" s="18"/>
      <c r="C771" s="18"/>
      <c r="D771" s="18"/>
      <c r="E771" s="10" t="str">
        <f>IF(B771="","",IFERROR(INDEX(Harytlar!$C$5:$C$44,MATCH(B771,Harytlar!$A$5:$A$44,0)),""))</f>
        <v/>
      </c>
      <c r="F771" s="10" t="str">
        <f t="shared" si="11"/>
        <v/>
      </c>
      <c r="G771" s="10" t="str">
        <f>IF(OR(C771="",B771=""),"",IFERROR(C771*INDEX(Harytlar!$D$5:$D$44,MATCH(B771,Harytlar!$A$5:$A$44,0)),""))</f>
        <v/>
      </c>
    </row>
    <row r="772" spans="1:7" x14ac:dyDescent="0.3">
      <c r="A772" s="17"/>
      <c r="B772" s="18"/>
      <c r="C772" s="18"/>
      <c r="D772" s="18"/>
      <c r="E772" s="10" t="str">
        <f>IF(B772="","",IFERROR(INDEX(Harytlar!$C$5:$C$44,MATCH(B772,Harytlar!$A$5:$A$44,0)),""))</f>
        <v/>
      </c>
      <c r="F772" s="10" t="str">
        <f t="shared" si="11"/>
        <v/>
      </c>
      <c r="G772" s="10" t="str">
        <f>IF(OR(C772="",B772=""),"",IFERROR(C772*INDEX(Harytlar!$D$5:$D$44,MATCH(B772,Harytlar!$A$5:$A$44,0)),""))</f>
        <v/>
      </c>
    </row>
    <row r="773" spans="1:7" x14ac:dyDescent="0.3">
      <c r="A773" s="17"/>
      <c r="B773" s="18"/>
      <c r="C773" s="18"/>
      <c r="D773" s="18"/>
      <c r="E773" s="10" t="str">
        <f>IF(B773="","",IFERROR(INDEX(Harytlar!$C$5:$C$44,MATCH(B773,Harytlar!$A$5:$A$44,0)),""))</f>
        <v/>
      </c>
      <c r="F773" s="10" t="str">
        <f t="shared" si="11"/>
        <v/>
      </c>
      <c r="G773" s="10" t="str">
        <f>IF(OR(C773="",B773=""),"",IFERROR(C773*INDEX(Harytlar!$D$5:$D$44,MATCH(B773,Harytlar!$A$5:$A$44,0)),""))</f>
        <v/>
      </c>
    </row>
    <row r="774" spans="1:7" x14ac:dyDescent="0.3">
      <c r="A774" s="17"/>
      <c r="B774" s="18"/>
      <c r="C774" s="18"/>
      <c r="D774" s="18"/>
      <c r="E774" s="10" t="str">
        <f>IF(B774="","",IFERROR(INDEX(Harytlar!$C$5:$C$44,MATCH(B774,Harytlar!$A$5:$A$44,0)),""))</f>
        <v/>
      </c>
      <c r="F774" s="10" t="str">
        <f t="shared" ref="F774:F837" si="12">IF(OR(C774="",E774=""),"",C774*E774)</f>
        <v/>
      </c>
      <c r="G774" s="10" t="str">
        <f>IF(OR(C774="",B774=""),"",IFERROR(C774*INDEX(Harytlar!$D$5:$D$44,MATCH(B774,Harytlar!$A$5:$A$44,0)),""))</f>
        <v/>
      </c>
    </row>
    <row r="775" spans="1:7" x14ac:dyDescent="0.3">
      <c r="A775" s="17"/>
      <c r="B775" s="18"/>
      <c r="C775" s="18"/>
      <c r="D775" s="18"/>
      <c r="E775" s="10" t="str">
        <f>IF(B775="","",IFERROR(INDEX(Harytlar!$C$5:$C$44,MATCH(B775,Harytlar!$A$5:$A$44,0)),""))</f>
        <v/>
      </c>
      <c r="F775" s="10" t="str">
        <f t="shared" si="12"/>
        <v/>
      </c>
      <c r="G775" s="10" t="str">
        <f>IF(OR(C775="",B775=""),"",IFERROR(C775*INDEX(Harytlar!$D$5:$D$44,MATCH(B775,Harytlar!$A$5:$A$44,0)),""))</f>
        <v/>
      </c>
    </row>
    <row r="776" spans="1:7" x14ac:dyDescent="0.3">
      <c r="A776" s="17"/>
      <c r="B776" s="18"/>
      <c r="C776" s="18"/>
      <c r="D776" s="18"/>
      <c r="E776" s="10" t="str">
        <f>IF(B776="","",IFERROR(INDEX(Harytlar!$C$5:$C$44,MATCH(B776,Harytlar!$A$5:$A$44,0)),""))</f>
        <v/>
      </c>
      <c r="F776" s="10" t="str">
        <f t="shared" si="12"/>
        <v/>
      </c>
      <c r="G776" s="10" t="str">
        <f>IF(OR(C776="",B776=""),"",IFERROR(C776*INDEX(Harytlar!$D$5:$D$44,MATCH(B776,Harytlar!$A$5:$A$44,0)),""))</f>
        <v/>
      </c>
    </row>
    <row r="777" spans="1:7" x14ac:dyDescent="0.3">
      <c r="A777" s="17"/>
      <c r="B777" s="18"/>
      <c r="C777" s="18"/>
      <c r="D777" s="18"/>
      <c r="E777" s="10" t="str">
        <f>IF(B777="","",IFERROR(INDEX(Harytlar!$C$5:$C$44,MATCH(B777,Harytlar!$A$5:$A$44,0)),""))</f>
        <v/>
      </c>
      <c r="F777" s="10" t="str">
        <f t="shared" si="12"/>
        <v/>
      </c>
      <c r="G777" s="10" t="str">
        <f>IF(OR(C777="",B777=""),"",IFERROR(C777*INDEX(Harytlar!$D$5:$D$44,MATCH(B777,Harytlar!$A$5:$A$44,0)),""))</f>
        <v/>
      </c>
    </row>
    <row r="778" spans="1:7" x14ac:dyDescent="0.3">
      <c r="A778" s="17"/>
      <c r="B778" s="18"/>
      <c r="C778" s="18"/>
      <c r="D778" s="18"/>
      <c r="E778" s="10" t="str">
        <f>IF(B778="","",IFERROR(INDEX(Harytlar!$C$5:$C$44,MATCH(B778,Harytlar!$A$5:$A$44,0)),""))</f>
        <v/>
      </c>
      <c r="F778" s="10" t="str">
        <f t="shared" si="12"/>
        <v/>
      </c>
      <c r="G778" s="10" t="str">
        <f>IF(OR(C778="",B778=""),"",IFERROR(C778*INDEX(Harytlar!$D$5:$D$44,MATCH(B778,Harytlar!$A$5:$A$44,0)),""))</f>
        <v/>
      </c>
    </row>
    <row r="779" spans="1:7" x14ac:dyDescent="0.3">
      <c r="A779" s="17"/>
      <c r="B779" s="18"/>
      <c r="C779" s="18"/>
      <c r="D779" s="18"/>
      <c r="E779" s="10" t="str">
        <f>IF(B779="","",IFERROR(INDEX(Harytlar!$C$5:$C$44,MATCH(B779,Harytlar!$A$5:$A$44,0)),""))</f>
        <v/>
      </c>
      <c r="F779" s="10" t="str">
        <f t="shared" si="12"/>
        <v/>
      </c>
      <c r="G779" s="10" t="str">
        <f>IF(OR(C779="",B779=""),"",IFERROR(C779*INDEX(Harytlar!$D$5:$D$44,MATCH(B779,Harytlar!$A$5:$A$44,0)),""))</f>
        <v/>
      </c>
    </row>
    <row r="780" spans="1:7" x14ac:dyDescent="0.3">
      <c r="A780" s="17"/>
      <c r="B780" s="18"/>
      <c r="C780" s="18"/>
      <c r="D780" s="18"/>
      <c r="E780" s="10" t="str">
        <f>IF(B780="","",IFERROR(INDEX(Harytlar!$C$5:$C$44,MATCH(B780,Harytlar!$A$5:$A$44,0)),""))</f>
        <v/>
      </c>
      <c r="F780" s="10" t="str">
        <f t="shared" si="12"/>
        <v/>
      </c>
      <c r="G780" s="10" t="str">
        <f>IF(OR(C780="",B780=""),"",IFERROR(C780*INDEX(Harytlar!$D$5:$D$44,MATCH(B780,Harytlar!$A$5:$A$44,0)),""))</f>
        <v/>
      </c>
    </row>
    <row r="781" spans="1:7" x14ac:dyDescent="0.3">
      <c r="A781" s="17"/>
      <c r="B781" s="18"/>
      <c r="C781" s="18"/>
      <c r="D781" s="18"/>
      <c r="E781" s="10" t="str">
        <f>IF(B781="","",IFERROR(INDEX(Harytlar!$C$5:$C$44,MATCH(B781,Harytlar!$A$5:$A$44,0)),""))</f>
        <v/>
      </c>
      <c r="F781" s="10" t="str">
        <f t="shared" si="12"/>
        <v/>
      </c>
      <c r="G781" s="10" t="str">
        <f>IF(OR(C781="",B781=""),"",IFERROR(C781*INDEX(Harytlar!$D$5:$D$44,MATCH(B781,Harytlar!$A$5:$A$44,0)),""))</f>
        <v/>
      </c>
    </row>
    <row r="782" spans="1:7" x14ac:dyDescent="0.3">
      <c r="A782" s="17"/>
      <c r="B782" s="18"/>
      <c r="C782" s="18"/>
      <c r="D782" s="18"/>
      <c r="E782" s="10" t="str">
        <f>IF(B782="","",IFERROR(INDEX(Harytlar!$C$5:$C$44,MATCH(B782,Harytlar!$A$5:$A$44,0)),""))</f>
        <v/>
      </c>
      <c r="F782" s="10" t="str">
        <f t="shared" si="12"/>
        <v/>
      </c>
      <c r="G782" s="10" t="str">
        <f>IF(OR(C782="",B782=""),"",IFERROR(C782*INDEX(Harytlar!$D$5:$D$44,MATCH(B782,Harytlar!$A$5:$A$44,0)),""))</f>
        <v/>
      </c>
    </row>
    <row r="783" spans="1:7" x14ac:dyDescent="0.3">
      <c r="A783" s="17"/>
      <c r="B783" s="18"/>
      <c r="C783" s="18"/>
      <c r="D783" s="18"/>
      <c r="E783" s="10" t="str">
        <f>IF(B783="","",IFERROR(INDEX(Harytlar!$C$5:$C$44,MATCH(B783,Harytlar!$A$5:$A$44,0)),""))</f>
        <v/>
      </c>
      <c r="F783" s="10" t="str">
        <f t="shared" si="12"/>
        <v/>
      </c>
      <c r="G783" s="10" t="str">
        <f>IF(OR(C783="",B783=""),"",IFERROR(C783*INDEX(Harytlar!$D$5:$D$44,MATCH(B783,Harytlar!$A$5:$A$44,0)),""))</f>
        <v/>
      </c>
    </row>
    <row r="784" spans="1:7" x14ac:dyDescent="0.3">
      <c r="A784" s="17"/>
      <c r="B784" s="18"/>
      <c r="C784" s="18"/>
      <c r="D784" s="18"/>
      <c r="E784" s="10" t="str">
        <f>IF(B784="","",IFERROR(INDEX(Harytlar!$C$5:$C$44,MATCH(B784,Harytlar!$A$5:$A$44,0)),""))</f>
        <v/>
      </c>
      <c r="F784" s="10" t="str">
        <f t="shared" si="12"/>
        <v/>
      </c>
      <c r="G784" s="10" t="str">
        <f>IF(OR(C784="",B784=""),"",IFERROR(C784*INDEX(Harytlar!$D$5:$D$44,MATCH(B784,Harytlar!$A$5:$A$44,0)),""))</f>
        <v/>
      </c>
    </row>
    <row r="785" spans="1:7" x14ac:dyDescent="0.3">
      <c r="A785" s="17"/>
      <c r="B785" s="18"/>
      <c r="C785" s="18"/>
      <c r="D785" s="18"/>
      <c r="E785" s="10" t="str">
        <f>IF(B785="","",IFERROR(INDEX(Harytlar!$C$5:$C$44,MATCH(B785,Harytlar!$A$5:$A$44,0)),""))</f>
        <v/>
      </c>
      <c r="F785" s="10" t="str">
        <f t="shared" si="12"/>
        <v/>
      </c>
      <c r="G785" s="10" t="str">
        <f>IF(OR(C785="",B785=""),"",IFERROR(C785*INDEX(Harytlar!$D$5:$D$44,MATCH(B785,Harytlar!$A$5:$A$44,0)),""))</f>
        <v/>
      </c>
    </row>
    <row r="786" spans="1:7" x14ac:dyDescent="0.3">
      <c r="A786" s="17"/>
      <c r="B786" s="18"/>
      <c r="C786" s="18"/>
      <c r="D786" s="18"/>
      <c r="E786" s="10" t="str">
        <f>IF(B786="","",IFERROR(INDEX(Harytlar!$C$5:$C$44,MATCH(B786,Harytlar!$A$5:$A$44,0)),""))</f>
        <v/>
      </c>
      <c r="F786" s="10" t="str">
        <f t="shared" si="12"/>
        <v/>
      </c>
      <c r="G786" s="10" t="str">
        <f>IF(OR(C786="",B786=""),"",IFERROR(C786*INDEX(Harytlar!$D$5:$D$44,MATCH(B786,Harytlar!$A$5:$A$44,0)),""))</f>
        <v/>
      </c>
    </row>
    <row r="787" spans="1:7" x14ac:dyDescent="0.3">
      <c r="A787" s="17"/>
      <c r="B787" s="18"/>
      <c r="C787" s="18"/>
      <c r="D787" s="18"/>
      <c r="E787" s="10" t="str">
        <f>IF(B787="","",IFERROR(INDEX(Harytlar!$C$5:$C$44,MATCH(B787,Harytlar!$A$5:$A$44,0)),""))</f>
        <v/>
      </c>
      <c r="F787" s="10" t="str">
        <f t="shared" si="12"/>
        <v/>
      </c>
      <c r="G787" s="10" t="str">
        <f>IF(OR(C787="",B787=""),"",IFERROR(C787*INDEX(Harytlar!$D$5:$D$44,MATCH(B787,Harytlar!$A$5:$A$44,0)),""))</f>
        <v/>
      </c>
    </row>
    <row r="788" spans="1:7" x14ac:dyDescent="0.3">
      <c r="A788" s="17"/>
      <c r="B788" s="18"/>
      <c r="C788" s="18"/>
      <c r="D788" s="18"/>
      <c r="E788" s="10" t="str">
        <f>IF(B788="","",IFERROR(INDEX(Harytlar!$C$5:$C$44,MATCH(B788,Harytlar!$A$5:$A$44,0)),""))</f>
        <v/>
      </c>
      <c r="F788" s="10" t="str">
        <f t="shared" si="12"/>
        <v/>
      </c>
      <c r="G788" s="10" t="str">
        <f>IF(OR(C788="",B788=""),"",IFERROR(C788*INDEX(Harytlar!$D$5:$D$44,MATCH(B788,Harytlar!$A$5:$A$44,0)),""))</f>
        <v/>
      </c>
    </row>
    <row r="789" spans="1:7" x14ac:dyDescent="0.3">
      <c r="A789" s="17"/>
      <c r="B789" s="18"/>
      <c r="C789" s="18"/>
      <c r="D789" s="18"/>
      <c r="E789" s="10" t="str">
        <f>IF(B789="","",IFERROR(INDEX(Harytlar!$C$5:$C$44,MATCH(B789,Harytlar!$A$5:$A$44,0)),""))</f>
        <v/>
      </c>
      <c r="F789" s="10" t="str">
        <f t="shared" si="12"/>
        <v/>
      </c>
      <c r="G789" s="10" t="str">
        <f>IF(OR(C789="",B789=""),"",IFERROR(C789*INDEX(Harytlar!$D$5:$D$44,MATCH(B789,Harytlar!$A$5:$A$44,0)),""))</f>
        <v/>
      </c>
    </row>
    <row r="790" spans="1:7" x14ac:dyDescent="0.3">
      <c r="A790" s="17"/>
      <c r="B790" s="18"/>
      <c r="C790" s="18"/>
      <c r="D790" s="18"/>
      <c r="E790" s="10" t="str">
        <f>IF(B790="","",IFERROR(INDEX(Harytlar!$C$5:$C$44,MATCH(B790,Harytlar!$A$5:$A$44,0)),""))</f>
        <v/>
      </c>
      <c r="F790" s="10" t="str">
        <f t="shared" si="12"/>
        <v/>
      </c>
      <c r="G790" s="10" t="str">
        <f>IF(OR(C790="",B790=""),"",IFERROR(C790*INDEX(Harytlar!$D$5:$D$44,MATCH(B790,Harytlar!$A$5:$A$44,0)),""))</f>
        <v/>
      </c>
    </row>
    <row r="791" spans="1:7" x14ac:dyDescent="0.3">
      <c r="A791" s="17"/>
      <c r="B791" s="18"/>
      <c r="C791" s="18"/>
      <c r="D791" s="18"/>
      <c r="E791" s="10" t="str">
        <f>IF(B791="","",IFERROR(INDEX(Harytlar!$C$5:$C$44,MATCH(B791,Harytlar!$A$5:$A$44,0)),""))</f>
        <v/>
      </c>
      <c r="F791" s="10" t="str">
        <f t="shared" si="12"/>
        <v/>
      </c>
      <c r="G791" s="10" t="str">
        <f>IF(OR(C791="",B791=""),"",IFERROR(C791*INDEX(Harytlar!$D$5:$D$44,MATCH(B791,Harytlar!$A$5:$A$44,0)),""))</f>
        <v/>
      </c>
    </row>
    <row r="792" spans="1:7" x14ac:dyDescent="0.3">
      <c r="A792" s="17"/>
      <c r="B792" s="18"/>
      <c r="C792" s="18"/>
      <c r="D792" s="18"/>
      <c r="E792" s="10" t="str">
        <f>IF(B792="","",IFERROR(INDEX(Harytlar!$C$5:$C$44,MATCH(B792,Harytlar!$A$5:$A$44,0)),""))</f>
        <v/>
      </c>
      <c r="F792" s="10" t="str">
        <f t="shared" si="12"/>
        <v/>
      </c>
      <c r="G792" s="10" t="str">
        <f>IF(OR(C792="",B792=""),"",IFERROR(C792*INDEX(Harytlar!$D$5:$D$44,MATCH(B792,Harytlar!$A$5:$A$44,0)),""))</f>
        <v/>
      </c>
    </row>
    <row r="793" spans="1:7" x14ac:dyDescent="0.3">
      <c r="A793" s="17"/>
      <c r="B793" s="18"/>
      <c r="C793" s="18"/>
      <c r="D793" s="18"/>
      <c r="E793" s="10" t="str">
        <f>IF(B793="","",IFERROR(INDEX(Harytlar!$C$5:$C$44,MATCH(B793,Harytlar!$A$5:$A$44,0)),""))</f>
        <v/>
      </c>
      <c r="F793" s="10" t="str">
        <f t="shared" si="12"/>
        <v/>
      </c>
      <c r="G793" s="10" t="str">
        <f>IF(OR(C793="",B793=""),"",IFERROR(C793*INDEX(Harytlar!$D$5:$D$44,MATCH(B793,Harytlar!$A$5:$A$44,0)),""))</f>
        <v/>
      </c>
    </row>
    <row r="794" spans="1:7" x14ac:dyDescent="0.3">
      <c r="A794" s="17"/>
      <c r="B794" s="18"/>
      <c r="C794" s="18"/>
      <c r="D794" s="18"/>
      <c r="E794" s="10" t="str">
        <f>IF(B794="","",IFERROR(INDEX(Harytlar!$C$5:$C$44,MATCH(B794,Harytlar!$A$5:$A$44,0)),""))</f>
        <v/>
      </c>
      <c r="F794" s="10" t="str">
        <f t="shared" si="12"/>
        <v/>
      </c>
      <c r="G794" s="10" t="str">
        <f>IF(OR(C794="",B794=""),"",IFERROR(C794*INDEX(Harytlar!$D$5:$D$44,MATCH(B794,Harytlar!$A$5:$A$44,0)),""))</f>
        <v/>
      </c>
    </row>
    <row r="795" spans="1:7" x14ac:dyDescent="0.3">
      <c r="A795" s="17"/>
      <c r="B795" s="18"/>
      <c r="C795" s="18"/>
      <c r="D795" s="18"/>
      <c r="E795" s="10" t="str">
        <f>IF(B795="","",IFERROR(INDEX(Harytlar!$C$5:$C$44,MATCH(B795,Harytlar!$A$5:$A$44,0)),""))</f>
        <v/>
      </c>
      <c r="F795" s="10" t="str">
        <f t="shared" si="12"/>
        <v/>
      </c>
      <c r="G795" s="10" t="str">
        <f>IF(OR(C795="",B795=""),"",IFERROR(C795*INDEX(Harytlar!$D$5:$D$44,MATCH(B795,Harytlar!$A$5:$A$44,0)),""))</f>
        <v/>
      </c>
    </row>
    <row r="796" spans="1:7" x14ac:dyDescent="0.3">
      <c r="A796" s="17"/>
      <c r="B796" s="18"/>
      <c r="C796" s="18"/>
      <c r="D796" s="18"/>
      <c r="E796" s="10" t="str">
        <f>IF(B796="","",IFERROR(INDEX(Harytlar!$C$5:$C$44,MATCH(B796,Harytlar!$A$5:$A$44,0)),""))</f>
        <v/>
      </c>
      <c r="F796" s="10" t="str">
        <f t="shared" si="12"/>
        <v/>
      </c>
      <c r="G796" s="10" t="str">
        <f>IF(OR(C796="",B796=""),"",IFERROR(C796*INDEX(Harytlar!$D$5:$D$44,MATCH(B796,Harytlar!$A$5:$A$44,0)),""))</f>
        <v/>
      </c>
    </row>
    <row r="797" spans="1:7" x14ac:dyDescent="0.3">
      <c r="A797" s="17"/>
      <c r="B797" s="18"/>
      <c r="C797" s="18"/>
      <c r="D797" s="18"/>
      <c r="E797" s="10" t="str">
        <f>IF(B797="","",IFERROR(INDEX(Harytlar!$C$5:$C$44,MATCH(B797,Harytlar!$A$5:$A$44,0)),""))</f>
        <v/>
      </c>
      <c r="F797" s="10" t="str">
        <f t="shared" si="12"/>
        <v/>
      </c>
      <c r="G797" s="10" t="str">
        <f>IF(OR(C797="",B797=""),"",IFERROR(C797*INDEX(Harytlar!$D$5:$D$44,MATCH(B797,Harytlar!$A$5:$A$44,0)),""))</f>
        <v/>
      </c>
    </row>
    <row r="798" spans="1:7" x14ac:dyDescent="0.3">
      <c r="A798" s="17"/>
      <c r="B798" s="18"/>
      <c r="C798" s="18"/>
      <c r="D798" s="18"/>
      <c r="E798" s="10" t="str">
        <f>IF(B798="","",IFERROR(INDEX(Harytlar!$C$5:$C$44,MATCH(B798,Harytlar!$A$5:$A$44,0)),""))</f>
        <v/>
      </c>
      <c r="F798" s="10" t="str">
        <f t="shared" si="12"/>
        <v/>
      </c>
      <c r="G798" s="10" t="str">
        <f>IF(OR(C798="",B798=""),"",IFERROR(C798*INDEX(Harytlar!$D$5:$D$44,MATCH(B798,Harytlar!$A$5:$A$44,0)),""))</f>
        <v/>
      </c>
    </row>
    <row r="799" spans="1:7" x14ac:dyDescent="0.3">
      <c r="A799" s="17"/>
      <c r="B799" s="18"/>
      <c r="C799" s="18"/>
      <c r="D799" s="18"/>
      <c r="E799" s="10" t="str">
        <f>IF(B799="","",IFERROR(INDEX(Harytlar!$C$5:$C$44,MATCH(B799,Harytlar!$A$5:$A$44,0)),""))</f>
        <v/>
      </c>
      <c r="F799" s="10" t="str">
        <f t="shared" si="12"/>
        <v/>
      </c>
      <c r="G799" s="10" t="str">
        <f>IF(OR(C799="",B799=""),"",IFERROR(C799*INDEX(Harytlar!$D$5:$D$44,MATCH(B799,Harytlar!$A$5:$A$44,0)),""))</f>
        <v/>
      </c>
    </row>
    <row r="800" spans="1:7" x14ac:dyDescent="0.3">
      <c r="A800" s="17"/>
      <c r="B800" s="18"/>
      <c r="C800" s="18"/>
      <c r="D800" s="18"/>
      <c r="E800" s="10" t="str">
        <f>IF(B800="","",IFERROR(INDEX(Harytlar!$C$5:$C$44,MATCH(B800,Harytlar!$A$5:$A$44,0)),""))</f>
        <v/>
      </c>
      <c r="F800" s="10" t="str">
        <f t="shared" si="12"/>
        <v/>
      </c>
      <c r="G800" s="10" t="str">
        <f>IF(OR(C800="",B800=""),"",IFERROR(C800*INDEX(Harytlar!$D$5:$D$44,MATCH(B800,Harytlar!$A$5:$A$44,0)),""))</f>
        <v/>
      </c>
    </row>
    <row r="801" spans="1:7" x14ac:dyDescent="0.3">
      <c r="A801" s="17"/>
      <c r="B801" s="18"/>
      <c r="C801" s="18"/>
      <c r="D801" s="18"/>
      <c r="E801" s="10" t="str">
        <f>IF(B801="","",IFERROR(INDEX(Harytlar!$C$5:$C$44,MATCH(B801,Harytlar!$A$5:$A$44,0)),""))</f>
        <v/>
      </c>
      <c r="F801" s="10" t="str">
        <f t="shared" si="12"/>
        <v/>
      </c>
      <c r="G801" s="10" t="str">
        <f>IF(OR(C801="",B801=""),"",IFERROR(C801*INDEX(Harytlar!$D$5:$D$44,MATCH(B801,Harytlar!$A$5:$A$44,0)),""))</f>
        <v/>
      </c>
    </row>
    <row r="802" spans="1:7" x14ac:dyDescent="0.3">
      <c r="A802" s="17"/>
      <c r="B802" s="18"/>
      <c r="C802" s="18"/>
      <c r="D802" s="18"/>
      <c r="E802" s="10" t="str">
        <f>IF(B802="","",IFERROR(INDEX(Harytlar!$C$5:$C$44,MATCH(B802,Harytlar!$A$5:$A$44,0)),""))</f>
        <v/>
      </c>
      <c r="F802" s="10" t="str">
        <f t="shared" si="12"/>
        <v/>
      </c>
      <c r="G802" s="10" t="str">
        <f>IF(OR(C802="",B802=""),"",IFERROR(C802*INDEX(Harytlar!$D$5:$D$44,MATCH(B802,Harytlar!$A$5:$A$44,0)),""))</f>
        <v/>
      </c>
    </row>
    <row r="803" spans="1:7" x14ac:dyDescent="0.3">
      <c r="A803" s="17"/>
      <c r="B803" s="18"/>
      <c r="C803" s="18"/>
      <c r="D803" s="18"/>
      <c r="E803" s="10" t="str">
        <f>IF(B803="","",IFERROR(INDEX(Harytlar!$C$5:$C$44,MATCH(B803,Harytlar!$A$5:$A$44,0)),""))</f>
        <v/>
      </c>
      <c r="F803" s="10" t="str">
        <f t="shared" si="12"/>
        <v/>
      </c>
      <c r="G803" s="10" t="str">
        <f>IF(OR(C803="",B803=""),"",IFERROR(C803*INDEX(Harytlar!$D$5:$D$44,MATCH(B803,Harytlar!$A$5:$A$44,0)),""))</f>
        <v/>
      </c>
    </row>
    <row r="804" spans="1:7" x14ac:dyDescent="0.3">
      <c r="A804" s="17"/>
      <c r="B804" s="18"/>
      <c r="C804" s="18"/>
      <c r="D804" s="18"/>
      <c r="E804" s="10" t="str">
        <f>IF(B804="","",IFERROR(INDEX(Harytlar!$C$5:$C$44,MATCH(B804,Harytlar!$A$5:$A$44,0)),""))</f>
        <v/>
      </c>
      <c r="F804" s="10" t="str">
        <f t="shared" si="12"/>
        <v/>
      </c>
      <c r="G804" s="10" t="str">
        <f>IF(OR(C804="",B804=""),"",IFERROR(C804*INDEX(Harytlar!$D$5:$D$44,MATCH(B804,Harytlar!$A$5:$A$44,0)),""))</f>
        <v/>
      </c>
    </row>
    <row r="805" spans="1:7" x14ac:dyDescent="0.3">
      <c r="A805" s="17"/>
      <c r="B805" s="18"/>
      <c r="C805" s="18"/>
      <c r="D805" s="18"/>
      <c r="E805" s="10" t="str">
        <f>IF(B805="","",IFERROR(INDEX(Harytlar!$C$5:$C$44,MATCH(B805,Harytlar!$A$5:$A$44,0)),""))</f>
        <v/>
      </c>
      <c r="F805" s="10" t="str">
        <f t="shared" si="12"/>
        <v/>
      </c>
      <c r="G805" s="10" t="str">
        <f>IF(OR(C805="",B805=""),"",IFERROR(C805*INDEX(Harytlar!$D$5:$D$44,MATCH(B805,Harytlar!$A$5:$A$44,0)),""))</f>
        <v/>
      </c>
    </row>
    <row r="806" spans="1:7" x14ac:dyDescent="0.3">
      <c r="A806" s="17"/>
      <c r="B806" s="18"/>
      <c r="C806" s="18"/>
      <c r="D806" s="18"/>
      <c r="E806" s="10" t="str">
        <f>IF(B806="","",IFERROR(INDEX(Harytlar!$C$5:$C$44,MATCH(B806,Harytlar!$A$5:$A$44,0)),""))</f>
        <v/>
      </c>
      <c r="F806" s="10" t="str">
        <f t="shared" si="12"/>
        <v/>
      </c>
      <c r="G806" s="10" t="str">
        <f>IF(OR(C806="",B806=""),"",IFERROR(C806*INDEX(Harytlar!$D$5:$D$44,MATCH(B806,Harytlar!$A$5:$A$44,0)),""))</f>
        <v/>
      </c>
    </row>
    <row r="807" spans="1:7" x14ac:dyDescent="0.3">
      <c r="A807" s="17"/>
      <c r="B807" s="18"/>
      <c r="C807" s="18"/>
      <c r="D807" s="18"/>
      <c r="E807" s="10" t="str">
        <f>IF(B807="","",IFERROR(INDEX(Harytlar!$C$5:$C$44,MATCH(B807,Harytlar!$A$5:$A$44,0)),""))</f>
        <v/>
      </c>
      <c r="F807" s="10" t="str">
        <f t="shared" si="12"/>
        <v/>
      </c>
      <c r="G807" s="10" t="str">
        <f>IF(OR(C807="",B807=""),"",IFERROR(C807*INDEX(Harytlar!$D$5:$D$44,MATCH(B807,Harytlar!$A$5:$A$44,0)),""))</f>
        <v/>
      </c>
    </row>
    <row r="808" spans="1:7" x14ac:dyDescent="0.3">
      <c r="A808" s="17"/>
      <c r="B808" s="18"/>
      <c r="C808" s="18"/>
      <c r="D808" s="18"/>
      <c r="E808" s="10" t="str">
        <f>IF(B808="","",IFERROR(INDEX(Harytlar!$C$5:$C$44,MATCH(B808,Harytlar!$A$5:$A$44,0)),""))</f>
        <v/>
      </c>
      <c r="F808" s="10" t="str">
        <f t="shared" si="12"/>
        <v/>
      </c>
      <c r="G808" s="10" t="str">
        <f>IF(OR(C808="",B808=""),"",IFERROR(C808*INDEX(Harytlar!$D$5:$D$44,MATCH(B808,Harytlar!$A$5:$A$44,0)),""))</f>
        <v/>
      </c>
    </row>
    <row r="809" spans="1:7" x14ac:dyDescent="0.3">
      <c r="A809" s="17"/>
      <c r="B809" s="18"/>
      <c r="C809" s="18"/>
      <c r="D809" s="18"/>
      <c r="E809" s="10" t="str">
        <f>IF(B809="","",IFERROR(INDEX(Harytlar!$C$5:$C$44,MATCH(B809,Harytlar!$A$5:$A$44,0)),""))</f>
        <v/>
      </c>
      <c r="F809" s="10" t="str">
        <f t="shared" si="12"/>
        <v/>
      </c>
      <c r="G809" s="10" t="str">
        <f>IF(OR(C809="",B809=""),"",IFERROR(C809*INDEX(Harytlar!$D$5:$D$44,MATCH(B809,Harytlar!$A$5:$A$44,0)),""))</f>
        <v/>
      </c>
    </row>
    <row r="810" spans="1:7" x14ac:dyDescent="0.3">
      <c r="A810" s="17"/>
      <c r="B810" s="18"/>
      <c r="C810" s="18"/>
      <c r="D810" s="18"/>
      <c r="E810" s="10" t="str">
        <f>IF(B810="","",IFERROR(INDEX(Harytlar!$C$5:$C$44,MATCH(B810,Harytlar!$A$5:$A$44,0)),""))</f>
        <v/>
      </c>
      <c r="F810" s="10" t="str">
        <f t="shared" si="12"/>
        <v/>
      </c>
      <c r="G810" s="10" t="str">
        <f>IF(OR(C810="",B810=""),"",IFERROR(C810*INDEX(Harytlar!$D$5:$D$44,MATCH(B810,Harytlar!$A$5:$A$44,0)),""))</f>
        <v/>
      </c>
    </row>
    <row r="811" spans="1:7" x14ac:dyDescent="0.3">
      <c r="A811" s="17"/>
      <c r="B811" s="18"/>
      <c r="C811" s="18"/>
      <c r="D811" s="18"/>
      <c r="E811" s="10" t="str">
        <f>IF(B811="","",IFERROR(INDEX(Harytlar!$C$5:$C$44,MATCH(B811,Harytlar!$A$5:$A$44,0)),""))</f>
        <v/>
      </c>
      <c r="F811" s="10" t="str">
        <f t="shared" si="12"/>
        <v/>
      </c>
      <c r="G811" s="10" t="str">
        <f>IF(OR(C811="",B811=""),"",IFERROR(C811*INDEX(Harytlar!$D$5:$D$44,MATCH(B811,Harytlar!$A$5:$A$44,0)),""))</f>
        <v/>
      </c>
    </row>
    <row r="812" spans="1:7" x14ac:dyDescent="0.3">
      <c r="A812" s="17"/>
      <c r="B812" s="18"/>
      <c r="C812" s="18"/>
      <c r="D812" s="18"/>
      <c r="E812" s="10" t="str">
        <f>IF(B812="","",IFERROR(INDEX(Harytlar!$C$5:$C$44,MATCH(B812,Harytlar!$A$5:$A$44,0)),""))</f>
        <v/>
      </c>
      <c r="F812" s="10" t="str">
        <f t="shared" si="12"/>
        <v/>
      </c>
      <c r="G812" s="10" t="str">
        <f>IF(OR(C812="",B812=""),"",IFERROR(C812*INDEX(Harytlar!$D$5:$D$44,MATCH(B812,Harytlar!$A$5:$A$44,0)),""))</f>
        <v/>
      </c>
    </row>
    <row r="813" spans="1:7" x14ac:dyDescent="0.3">
      <c r="A813" s="17"/>
      <c r="B813" s="18"/>
      <c r="C813" s="18"/>
      <c r="D813" s="18"/>
      <c r="E813" s="10" t="str">
        <f>IF(B813="","",IFERROR(INDEX(Harytlar!$C$5:$C$44,MATCH(B813,Harytlar!$A$5:$A$44,0)),""))</f>
        <v/>
      </c>
      <c r="F813" s="10" t="str">
        <f t="shared" si="12"/>
        <v/>
      </c>
      <c r="G813" s="10" t="str">
        <f>IF(OR(C813="",B813=""),"",IFERROR(C813*INDEX(Harytlar!$D$5:$D$44,MATCH(B813,Harytlar!$A$5:$A$44,0)),""))</f>
        <v/>
      </c>
    </row>
    <row r="814" spans="1:7" x14ac:dyDescent="0.3">
      <c r="A814" s="17"/>
      <c r="B814" s="18"/>
      <c r="C814" s="18"/>
      <c r="D814" s="18"/>
      <c r="E814" s="10" t="str">
        <f>IF(B814="","",IFERROR(INDEX(Harytlar!$C$5:$C$44,MATCH(B814,Harytlar!$A$5:$A$44,0)),""))</f>
        <v/>
      </c>
      <c r="F814" s="10" t="str">
        <f t="shared" si="12"/>
        <v/>
      </c>
      <c r="G814" s="10" t="str">
        <f>IF(OR(C814="",B814=""),"",IFERROR(C814*INDEX(Harytlar!$D$5:$D$44,MATCH(B814,Harytlar!$A$5:$A$44,0)),""))</f>
        <v/>
      </c>
    </row>
    <row r="815" spans="1:7" x14ac:dyDescent="0.3">
      <c r="A815" s="17"/>
      <c r="B815" s="18"/>
      <c r="C815" s="18"/>
      <c r="D815" s="18"/>
      <c r="E815" s="10" t="str">
        <f>IF(B815="","",IFERROR(INDEX(Harytlar!$C$5:$C$44,MATCH(B815,Harytlar!$A$5:$A$44,0)),""))</f>
        <v/>
      </c>
      <c r="F815" s="10" t="str">
        <f t="shared" si="12"/>
        <v/>
      </c>
      <c r="G815" s="10" t="str">
        <f>IF(OR(C815="",B815=""),"",IFERROR(C815*INDEX(Harytlar!$D$5:$D$44,MATCH(B815,Harytlar!$A$5:$A$44,0)),""))</f>
        <v/>
      </c>
    </row>
    <row r="816" spans="1:7" x14ac:dyDescent="0.3">
      <c r="A816" s="17"/>
      <c r="B816" s="18"/>
      <c r="C816" s="18"/>
      <c r="D816" s="18"/>
      <c r="E816" s="10" t="str">
        <f>IF(B816="","",IFERROR(INDEX(Harytlar!$C$5:$C$44,MATCH(B816,Harytlar!$A$5:$A$44,0)),""))</f>
        <v/>
      </c>
      <c r="F816" s="10" t="str">
        <f t="shared" si="12"/>
        <v/>
      </c>
      <c r="G816" s="10" t="str">
        <f>IF(OR(C816="",B816=""),"",IFERROR(C816*INDEX(Harytlar!$D$5:$D$44,MATCH(B816,Harytlar!$A$5:$A$44,0)),""))</f>
        <v/>
      </c>
    </row>
    <row r="817" spans="1:7" x14ac:dyDescent="0.3">
      <c r="A817" s="17"/>
      <c r="B817" s="18"/>
      <c r="C817" s="18"/>
      <c r="D817" s="18"/>
      <c r="E817" s="10" t="str">
        <f>IF(B817="","",IFERROR(INDEX(Harytlar!$C$5:$C$44,MATCH(B817,Harytlar!$A$5:$A$44,0)),""))</f>
        <v/>
      </c>
      <c r="F817" s="10" t="str">
        <f t="shared" si="12"/>
        <v/>
      </c>
      <c r="G817" s="10" t="str">
        <f>IF(OR(C817="",B817=""),"",IFERROR(C817*INDEX(Harytlar!$D$5:$D$44,MATCH(B817,Harytlar!$A$5:$A$44,0)),""))</f>
        <v/>
      </c>
    </row>
    <row r="818" spans="1:7" x14ac:dyDescent="0.3">
      <c r="A818" s="17"/>
      <c r="B818" s="18"/>
      <c r="C818" s="18"/>
      <c r="D818" s="18"/>
      <c r="E818" s="10" t="str">
        <f>IF(B818="","",IFERROR(INDEX(Harytlar!$C$5:$C$44,MATCH(B818,Harytlar!$A$5:$A$44,0)),""))</f>
        <v/>
      </c>
      <c r="F818" s="10" t="str">
        <f t="shared" si="12"/>
        <v/>
      </c>
      <c r="G818" s="10" t="str">
        <f>IF(OR(C818="",B818=""),"",IFERROR(C818*INDEX(Harytlar!$D$5:$D$44,MATCH(B818,Harytlar!$A$5:$A$44,0)),""))</f>
        <v/>
      </c>
    </row>
    <row r="819" spans="1:7" x14ac:dyDescent="0.3">
      <c r="A819" s="17"/>
      <c r="B819" s="18"/>
      <c r="C819" s="18"/>
      <c r="D819" s="18"/>
      <c r="E819" s="10" t="str">
        <f>IF(B819="","",IFERROR(INDEX(Harytlar!$C$5:$C$44,MATCH(B819,Harytlar!$A$5:$A$44,0)),""))</f>
        <v/>
      </c>
      <c r="F819" s="10" t="str">
        <f t="shared" si="12"/>
        <v/>
      </c>
      <c r="G819" s="10" t="str">
        <f>IF(OR(C819="",B819=""),"",IFERROR(C819*INDEX(Harytlar!$D$5:$D$44,MATCH(B819,Harytlar!$A$5:$A$44,0)),""))</f>
        <v/>
      </c>
    </row>
    <row r="820" spans="1:7" x14ac:dyDescent="0.3">
      <c r="A820" s="17"/>
      <c r="B820" s="18"/>
      <c r="C820" s="18"/>
      <c r="D820" s="18"/>
      <c r="E820" s="10" t="str">
        <f>IF(B820="","",IFERROR(INDEX(Harytlar!$C$5:$C$44,MATCH(B820,Harytlar!$A$5:$A$44,0)),""))</f>
        <v/>
      </c>
      <c r="F820" s="10" t="str">
        <f t="shared" si="12"/>
        <v/>
      </c>
      <c r="G820" s="10" t="str">
        <f>IF(OR(C820="",B820=""),"",IFERROR(C820*INDEX(Harytlar!$D$5:$D$44,MATCH(B820,Harytlar!$A$5:$A$44,0)),""))</f>
        <v/>
      </c>
    </row>
    <row r="821" spans="1:7" x14ac:dyDescent="0.3">
      <c r="A821" s="17"/>
      <c r="B821" s="18"/>
      <c r="C821" s="18"/>
      <c r="D821" s="18"/>
      <c r="E821" s="10" t="str">
        <f>IF(B821="","",IFERROR(INDEX(Harytlar!$C$5:$C$44,MATCH(B821,Harytlar!$A$5:$A$44,0)),""))</f>
        <v/>
      </c>
      <c r="F821" s="10" t="str">
        <f t="shared" si="12"/>
        <v/>
      </c>
      <c r="G821" s="10" t="str">
        <f>IF(OR(C821="",B821=""),"",IFERROR(C821*INDEX(Harytlar!$D$5:$D$44,MATCH(B821,Harytlar!$A$5:$A$44,0)),""))</f>
        <v/>
      </c>
    </row>
    <row r="822" spans="1:7" x14ac:dyDescent="0.3">
      <c r="A822" s="17"/>
      <c r="B822" s="18"/>
      <c r="C822" s="18"/>
      <c r="D822" s="18"/>
      <c r="E822" s="10" t="str">
        <f>IF(B822="","",IFERROR(INDEX(Harytlar!$C$5:$C$44,MATCH(B822,Harytlar!$A$5:$A$44,0)),""))</f>
        <v/>
      </c>
      <c r="F822" s="10" t="str">
        <f t="shared" si="12"/>
        <v/>
      </c>
      <c r="G822" s="10" t="str">
        <f>IF(OR(C822="",B822=""),"",IFERROR(C822*INDEX(Harytlar!$D$5:$D$44,MATCH(B822,Harytlar!$A$5:$A$44,0)),""))</f>
        <v/>
      </c>
    </row>
    <row r="823" spans="1:7" x14ac:dyDescent="0.3">
      <c r="A823" s="17"/>
      <c r="B823" s="18"/>
      <c r="C823" s="18"/>
      <c r="D823" s="18"/>
      <c r="E823" s="10" t="str">
        <f>IF(B823="","",IFERROR(INDEX(Harytlar!$C$5:$C$44,MATCH(B823,Harytlar!$A$5:$A$44,0)),""))</f>
        <v/>
      </c>
      <c r="F823" s="10" t="str">
        <f t="shared" si="12"/>
        <v/>
      </c>
      <c r="G823" s="10" t="str">
        <f>IF(OR(C823="",B823=""),"",IFERROR(C823*INDEX(Harytlar!$D$5:$D$44,MATCH(B823,Harytlar!$A$5:$A$44,0)),""))</f>
        <v/>
      </c>
    </row>
    <row r="824" spans="1:7" x14ac:dyDescent="0.3">
      <c r="A824" s="17"/>
      <c r="B824" s="18"/>
      <c r="C824" s="18"/>
      <c r="D824" s="18"/>
      <c r="E824" s="10" t="str">
        <f>IF(B824="","",IFERROR(INDEX(Harytlar!$C$5:$C$44,MATCH(B824,Harytlar!$A$5:$A$44,0)),""))</f>
        <v/>
      </c>
      <c r="F824" s="10" t="str">
        <f t="shared" si="12"/>
        <v/>
      </c>
      <c r="G824" s="10" t="str">
        <f>IF(OR(C824="",B824=""),"",IFERROR(C824*INDEX(Harytlar!$D$5:$D$44,MATCH(B824,Harytlar!$A$5:$A$44,0)),""))</f>
        <v/>
      </c>
    </row>
    <row r="825" spans="1:7" x14ac:dyDescent="0.3">
      <c r="A825" s="17"/>
      <c r="B825" s="18"/>
      <c r="C825" s="18"/>
      <c r="D825" s="18"/>
      <c r="E825" s="10" t="str">
        <f>IF(B825="","",IFERROR(INDEX(Harytlar!$C$5:$C$44,MATCH(B825,Harytlar!$A$5:$A$44,0)),""))</f>
        <v/>
      </c>
      <c r="F825" s="10" t="str">
        <f t="shared" si="12"/>
        <v/>
      </c>
      <c r="G825" s="10" t="str">
        <f>IF(OR(C825="",B825=""),"",IFERROR(C825*INDEX(Harytlar!$D$5:$D$44,MATCH(B825,Harytlar!$A$5:$A$44,0)),""))</f>
        <v/>
      </c>
    </row>
    <row r="826" spans="1:7" x14ac:dyDescent="0.3">
      <c r="A826" s="17"/>
      <c r="B826" s="18"/>
      <c r="C826" s="18"/>
      <c r="D826" s="18"/>
      <c r="E826" s="10" t="str">
        <f>IF(B826="","",IFERROR(INDEX(Harytlar!$C$5:$C$44,MATCH(B826,Harytlar!$A$5:$A$44,0)),""))</f>
        <v/>
      </c>
      <c r="F826" s="10" t="str">
        <f t="shared" si="12"/>
        <v/>
      </c>
      <c r="G826" s="10" t="str">
        <f>IF(OR(C826="",B826=""),"",IFERROR(C826*INDEX(Harytlar!$D$5:$D$44,MATCH(B826,Harytlar!$A$5:$A$44,0)),""))</f>
        <v/>
      </c>
    </row>
    <row r="827" spans="1:7" x14ac:dyDescent="0.3">
      <c r="A827" s="17"/>
      <c r="B827" s="18"/>
      <c r="C827" s="18"/>
      <c r="D827" s="18"/>
      <c r="E827" s="10" t="str">
        <f>IF(B827="","",IFERROR(INDEX(Harytlar!$C$5:$C$44,MATCH(B827,Harytlar!$A$5:$A$44,0)),""))</f>
        <v/>
      </c>
      <c r="F827" s="10" t="str">
        <f t="shared" si="12"/>
        <v/>
      </c>
      <c r="G827" s="10" t="str">
        <f>IF(OR(C827="",B827=""),"",IFERROR(C827*INDEX(Harytlar!$D$5:$D$44,MATCH(B827,Harytlar!$A$5:$A$44,0)),""))</f>
        <v/>
      </c>
    </row>
    <row r="828" spans="1:7" x14ac:dyDescent="0.3">
      <c r="A828" s="17"/>
      <c r="B828" s="18"/>
      <c r="C828" s="18"/>
      <c r="D828" s="18"/>
      <c r="E828" s="10" t="str">
        <f>IF(B828="","",IFERROR(INDEX(Harytlar!$C$5:$C$44,MATCH(B828,Harytlar!$A$5:$A$44,0)),""))</f>
        <v/>
      </c>
      <c r="F828" s="10" t="str">
        <f t="shared" si="12"/>
        <v/>
      </c>
      <c r="G828" s="10" t="str">
        <f>IF(OR(C828="",B828=""),"",IFERROR(C828*INDEX(Harytlar!$D$5:$D$44,MATCH(B828,Harytlar!$A$5:$A$44,0)),""))</f>
        <v/>
      </c>
    </row>
    <row r="829" spans="1:7" x14ac:dyDescent="0.3">
      <c r="A829" s="17"/>
      <c r="B829" s="18"/>
      <c r="C829" s="18"/>
      <c r="D829" s="18"/>
      <c r="E829" s="10" t="str">
        <f>IF(B829="","",IFERROR(INDEX(Harytlar!$C$5:$C$44,MATCH(B829,Harytlar!$A$5:$A$44,0)),""))</f>
        <v/>
      </c>
      <c r="F829" s="10" t="str">
        <f t="shared" si="12"/>
        <v/>
      </c>
      <c r="G829" s="10" t="str">
        <f>IF(OR(C829="",B829=""),"",IFERROR(C829*INDEX(Harytlar!$D$5:$D$44,MATCH(B829,Harytlar!$A$5:$A$44,0)),""))</f>
        <v/>
      </c>
    </row>
    <row r="830" spans="1:7" x14ac:dyDescent="0.3">
      <c r="A830" s="17"/>
      <c r="B830" s="18"/>
      <c r="C830" s="18"/>
      <c r="D830" s="18"/>
      <c r="E830" s="10" t="str">
        <f>IF(B830="","",IFERROR(INDEX(Harytlar!$C$5:$C$44,MATCH(B830,Harytlar!$A$5:$A$44,0)),""))</f>
        <v/>
      </c>
      <c r="F830" s="10" t="str">
        <f t="shared" si="12"/>
        <v/>
      </c>
      <c r="G830" s="10" t="str">
        <f>IF(OR(C830="",B830=""),"",IFERROR(C830*INDEX(Harytlar!$D$5:$D$44,MATCH(B830,Harytlar!$A$5:$A$44,0)),""))</f>
        <v/>
      </c>
    </row>
    <row r="831" spans="1:7" x14ac:dyDescent="0.3">
      <c r="A831" s="17"/>
      <c r="B831" s="18"/>
      <c r="C831" s="18"/>
      <c r="D831" s="18"/>
      <c r="E831" s="10" t="str">
        <f>IF(B831="","",IFERROR(INDEX(Harytlar!$C$5:$C$44,MATCH(B831,Harytlar!$A$5:$A$44,0)),""))</f>
        <v/>
      </c>
      <c r="F831" s="10" t="str">
        <f t="shared" si="12"/>
        <v/>
      </c>
      <c r="G831" s="10" t="str">
        <f>IF(OR(C831="",B831=""),"",IFERROR(C831*INDEX(Harytlar!$D$5:$D$44,MATCH(B831,Harytlar!$A$5:$A$44,0)),""))</f>
        <v/>
      </c>
    </row>
    <row r="832" spans="1:7" x14ac:dyDescent="0.3">
      <c r="A832" s="17"/>
      <c r="B832" s="18"/>
      <c r="C832" s="18"/>
      <c r="D832" s="18"/>
      <c r="E832" s="10" t="str">
        <f>IF(B832="","",IFERROR(INDEX(Harytlar!$C$5:$C$44,MATCH(B832,Harytlar!$A$5:$A$44,0)),""))</f>
        <v/>
      </c>
      <c r="F832" s="10" t="str">
        <f t="shared" si="12"/>
        <v/>
      </c>
      <c r="G832" s="10" t="str">
        <f>IF(OR(C832="",B832=""),"",IFERROR(C832*INDEX(Harytlar!$D$5:$D$44,MATCH(B832,Harytlar!$A$5:$A$44,0)),""))</f>
        <v/>
      </c>
    </row>
    <row r="833" spans="1:7" x14ac:dyDescent="0.3">
      <c r="A833" s="17"/>
      <c r="B833" s="18"/>
      <c r="C833" s="18"/>
      <c r="D833" s="18"/>
      <c r="E833" s="10" t="str">
        <f>IF(B833="","",IFERROR(INDEX(Harytlar!$C$5:$C$44,MATCH(B833,Harytlar!$A$5:$A$44,0)),""))</f>
        <v/>
      </c>
      <c r="F833" s="10" t="str">
        <f t="shared" si="12"/>
        <v/>
      </c>
      <c r="G833" s="10" t="str">
        <f>IF(OR(C833="",B833=""),"",IFERROR(C833*INDEX(Harytlar!$D$5:$D$44,MATCH(B833,Harytlar!$A$5:$A$44,0)),""))</f>
        <v/>
      </c>
    </row>
    <row r="834" spans="1:7" x14ac:dyDescent="0.3">
      <c r="A834" s="17"/>
      <c r="B834" s="18"/>
      <c r="C834" s="18"/>
      <c r="D834" s="18"/>
      <c r="E834" s="10" t="str">
        <f>IF(B834="","",IFERROR(INDEX(Harytlar!$C$5:$C$44,MATCH(B834,Harytlar!$A$5:$A$44,0)),""))</f>
        <v/>
      </c>
      <c r="F834" s="10" t="str">
        <f t="shared" si="12"/>
        <v/>
      </c>
      <c r="G834" s="10" t="str">
        <f>IF(OR(C834="",B834=""),"",IFERROR(C834*INDEX(Harytlar!$D$5:$D$44,MATCH(B834,Harytlar!$A$5:$A$44,0)),""))</f>
        <v/>
      </c>
    </row>
    <row r="835" spans="1:7" x14ac:dyDescent="0.3">
      <c r="A835" s="17"/>
      <c r="B835" s="18"/>
      <c r="C835" s="18"/>
      <c r="D835" s="18"/>
      <c r="E835" s="10" t="str">
        <f>IF(B835="","",IFERROR(INDEX(Harytlar!$C$5:$C$44,MATCH(B835,Harytlar!$A$5:$A$44,0)),""))</f>
        <v/>
      </c>
      <c r="F835" s="10" t="str">
        <f t="shared" si="12"/>
        <v/>
      </c>
      <c r="G835" s="10" t="str">
        <f>IF(OR(C835="",B835=""),"",IFERROR(C835*INDEX(Harytlar!$D$5:$D$44,MATCH(B835,Harytlar!$A$5:$A$44,0)),""))</f>
        <v/>
      </c>
    </row>
    <row r="836" spans="1:7" x14ac:dyDescent="0.3">
      <c r="A836" s="17"/>
      <c r="B836" s="18"/>
      <c r="C836" s="18"/>
      <c r="D836" s="18"/>
      <c r="E836" s="10" t="str">
        <f>IF(B836="","",IFERROR(INDEX(Harytlar!$C$5:$C$44,MATCH(B836,Harytlar!$A$5:$A$44,0)),""))</f>
        <v/>
      </c>
      <c r="F836" s="10" t="str">
        <f t="shared" si="12"/>
        <v/>
      </c>
      <c r="G836" s="10" t="str">
        <f>IF(OR(C836="",B836=""),"",IFERROR(C836*INDEX(Harytlar!$D$5:$D$44,MATCH(B836,Harytlar!$A$5:$A$44,0)),""))</f>
        <v/>
      </c>
    </row>
    <row r="837" spans="1:7" x14ac:dyDescent="0.3">
      <c r="A837" s="17"/>
      <c r="B837" s="18"/>
      <c r="C837" s="18"/>
      <c r="D837" s="18"/>
      <c r="E837" s="10" t="str">
        <f>IF(B837="","",IFERROR(INDEX(Harytlar!$C$5:$C$44,MATCH(B837,Harytlar!$A$5:$A$44,0)),""))</f>
        <v/>
      </c>
      <c r="F837" s="10" t="str">
        <f t="shared" si="12"/>
        <v/>
      </c>
      <c r="G837" s="10" t="str">
        <f>IF(OR(C837="",B837=""),"",IFERROR(C837*INDEX(Harytlar!$D$5:$D$44,MATCH(B837,Harytlar!$A$5:$A$44,0)),""))</f>
        <v/>
      </c>
    </row>
    <row r="838" spans="1:7" x14ac:dyDescent="0.3">
      <c r="A838" s="17"/>
      <c r="B838" s="18"/>
      <c r="C838" s="18"/>
      <c r="D838" s="18"/>
      <c r="E838" s="10" t="str">
        <f>IF(B838="","",IFERROR(INDEX(Harytlar!$C$5:$C$44,MATCH(B838,Harytlar!$A$5:$A$44,0)),""))</f>
        <v/>
      </c>
      <c r="F838" s="10" t="str">
        <f t="shared" ref="F838:F901" si="13">IF(OR(C838="",E838=""),"",C838*E838)</f>
        <v/>
      </c>
      <c r="G838" s="10" t="str">
        <f>IF(OR(C838="",B838=""),"",IFERROR(C838*INDEX(Harytlar!$D$5:$D$44,MATCH(B838,Harytlar!$A$5:$A$44,0)),""))</f>
        <v/>
      </c>
    </row>
    <row r="839" spans="1:7" x14ac:dyDescent="0.3">
      <c r="A839" s="17"/>
      <c r="B839" s="18"/>
      <c r="C839" s="18"/>
      <c r="D839" s="18"/>
      <c r="E839" s="10" t="str">
        <f>IF(B839="","",IFERROR(INDEX(Harytlar!$C$5:$C$44,MATCH(B839,Harytlar!$A$5:$A$44,0)),""))</f>
        <v/>
      </c>
      <c r="F839" s="10" t="str">
        <f t="shared" si="13"/>
        <v/>
      </c>
      <c r="G839" s="10" t="str">
        <f>IF(OR(C839="",B839=""),"",IFERROR(C839*INDEX(Harytlar!$D$5:$D$44,MATCH(B839,Harytlar!$A$5:$A$44,0)),""))</f>
        <v/>
      </c>
    </row>
    <row r="840" spans="1:7" x14ac:dyDescent="0.3">
      <c r="A840" s="17"/>
      <c r="B840" s="18"/>
      <c r="C840" s="18"/>
      <c r="D840" s="18"/>
      <c r="E840" s="10" t="str">
        <f>IF(B840="","",IFERROR(INDEX(Harytlar!$C$5:$C$44,MATCH(B840,Harytlar!$A$5:$A$44,0)),""))</f>
        <v/>
      </c>
      <c r="F840" s="10" t="str">
        <f t="shared" si="13"/>
        <v/>
      </c>
      <c r="G840" s="10" t="str">
        <f>IF(OR(C840="",B840=""),"",IFERROR(C840*INDEX(Harytlar!$D$5:$D$44,MATCH(B840,Harytlar!$A$5:$A$44,0)),""))</f>
        <v/>
      </c>
    </row>
    <row r="841" spans="1:7" x14ac:dyDescent="0.3">
      <c r="A841" s="17"/>
      <c r="B841" s="18"/>
      <c r="C841" s="18"/>
      <c r="D841" s="18"/>
      <c r="E841" s="10" t="str">
        <f>IF(B841="","",IFERROR(INDEX(Harytlar!$C$5:$C$44,MATCH(B841,Harytlar!$A$5:$A$44,0)),""))</f>
        <v/>
      </c>
      <c r="F841" s="10" t="str">
        <f t="shared" si="13"/>
        <v/>
      </c>
      <c r="G841" s="10" t="str">
        <f>IF(OR(C841="",B841=""),"",IFERROR(C841*INDEX(Harytlar!$D$5:$D$44,MATCH(B841,Harytlar!$A$5:$A$44,0)),""))</f>
        <v/>
      </c>
    </row>
    <row r="842" spans="1:7" x14ac:dyDescent="0.3">
      <c r="A842" s="17"/>
      <c r="B842" s="18"/>
      <c r="C842" s="18"/>
      <c r="D842" s="18"/>
      <c r="E842" s="10" t="str">
        <f>IF(B842="","",IFERROR(INDEX(Harytlar!$C$5:$C$44,MATCH(B842,Harytlar!$A$5:$A$44,0)),""))</f>
        <v/>
      </c>
      <c r="F842" s="10" t="str">
        <f t="shared" si="13"/>
        <v/>
      </c>
      <c r="G842" s="10" t="str">
        <f>IF(OR(C842="",B842=""),"",IFERROR(C842*INDEX(Harytlar!$D$5:$D$44,MATCH(B842,Harytlar!$A$5:$A$44,0)),""))</f>
        <v/>
      </c>
    </row>
    <row r="843" spans="1:7" x14ac:dyDescent="0.3">
      <c r="A843" s="17"/>
      <c r="B843" s="18"/>
      <c r="C843" s="18"/>
      <c r="D843" s="18"/>
      <c r="E843" s="10" t="str">
        <f>IF(B843="","",IFERROR(INDEX(Harytlar!$C$5:$C$44,MATCH(B843,Harytlar!$A$5:$A$44,0)),""))</f>
        <v/>
      </c>
      <c r="F843" s="10" t="str">
        <f t="shared" si="13"/>
        <v/>
      </c>
      <c r="G843" s="10" t="str">
        <f>IF(OR(C843="",B843=""),"",IFERROR(C843*INDEX(Harytlar!$D$5:$D$44,MATCH(B843,Harytlar!$A$5:$A$44,0)),""))</f>
        <v/>
      </c>
    </row>
    <row r="844" spans="1:7" x14ac:dyDescent="0.3">
      <c r="A844" s="17"/>
      <c r="B844" s="18"/>
      <c r="C844" s="18"/>
      <c r="D844" s="18"/>
      <c r="E844" s="10" t="str">
        <f>IF(B844="","",IFERROR(INDEX(Harytlar!$C$5:$C$44,MATCH(B844,Harytlar!$A$5:$A$44,0)),""))</f>
        <v/>
      </c>
      <c r="F844" s="10" t="str">
        <f t="shared" si="13"/>
        <v/>
      </c>
      <c r="G844" s="10" t="str">
        <f>IF(OR(C844="",B844=""),"",IFERROR(C844*INDEX(Harytlar!$D$5:$D$44,MATCH(B844,Harytlar!$A$5:$A$44,0)),""))</f>
        <v/>
      </c>
    </row>
    <row r="845" spans="1:7" x14ac:dyDescent="0.3">
      <c r="A845" s="17"/>
      <c r="B845" s="18"/>
      <c r="C845" s="18"/>
      <c r="D845" s="18"/>
      <c r="E845" s="10" t="str">
        <f>IF(B845="","",IFERROR(INDEX(Harytlar!$C$5:$C$44,MATCH(B845,Harytlar!$A$5:$A$44,0)),""))</f>
        <v/>
      </c>
      <c r="F845" s="10" t="str">
        <f t="shared" si="13"/>
        <v/>
      </c>
      <c r="G845" s="10" t="str">
        <f>IF(OR(C845="",B845=""),"",IFERROR(C845*INDEX(Harytlar!$D$5:$D$44,MATCH(B845,Harytlar!$A$5:$A$44,0)),""))</f>
        <v/>
      </c>
    </row>
    <row r="846" spans="1:7" x14ac:dyDescent="0.3">
      <c r="A846" s="17"/>
      <c r="B846" s="18"/>
      <c r="C846" s="18"/>
      <c r="D846" s="18"/>
      <c r="E846" s="10" t="str">
        <f>IF(B846="","",IFERROR(INDEX(Harytlar!$C$5:$C$44,MATCH(B846,Harytlar!$A$5:$A$44,0)),""))</f>
        <v/>
      </c>
      <c r="F846" s="10" t="str">
        <f t="shared" si="13"/>
        <v/>
      </c>
      <c r="G846" s="10" t="str">
        <f>IF(OR(C846="",B846=""),"",IFERROR(C846*INDEX(Harytlar!$D$5:$D$44,MATCH(B846,Harytlar!$A$5:$A$44,0)),""))</f>
        <v/>
      </c>
    </row>
    <row r="847" spans="1:7" x14ac:dyDescent="0.3">
      <c r="A847" s="17"/>
      <c r="B847" s="18"/>
      <c r="C847" s="18"/>
      <c r="D847" s="18"/>
      <c r="E847" s="10" t="str">
        <f>IF(B847="","",IFERROR(INDEX(Harytlar!$C$5:$C$44,MATCH(B847,Harytlar!$A$5:$A$44,0)),""))</f>
        <v/>
      </c>
      <c r="F847" s="10" t="str">
        <f t="shared" si="13"/>
        <v/>
      </c>
      <c r="G847" s="10" t="str">
        <f>IF(OR(C847="",B847=""),"",IFERROR(C847*INDEX(Harytlar!$D$5:$D$44,MATCH(B847,Harytlar!$A$5:$A$44,0)),""))</f>
        <v/>
      </c>
    </row>
    <row r="848" spans="1:7" x14ac:dyDescent="0.3">
      <c r="A848" s="17"/>
      <c r="B848" s="18"/>
      <c r="C848" s="18"/>
      <c r="D848" s="18"/>
      <c r="E848" s="10" t="str">
        <f>IF(B848="","",IFERROR(INDEX(Harytlar!$C$5:$C$44,MATCH(B848,Harytlar!$A$5:$A$44,0)),""))</f>
        <v/>
      </c>
      <c r="F848" s="10" t="str">
        <f t="shared" si="13"/>
        <v/>
      </c>
      <c r="G848" s="10" t="str">
        <f>IF(OR(C848="",B848=""),"",IFERROR(C848*INDEX(Harytlar!$D$5:$D$44,MATCH(B848,Harytlar!$A$5:$A$44,0)),""))</f>
        <v/>
      </c>
    </row>
    <row r="849" spans="1:7" x14ac:dyDescent="0.3">
      <c r="A849" s="17"/>
      <c r="B849" s="18"/>
      <c r="C849" s="18"/>
      <c r="D849" s="18"/>
      <c r="E849" s="10" t="str">
        <f>IF(B849="","",IFERROR(INDEX(Harytlar!$C$5:$C$44,MATCH(B849,Harytlar!$A$5:$A$44,0)),""))</f>
        <v/>
      </c>
      <c r="F849" s="10" t="str">
        <f t="shared" si="13"/>
        <v/>
      </c>
      <c r="G849" s="10" t="str">
        <f>IF(OR(C849="",B849=""),"",IFERROR(C849*INDEX(Harytlar!$D$5:$D$44,MATCH(B849,Harytlar!$A$5:$A$44,0)),""))</f>
        <v/>
      </c>
    </row>
    <row r="850" spans="1:7" x14ac:dyDescent="0.3">
      <c r="A850" s="17"/>
      <c r="B850" s="18"/>
      <c r="C850" s="18"/>
      <c r="D850" s="18"/>
      <c r="E850" s="10" t="str">
        <f>IF(B850="","",IFERROR(INDEX(Harytlar!$C$5:$C$44,MATCH(B850,Harytlar!$A$5:$A$44,0)),""))</f>
        <v/>
      </c>
      <c r="F850" s="10" t="str">
        <f t="shared" si="13"/>
        <v/>
      </c>
      <c r="G850" s="10" t="str">
        <f>IF(OR(C850="",B850=""),"",IFERROR(C850*INDEX(Harytlar!$D$5:$D$44,MATCH(B850,Harytlar!$A$5:$A$44,0)),""))</f>
        <v/>
      </c>
    </row>
    <row r="851" spans="1:7" x14ac:dyDescent="0.3">
      <c r="A851" s="17"/>
      <c r="B851" s="18"/>
      <c r="C851" s="18"/>
      <c r="D851" s="18"/>
      <c r="E851" s="10" t="str">
        <f>IF(B851="","",IFERROR(INDEX(Harytlar!$C$5:$C$44,MATCH(B851,Harytlar!$A$5:$A$44,0)),""))</f>
        <v/>
      </c>
      <c r="F851" s="10" t="str">
        <f t="shared" si="13"/>
        <v/>
      </c>
      <c r="G851" s="10" t="str">
        <f>IF(OR(C851="",B851=""),"",IFERROR(C851*INDEX(Harytlar!$D$5:$D$44,MATCH(B851,Harytlar!$A$5:$A$44,0)),""))</f>
        <v/>
      </c>
    </row>
    <row r="852" spans="1:7" x14ac:dyDescent="0.3">
      <c r="A852" s="17"/>
      <c r="B852" s="18"/>
      <c r="C852" s="18"/>
      <c r="D852" s="18"/>
      <c r="E852" s="10" t="str">
        <f>IF(B852="","",IFERROR(INDEX(Harytlar!$C$5:$C$44,MATCH(B852,Harytlar!$A$5:$A$44,0)),""))</f>
        <v/>
      </c>
      <c r="F852" s="10" t="str">
        <f t="shared" si="13"/>
        <v/>
      </c>
      <c r="G852" s="10" t="str">
        <f>IF(OR(C852="",B852=""),"",IFERROR(C852*INDEX(Harytlar!$D$5:$D$44,MATCH(B852,Harytlar!$A$5:$A$44,0)),""))</f>
        <v/>
      </c>
    </row>
    <row r="853" spans="1:7" x14ac:dyDescent="0.3">
      <c r="A853" s="17"/>
      <c r="B853" s="18"/>
      <c r="C853" s="18"/>
      <c r="D853" s="18"/>
      <c r="E853" s="10" t="str">
        <f>IF(B853="","",IFERROR(INDEX(Harytlar!$C$5:$C$44,MATCH(B853,Harytlar!$A$5:$A$44,0)),""))</f>
        <v/>
      </c>
      <c r="F853" s="10" t="str">
        <f t="shared" si="13"/>
        <v/>
      </c>
      <c r="G853" s="10" t="str">
        <f>IF(OR(C853="",B853=""),"",IFERROR(C853*INDEX(Harytlar!$D$5:$D$44,MATCH(B853,Harytlar!$A$5:$A$44,0)),""))</f>
        <v/>
      </c>
    </row>
    <row r="854" spans="1:7" x14ac:dyDescent="0.3">
      <c r="A854" s="17"/>
      <c r="B854" s="18"/>
      <c r="C854" s="18"/>
      <c r="D854" s="18"/>
      <c r="E854" s="10" t="str">
        <f>IF(B854="","",IFERROR(INDEX(Harytlar!$C$5:$C$44,MATCH(B854,Harytlar!$A$5:$A$44,0)),""))</f>
        <v/>
      </c>
      <c r="F854" s="10" t="str">
        <f t="shared" si="13"/>
        <v/>
      </c>
      <c r="G854" s="10" t="str">
        <f>IF(OR(C854="",B854=""),"",IFERROR(C854*INDEX(Harytlar!$D$5:$D$44,MATCH(B854,Harytlar!$A$5:$A$44,0)),""))</f>
        <v/>
      </c>
    </row>
    <row r="855" spans="1:7" x14ac:dyDescent="0.3">
      <c r="A855" s="17"/>
      <c r="B855" s="18"/>
      <c r="C855" s="18"/>
      <c r="D855" s="18"/>
      <c r="E855" s="10" t="str">
        <f>IF(B855="","",IFERROR(INDEX(Harytlar!$C$5:$C$44,MATCH(B855,Harytlar!$A$5:$A$44,0)),""))</f>
        <v/>
      </c>
      <c r="F855" s="10" t="str">
        <f t="shared" si="13"/>
        <v/>
      </c>
      <c r="G855" s="10" t="str">
        <f>IF(OR(C855="",B855=""),"",IFERROR(C855*INDEX(Harytlar!$D$5:$D$44,MATCH(B855,Harytlar!$A$5:$A$44,0)),""))</f>
        <v/>
      </c>
    </row>
    <row r="856" spans="1:7" x14ac:dyDescent="0.3">
      <c r="A856" s="17"/>
      <c r="B856" s="18"/>
      <c r="C856" s="18"/>
      <c r="D856" s="18"/>
      <c r="E856" s="10" t="str">
        <f>IF(B856="","",IFERROR(INDEX(Harytlar!$C$5:$C$44,MATCH(B856,Harytlar!$A$5:$A$44,0)),""))</f>
        <v/>
      </c>
      <c r="F856" s="10" t="str">
        <f t="shared" si="13"/>
        <v/>
      </c>
      <c r="G856" s="10" t="str">
        <f>IF(OR(C856="",B856=""),"",IFERROR(C856*INDEX(Harytlar!$D$5:$D$44,MATCH(B856,Harytlar!$A$5:$A$44,0)),""))</f>
        <v/>
      </c>
    </row>
    <row r="857" spans="1:7" x14ac:dyDescent="0.3">
      <c r="A857" s="17"/>
      <c r="B857" s="18"/>
      <c r="C857" s="18"/>
      <c r="D857" s="18"/>
      <c r="E857" s="10" t="str">
        <f>IF(B857="","",IFERROR(INDEX(Harytlar!$C$5:$C$44,MATCH(B857,Harytlar!$A$5:$A$44,0)),""))</f>
        <v/>
      </c>
      <c r="F857" s="10" t="str">
        <f t="shared" si="13"/>
        <v/>
      </c>
      <c r="G857" s="10" t="str">
        <f>IF(OR(C857="",B857=""),"",IFERROR(C857*INDEX(Harytlar!$D$5:$D$44,MATCH(B857,Harytlar!$A$5:$A$44,0)),""))</f>
        <v/>
      </c>
    </row>
    <row r="858" spans="1:7" x14ac:dyDescent="0.3">
      <c r="A858" s="17"/>
      <c r="B858" s="18"/>
      <c r="C858" s="18"/>
      <c r="D858" s="18"/>
      <c r="E858" s="10" t="str">
        <f>IF(B858="","",IFERROR(INDEX(Harytlar!$C$5:$C$44,MATCH(B858,Harytlar!$A$5:$A$44,0)),""))</f>
        <v/>
      </c>
      <c r="F858" s="10" t="str">
        <f t="shared" si="13"/>
        <v/>
      </c>
      <c r="G858" s="10" t="str">
        <f>IF(OR(C858="",B858=""),"",IFERROR(C858*INDEX(Harytlar!$D$5:$D$44,MATCH(B858,Harytlar!$A$5:$A$44,0)),""))</f>
        <v/>
      </c>
    </row>
    <row r="859" spans="1:7" x14ac:dyDescent="0.3">
      <c r="A859" s="17"/>
      <c r="B859" s="18"/>
      <c r="C859" s="18"/>
      <c r="D859" s="18"/>
      <c r="E859" s="10" t="str">
        <f>IF(B859="","",IFERROR(INDEX(Harytlar!$C$5:$C$44,MATCH(B859,Harytlar!$A$5:$A$44,0)),""))</f>
        <v/>
      </c>
      <c r="F859" s="10" t="str">
        <f t="shared" si="13"/>
        <v/>
      </c>
      <c r="G859" s="10" t="str">
        <f>IF(OR(C859="",B859=""),"",IFERROR(C859*INDEX(Harytlar!$D$5:$D$44,MATCH(B859,Harytlar!$A$5:$A$44,0)),""))</f>
        <v/>
      </c>
    </row>
    <row r="860" spans="1:7" x14ac:dyDescent="0.3">
      <c r="A860" s="17"/>
      <c r="B860" s="18"/>
      <c r="C860" s="18"/>
      <c r="D860" s="18"/>
      <c r="E860" s="10" t="str">
        <f>IF(B860="","",IFERROR(INDEX(Harytlar!$C$5:$C$44,MATCH(B860,Harytlar!$A$5:$A$44,0)),""))</f>
        <v/>
      </c>
      <c r="F860" s="10" t="str">
        <f t="shared" si="13"/>
        <v/>
      </c>
      <c r="G860" s="10" t="str">
        <f>IF(OR(C860="",B860=""),"",IFERROR(C860*INDEX(Harytlar!$D$5:$D$44,MATCH(B860,Harytlar!$A$5:$A$44,0)),""))</f>
        <v/>
      </c>
    </row>
    <row r="861" spans="1:7" x14ac:dyDescent="0.3">
      <c r="A861" s="17"/>
      <c r="B861" s="18"/>
      <c r="C861" s="18"/>
      <c r="D861" s="18"/>
      <c r="E861" s="10" t="str">
        <f>IF(B861="","",IFERROR(INDEX(Harytlar!$C$5:$C$44,MATCH(B861,Harytlar!$A$5:$A$44,0)),""))</f>
        <v/>
      </c>
      <c r="F861" s="10" t="str">
        <f t="shared" si="13"/>
        <v/>
      </c>
      <c r="G861" s="10" t="str">
        <f>IF(OR(C861="",B861=""),"",IFERROR(C861*INDEX(Harytlar!$D$5:$D$44,MATCH(B861,Harytlar!$A$5:$A$44,0)),""))</f>
        <v/>
      </c>
    </row>
    <row r="862" spans="1:7" x14ac:dyDescent="0.3">
      <c r="A862" s="17"/>
      <c r="B862" s="18"/>
      <c r="C862" s="18"/>
      <c r="D862" s="18"/>
      <c r="E862" s="10" t="str">
        <f>IF(B862="","",IFERROR(INDEX(Harytlar!$C$5:$C$44,MATCH(B862,Harytlar!$A$5:$A$44,0)),""))</f>
        <v/>
      </c>
      <c r="F862" s="10" t="str">
        <f t="shared" si="13"/>
        <v/>
      </c>
      <c r="G862" s="10" t="str">
        <f>IF(OR(C862="",B862=""),"",IFERROR(C862*INDEX(Harytlar!$D$5:$D$44,MATCH(B862,Harytlar!$A$5:$A$44,0)),""))</f>
        <v/>
      </c>
    </row>
    <row r="863" spans="1:7" x14ac:dyDescent="0.3">
      <c r="A863" s="17"/>
      <c r="B863" s="18"/>
      <c r="C863" s="18"/>
      <c r="D863" s="18"/>
      <c r="E863" s="10" t="str">
        <f>IF(B863="","",IFERROR(INDEX(Harytlar!$C$5:$C$44,MATCH(B863,Harytlar!$A$5:$A$44,0)),""))</f>
        <v/>
      </c>
      <c r="F863" s="10" t="str">
        <f t="shared" si="13"/>
        <v/>
      </c>
      <c r="G863" s="10" t="str">
        <f>IF(OR(C863="",B863=""),"",IFERROR(C863*INDEX(Harytlar!$D$5:$D$44,MATCH(B863,Harytlar!$A$5:$A$44,0)),""))</f>
        <v/>
      </c>
    </row>
    <row r="864" spans="1:7" x14ac:dyDescent="0.3">
      <c r="A864" s="17"/>
      <c r="B864" s="18"/>
      <c r="C864" s="18"/>
      <c r="D864" s="18"/>
      <c r="E864" s="10" t="str">
        <f>IF(B864="","",IFERROR(INDEX(Harytlar!$C$5:$C$44,MATCH(B864,Harytlar!$A$5:$A$44,0)),""))</f>
        <v/>
      </c>
      <c r="F864" s="10" t="str">
        <f t="shared" si="13"/>
        <v/>
      </c>
      <c r="G864" s="10" t="str">
        <f>IF(OR(C864="",B864=""),"",IFERROR(C864*INDEX(Harytlar!$D$5:$D$44,MATCH(B864,Harytlar!$A$5:$A$44,0)),""))</f>
        <v/>
      </c>
    </row>
    <row r="865" spans="1:7" x14ac:dyDescent="0.3">
      <c r="A865" s="17"/>
      <c r="B865" s="18"/>
      <c r="C865" s="18"/>
      <c r="D865" s="18"/>
      <c r="E865" s="10" t="str">
        <f>IF(B865="","",IFERROR(INDEX(Harytlar!$C$5:$C$44,MATCH(B865,Harytlar!$A$5:$A$44,0)),""))</f>
        <v/>
      </c>
      <c r="F865" s="10" t="str">
        <f t="shared" si="13"/>
        <v/>
      </c>
      <c r="G865" s="10" t="str">
        <f>IF(OR(C865="",B865=""),"",IFERROR(C865*INDEX(Harytlar!$D$5:$D$44,MATCH(B865,Harytlar!$A$5:$A$44,0)),""))</f>
        <v/>
      </c>
    </row>
    <row r="866" spans="1:7" x14ac:dyDescent="0.3">
      <c r="A866" s="17"/>
      <c r="B866" s="18"/>
      <c r="C866" s="18"/>
      <c r="D866" s="18"/>
      <c r="E866" s="10" t="str">
        <f>IF(B866="","",IFERROR(INDEX(Harytlar!$C$5:$C$44,MATCH(B866,Harytlar!$A$5:$A$44,0)),""))</f>
        <v/>
      </c>
      <c r="F866" s="10" t="str">
        <f t="shared" si="13"/>
        <v/>
      </c>
      <c r="G866" s="10" t="str">
        <f>IF(OR(C866="",B866=""),"",IFERROR(C866*INDEX(Harytlar!$D$5:$D$44,MATCH(B866,Harytlar!$A$5:$A$44,0)),""))</f>
        <v/>
      </c>
    </row>
    <row r="867" spans="1:7" x14ac:dyDescent="0.3">
      <c r="A867" s="17"/>
      <c r="B867" s="18"/>
      <c r="C867" s="18"/>
      <c r="D867" s="18"/>
      <c r="E867" s="10" t="str">
        <f>IF(B867="","",IFERROR(INDEX(Harytlar!$C$5:$C$44,MATCH(B867,Harytlar!$A$5:$A$44,0)),""))</f>
        <v/>
      </c>
      <c r="F867" s="10" t="str">
        <f t="shared" si="13"/>
        <v/>
      </c>
      <c r="G867" s="10" t="str">
        <f>IF(OR(C867="",B867=""),"",IFERROR(C867*INDEX(Harytlar!$D$5:$D$44,MATCH(B867,Harytlar!$A$5:$A$44,0)),""))</f>
        <v/>
      </c>
    </row>
    <row r="868" spans="1:7" x14ac:dyDescent="0.3">
      <c r="A868" s="17"/>
      <c r="B868" s="18"/>
      <c r="C868" s="18"/>
      <c r="D868" s="18"/>
      <c r="E868" s="10" t="str">
        <f>IF(B868="","",IFERROR(INDEX(Harytlar!$C$5:$C$44,MATCH(B868,Harytlar!$A$5:$A$44,0)),""))</f>
        <v/>
      </c>
      <c r="F868" s="10" t="str">
        <f t="shared" si="13"/>
        <v/>
      </c>
      <c r="G868" s="10" t="str">
        <f>IF(OR(C868="",B868=""),"",IFERROR(C868*INDEX(Harytlar!$D$5:$D$44,MATCH(B868,Harytlar!$A$5:$A$44,0)),""))</f>
        <v/>
      </c>
    </row>
    <row r="869" spans="1:7" x14ac:dyDescent="0.3">
      <c r="A869" s="17"/>
      <c r="B869" s="18"/>
      <c r="C869" s="18"/>
      <c r="D869" s="18"/>
      <c r="E869" s="10" t="str">
        <f>IF(B869="","",IFERROR(INDEX(Harytlar!$C$5:$C$44,MATCH(B869,Harytlar!$A$5:$A$44,0)),""))</f>
        <v/>
      </c>
      <c r="F869" s="10" t="str">
        <f t="shared" si="13"/>
        <v/>
      </c>
      <c r="G869" s="10" t="str">
        <f>IF(OR(C869="",B869=""),"",IFERROR(C869*INDEX(Harytlar!$D$5:$D$44,MATCH(B869,Harytlar!$A$5:$A$44,0)),""))</f>
        <v/>
      </c>
    </row>
    <row r="870" spans="1:7" x14ac:dyDescent="0.3">
      <c r="A870" s="17"/>
      <c r="B870" s="18"/>
      <c r="C870" s="18"/>
      <c r="D870" s="18"/>
      <c r="E870" s="10" t="str">
        <f>IF(B870="","",IFERROR(INDEX(Harytlar!$C$5:$C$44,MATCH(B870,Harytlar!$A$5:$A$44,0)),""))</f>
        <v/>
      </c>
      <c r="F870" s="10" t="str">
        <f t="shared" si="13"/>
        <v/>
      </c>
      <c r="G870" s="10" t="str">
        <f>IF(OR(C870="",B870=""),"",IFERROR(C870*INDEX(Harytlar!$D$5:$D$44,MATCH(B870,Harytlar!$A$5:$A$44,0)),""))</f>
        <v/>
      </c>
    </row>
    <row r="871" spans="1:7" x14ac:dyDescent="0.3">
      <c r="A871" s="17"/>
      <c r="B871" s="18"/>
      <c r="C871" s="18"/>
      <c r="D871" s="18"/>
      <c r="E871" s="10" t="str">
        <f>IF(B871="","",IFERROR(INDEX(Harytlar!$C$5:$C$44,MATCH(B871,Harytlar!$A$5:$A$44,0)),""))</f>
        <v/>
      </c>
      <c r="F871" s="10" t="str">
        <f t="shared" si="13"/>
        <v/>
      </c>
      <c r="G871" s="10" t="str">
        <f>IF(OR(C871="",B871=""),"",IFERROR(C871*INDEX(Harytlar!$D$5:$D$44,MATCH(B871,Harytlar!$A$5:$A$44,0)),""))</f>
        <v/>
      </c>
    </row>
    <row r="872" spans="1:7" x14ac:dyDescent="0.3">
      <c r="A872" s="17"/>
      <c r="B872" s="18"/>
      <c r="C872" s="18"/>
      <c r="D872" s="18"/>
      <c r="E872" s="10" t="str">
        <f>IF(B872="","",IFERROR(INDEX(Harytlar!$C$5:$C$44,MATCH(B872,Harytlar!$A$5:$A$44,0)),""))</f>
        <v/>
      </c>
      <c r="F872" s="10" t="str">
        <f t="shared" si="13"/>
        <v/>
      </c>
      <c r="G872" s="10" t="str">
        <f>IF(OR(C872="",B872=""),"",IFERROR(C872*INDEX(Harytlar!$D$5:$D$44,MATCH(B872,Harytlar!$A$5:$A$44,0)),""))</f>
        <v/>
      </c>
    </row>
    <row r="873" spans="1:7" x14ac:dyDescent="0.3">
      <c r="A873" s="17"/>
      <c r="B873" s="18"/>
      <c r="C873" s="18"/>
      <c r="D873" s="18"/>
      <c r="E873" s="10" t="str">
        <f>IF(B873="","",IFERROR(INDEX(Harytlar!$C$5:$C$44,MATCH(B873,Harytlar!$A$5:$A$44,0)),""))</f>
        <v/>
      </c>
      <c r="F873" s="10" t="str">
        <f t="shared" si="13"/>
        <v/>
      </c>
      <c r="G873" s="10" t="str">
        <f>IF(OR(C873="",B873=""),"",IFERROR(C873*INDEX(Harytlar!$D$5:$D$44,MATCH(B873,Harytlar!$A$5:$A$44,0)),""))</f>
        <v/>
      </c>
    </row>
    <row r="874" spans="1:7" x14ac:dyDescent="0.3">
      <c r="A874" s="17"/>
      <c r="B874" s="18"/>
      <c r="C874" s="18"/>
      <c r="D874" s="18"/>
      <c r="E874" s="10" t="str">
        <f>IF(B874="","",IFERROR(INDEX(Harytlar!$C$5:$C$44,MATCH(B874,Harytlar!$A$5:$A$44,0)),""))</f>
        <v/>
      </c>
      <c r="F874" s="10" t="str">
        <f t="shared" si="13"/>
        <v/>
      </c>
      <c r="G874" s="10" t="str">
        <f>IF(OR(C874="",B874=""),"",IFERROR(C874*INDEX(Harytlar!$D$5:$D$44,MATCH(B874,Harytlar!$A$5:$A$44,0)),""))</f>
        <v/>
      </c>
    </row>
    <row r="875" spans="1:7" x14ac:dyDescent="0.3">
      <c r="A875" s="17"/>
      <c r="B875" s="18"/>
      <c r="C875" s="18"/>
      <c r="D875" s="18"/>
      <c r="E875" s="10" t="str">
        <f>IF(B875="","",IFERROR(INDEX(Harytlar!$C$5:$C$44,MATCH(B875,Harytlar!$A$5:$A$44,0)),""))</f>
        <v/>
      </c>
      <c r="F875" s="10" t="str">
        <f t="shared" si="13"/>
        <v/>
      </c>
      <c r="G875" s="10" t="str">
        <f>IF(OR(C875="",B875=""),"",IFERROR(C875*INDEX(Harytlar!$D$5:$D$44,MATCH(B875,Harytlar!$A$5:$A$44,0)),""))</f>
        <v/>
      </c>
    </row>
    <row r="876" spans="1:7" x14ac:dyDescent="0.3">
      <c r="A876" s="17"/>
      <c r="B876" s="18"/>
      <c r="C876" s="18"/>
      <c r="D876" s="18"/>
      <c r="E876" s="10" t="str">
        <f>IF(B876="","",IFERROR(INDEX(Harytlar!$C$5:$C$44,MATCH(B876,Harytlar!$A$5:$A$44,0)),""))</f>
        <v/>
      </c>
      <c r="F876" s="10" t="str">
        <f t="shared" si="13"/>
        <v/>
      </c>
      <c r="G876" s="10" t="str">
        <f>IF(OR(C876="",B876=""),"",IFERROR(C876*INDEX(Harytlar!$D$5:$D$44,MATCH(B876,Harytlar!$A$5:$A$44,0)),""))</f>
        <v/>
      </c>
    </row>
    <row r="877" spans="1:7" x14ac:dyDescent="0.3">
      <c r="A877" s="17"/>
      <c r="B877" s="18"/>
      <c r="C877" s="18"/>
      <c r="D877" s="18"/>
      <c r="E877" s="10" t="str">
        <f>IF(B877="","",IFERROR(INDEX(Harytlar!$C$5:$C$44,MATCH(B877,Harytlar!$A$5:$A$44,0)),""))</f>
        <v/>
      </c>
      <c r="F877" s="10" t="str">
        <f t="shared" si="13"/>
        <v/>
      </c>
      <c r="G877" s="10" t="str">
        <f>IF(OR(C877="",B877=""),"",IFERROR(C877*INDEX(Harytlar!$D$5:$D$44,MATCH(B877,Harytlar!$A$5:$A$44,0)),""))</f>
        <v/>
      </c>
    </row>
    <row r="878" spans="1:7" x14ac:dyDescent="0.3">
      <c r="A878" s="17"/>
      <c r="B878" s="18"/>
      <c r="C878" s="18"/>
      <c r="D878" s="18"/>
      <c r="E878" s="10" t="str">
        <f>IF(B878="","",IFERROR(INDEX(Harytlar!$C$5:$C$44,MATCH(B878,Harytlar!$A$5:$A$44,0)),""))</f>
        <v/>
      </c>
      <c r="F878" s="10" t="str">
        <f t="shared" si="13"/>
        <v/>
      </c>
      <c r="G878" s="10" t="str">
        <f>IF(OR(C878="",B878=""),"",IFERROR(C878*INDEX(Harytlar!$D$5:$D$44,MATCH(B878,Harytlar!$A$5:$A$44,0)),""))</f>
        <v/>
      </c>
    </row>
    <row r="879" spans="1:7" x14ac:dyDescent="0.3">
      <c r="A879" s="17"/>
      <c r="B879" s="18"/>
      <c r="C879" s="18"/>
      <c r="D879" s="18"/>
      <c r="E879" s="10" t="str">
        <f>IF(B879="","",IFERROR(INDEX(Harytlar!$C$5:$C$44,MATCH(B879,Harytlar!$A$5:$A$44,0)),""))</f>
        <v/>
      </c>
      <c r="F879" s="10" t="str">
        <f t="shared" si="13"/>
        <v/>
      </c>
      <c r="G879" s="10" t="str">
        <f>IF(OR(C879="",B879=""),"",IFERROR(C879*INDEX(Harytlar!$D$5:$D$44,MATCH(B879,Harytlar!$A$5:$A$44,0)),""))</f>
        <v/>
      </c>
    </row>
    <row r="880" spans="1:7" x14ac:dyDescent="0.3">
      <c r="A880" s="17"/>
      <c r="B880" s="18"/>
      <c r="C880" s="18"/>
      <c r="D880" s="18"/>
      <c r="E880" s="10" t="str">
        <f>IF(B880="","",IFERROR(INDEX(Harytlar!$C$5:$C$44,MATCH(B880,Harytlar!$A$5:$A$44,0)),""))</f>
        <v/>
      </c>
      <c r="F880" s="10" t="str">
        <f t="shared" si="13"/>
        <v/>
      </c>
      <c r="G880" s="10" t="str">
        <f>IF(OR(C880="",B880=""),"",IFERROR(C880*INDEX(Harytlar!$D$5:$D$44,MATCH(B880,Harytlar!$A$5:$A$44,0)),""))</f>
        <v/>
      </c>
    </row>
    <row r="881" spans="1:7" x14ac:dyDescent="0.3">
      <c r="A881" s="17"/>
      <c r="B881" s="18"/>
      <c r="C881" s="18"/>
      <c r="D881" s="18"/>
      <c r="E881" s="10" t="str">
        <f>IF(B881="","",IFERROR(INDEX(Harytlar!$C$5:$C$44,MATCH(B881,Harytlar!$A$5:$A$44,0)),""))</f>
        <v/>
      </c>
      <c r="F881" s="10" t="str">
        <f t="shared" si="13"/>
        <v/>
      </c>
      <c r="G881" s="10" t="str">
        <f>IF(OR(C881="",B881=""),"",IFERROR(C881*INDEX(Harytlar!$D$5:$D$44,MATCH(B881,Harytlar!$A$5:$A$44,0)),""))</f>
        <v/>
      </c>
    </row>
    <row r="882" spans="1:7" x14ac:dyDescent="0.3">
      <c r="A882" s="17"/>
      <c r="B882" s="18"/>
      <c r="C882" s="18"/>
      <c r="D882" s="18"/>
      <c r="E882" s="10" t="str">
        <f>IF(B882="","",IFERROR(INDEX(Harytlar!$C$5:$C$44,MATCH(B882,Harytlar!$A$5:$A$44,0)),""))</f>
        <v/>
      </c>
      <c r="F882" s="10" t="str">
        <f t="shared" si="13"/>
        <v/>
      </c>
      <c r="G882" s="10" t="str">
        <f>IF(OR(C882="",B882=""),"",IFERROR(C882*INDEX(Harytlar!$D$5:$D$44,MATCH(B882,Harytlar!$A$5:$A$44,0)),""))</f>
        <v/>
      </c>
    </row>
    <row r="883" spans="1:7" x14ac:dyDescent="0.3">
      <c r="A883" s="17"/>
      <c r="B883" s="18"/>
      <c r="C883" s="18"/>
      <c r="D883" s="18"/>
      <c r="E883" s="10" t="str">
        <f>IF(B883="","",IFERROR(INDEX(Harytlar!$C$5:$C$44,MATCH(B883,Harytlar!$A$5:$A$44,0)),""))</f>
        <v/>
      </c>
      <c r="F883" s="10" t="str">
        <f t="shared" si="13"/>
        <v/>
      </c>
      <c r="G883" s="10" t="str">
        <f>IF(OR(C883="",B883=""),"",IFERROR(C883*INDEX(Harytlar!$D$5:$D$44,MATCH(B883,Harytlar!$A$5:$A$44,0)),""))</f>
        <v/>
      </c>
    </row>
    <row r="884" spans="1:7" x14ac:dyDescent="0.3">
      <c r="A884" s="17"/>
      <c r="B884" s="18"/>
      <c r="C884" s="18"/>
      <c r="D884" s="18"/>
      <c r="E884" s="10" t="str">
        <f>IF(B884="","",IFERROR(INDEX(Harytlar!$C$5:$C$44,MATCH(B884,Harytlar!$A$5:$A$44,0)),""))</f>
        <v/>
      </c>
      <c r="F884" s="10" t="str">
        <f t="shared" si="13"/>
        <v/>
      </c>
      <c r="G884" s="10" t="str">
        <f>IF(OR(C884="",B884=""),"",IFERROR(C884*INDEX(Harytlar!$D$5:$D$44,MATCH(B884,Harytlar!$A$5:$A$44,0)),""))</f>
        <v/>
      </c>
    </row>
    <row r="885" spans="1:7" x14ac:dyDescent="0.3">
      <c r="A885" s="17"/>
      <c r="B885" s="18"/>
      <c r="C885" s="18"/>
      <c r="D885" s="18"/>
      <c r="E885" s="10" t="str">
        <f>IF(B885="","",IFERROR(INDEX(Harytlar!$C$5:$C$44,MATCH(B885,Harytlar!$A$5:$A$44,0)),""))</f>
        <v/>
      </c>
      <c r="F885" s="10" t="str">
        <f t="shared" si="13"/>
        <v/>
      </c>
      <c r="G885" s="10" t="str">
        <f>IF(OR(C885="",B885=""),"",IFERROR(C885*INDEX(Harytlar!$D$5:$D$44,MATCH(B885,Harytlar!$A$5:$A$44,0)),""))</f>
        <v/>
      </c>
    </row>
    <row r="886" spans="1:7" x14ac:dyDescent="0.3">
      <c r="A886" s="17"/>
      <c r="B886" s="18"/>
      <c r="C886" s="18"/>
      <c r="D886" s="18"/>
      <c r="E886" s="10" t="str">
        <f>IF(B886="","",IFERROR(INDEX(Harytlar!$C$5:$C$44,MATCH(B886,Harytlar!$A$5:$A$44,0)),""))</f>
        <v/>
      </c>
      <c r="F886" s="10" t="str">
        <f t="shared" si="13"/>
        <v/>
      </c>
      <c r="G886" s="10" t="str">
        <f>IF(OR(C886="",B886=""),"",IFERROR(C886*INDEX(Harytlar!$D$5:$D$44,MATCH(B886,Harytlar!$A$5:$A$44,0)),""))</f>
        <v/>
      </c>
    </row>
    <row r="887" spans="1:7" x14ac:dyDescent="0.3">
      <c r="A887" s="17"/>
      <c r="B887" s="18"/>
      <c r="C887" s="18"/>
      <c r="D887" s="18"/>
      <c r="E887" s="10" t="str">
        <f>IF(B887="","",IFERROR(INDEX(Harytlar!$C$5:$C$44,MATCH(B887,Harytlar!$A$5:$A$44,0)),""))</f>
        <v/>
      </c>
      <c r="F887" s="10" t="str">
        <f t="shared" si="13"/>
        <v/>
      </c>
      <c r="G887" s="10" t="str">
        <f>IF(OR(C887="",B887=""),"",IFERROR(C887*INDEX(Harytlar!$D$5:$D$44,MATCH(B887,Harytlar!$A$5:$A$44,0)),""))</f>
        <v/>
      </c>
    </row>
    <row r="888" spans="1:7" x14ac:dyDescent="0.3">
      <c r="A888" s="17"/>
      <c r="B888" s="18"/>
      <c r="C888" s="18"/>
      <c r="D888" s="18"/>
      <c r="E888" s="10" t="str">
        <f>IF(B888="","",IFERROR(INDEX(Harytlar!$C$5:$C$44,MATCH(B888,Harytlar!$A$5:$A$44,0)),""))</f>
        <v/>
      </c>
      <c r="F888" s="10" t="str">
        <f t="shared" si="13"/>
        <v/>
      </c>
      <c r="G888" s="10" t="str">
        <f>IF(OR(C888="",B888=""),"",IFERROR(C888*INDEX(Harytlar!$D$5:$D$44,MATCH(B888,Harytlar!$A$5:$A$44,0)),""))</f>
        <v/>
      </c>
    </row>
    <row r="889" spans="1:7" x14ac:dyDescent="0.3">
      <c r="A889" s="17"/>
      <c r="B889" s="18"/>
      <c r="C889" s="18"/>
      <c r="D889" s="18"/>
      <c r="E889" s="10" t="str">
        <f>IF(B889="","",IFERROR(INDEX(Harytlar!$C$5:$C$44,MATCH(B889,Harytlar!$A$5:$A$44,0)),""))</f>
        <v/>
      </c>
      <c r="F889" s="10" t="str">
        <f t="shared" si="13"/>
        <v/>
      </c>
      <c r="G889" s="10" t="str">
        <f>IF(OR(C889="",B889=""),"",IFERROR(C889*INDEX(Harytlar!$D$5:$D$44,MATCH(B889,Harytlar!$A$5:$A$44,0)),""))</f>
        <v/>
      </c>
    </row>
    <row r="890" spans="1:7" x14ac:dyDescent="0.3">
      <c r="A890" s="17"/>
      <c r="B890" s="18"/>
      <c r="C890" s="18"/>
      <c r="D890" s="18"/>
      <c r="E890" s="10" t="str">
        <f>IF(B890="","",IFERROR(INDEX(Harytlar!$C$5:$C$44,MATCH(B890,Harytlar!$A$5:$A$44,0)),""))</f>
        <v/>
      </c>
      <c r="F890" s="10" t="str">
        <f t="shared" si="13"/>
        <v/>
      </c>
      <c r="G890" s="10" t="str">
        <f>IF(OR(C890="",B890=""),"",IFERROR(C890*INDEX(Harytlar!$D$5:$D$44,MATCH(B890,Harytlar!$A$5:$A$44,0)),""))</f>
        <v/>
      </c>
    </row>
    <row r="891" spans="1:7" x14ac:dyDescent="0.3">
      <c r="A891" s="17"/>
      <c r="B891" s="18"/>
      <c r="C891" s="18"/>
      <c r="D891" s="18"/>
      <c r="E891" s="10" t="str">
        <f>IF(B891="","",IFERROR(INDEX(Harytlar!$C$5:$C$44,MATCH(B891,Harytlar!$A$5:$A$44,0)),""))</f>
        <v/>
      </c>
      <c r="F891" s="10" t="str">
        <f t="shared" si="13"/>
        <v/>
      </c>
      <c r="G891" s="10" t="str">
        <f>IF(OR(C891="",B891=""),"",IFERROR(C891*INDEX(Harytlar!$D$5:$D$44,MATCH(B891,Harytlar!$A$5:$A$44,0)),""))</f>
        <v/>
      </c>
    </row>
    <row r="892" spans="1:7" x14ac:dyDescent="0.3">
      <c r="A892" s="17"/>
      <c r="B892" s="18"/>
      <c r="C892" s="18"/>
      <c r="D892" s="18"/>
      <c r="E892" s="10" t="str">
        <f>IF(B892="","",IFERROR(INDEX(Harytlar!$C$5:$C$44,MATCH(B892,Harytlar!$A$5:$A$44,0)),""))</f>
        <v/>
      </c>
      <c r="F892" s="10" t="str">
        <f t="shared" si="13"/>
        <v/>
      </c>
      <c r="G892" s="10" t="str">
        <f>IF(OR(C892="",B892=""),"",IFERROR(C892*INDEX(Harytlar!$D$5:$D$44,MATCH(B892,Harytlar!$A$5:$A$44,0)),""))</f>
        <v/>
      </c>
    </row>
    <row r="893" spans="1:7" x14ac:dyDescent="0.3">
      <c r="A893" s="17"/>
      <c r="B893" s="18"/>
      <c r="C893" s="18"/>
      <c r="D893" s="18"/>
      <c r="E893" s="10" t="str">
        <f>IF(B893="","",IFERROR(INDEX(Harytlar!$C$5:$C$44,MATCH(B893,Harytlar!$A$5:$A$44,0)),""))</f>
        <v/>
      </c>
      <c r="F893" s="10" t="str">
        <f t="shared" si="13"/>
        <v/>
      </c>
      <c r="G893" s="10" t="str">
        <f>IF(OR(C893="",B893=""),"",IFERROR(C893*INDEX(Harytlar!$D$5:$D$44,MATCH(B893,Harytlar!$A$5:$A$44,0)),""))</f>
        <v/>
      </c>
    </row>
    <row r="894" spans="1:7" x14ac:dyDescent="0.3">
      <c r="A894" s="17"/>
      <c r="B894" s="18"/>
      <c r="C894" s="18"/>
      <c r="D894" s="18"/>
      <c r="E894" s="10" t="str">
        <f>IF(B894="","",IFERROR(INDEX(Harytlar!$C$5:$C$44,MATCH(B894,Harytlar!$A$5:$A$44,0)),""))</f>
        <v/>
      </c>
      <c r="F894" s="10" t="str">
        <f t="shared" si="13"/>
        <v/>
      </c>
      <c r="G894" s="10" t="str">
        <f>IF(OR(C894="",B894=""),"",IFERROR(C894*INDEX(Harytlar!$D$5:$D$44,MATCH(B894,Harytlar!$A$5:$A$44,0)),""))</f>
        <v/>
      </c>
    </row>
    <row r="895" spans="1:7" x14ac:dyDescent="0.3">
      <c r="A895" s="17"/>
      <c r="B895" s="18"/>
      <c r="C895" s="18"/>
      <c r="D895" s="18"/>
      <c r="E895" s="10" t="str">
        <f>IF(B895="","",IFERROR(INDEX(Harytlar!$C$5:$C$44,MATCH(B895,Harytlar!$A$5:$A$44,0)),""))</f>
        <v/>
      </c>
      <c r="F895" s="10" t="str">
        <f t="shared" si="13"/>
        <v/>
      </c>
      <c r="G895" s="10" t="str">
        <f>IF(OR(C895="",B895=""),"",IFERROR(C895*INDEX(Harytlar!$D$5:$D$44,MATCH(B895,Harytlar!$A$5:$A$44,0)),""))</f>
        <v/>
      </c>
    </row>
    <row r="896" spans="1:7" x14ac:dyDescent="0.3">
      <c r="A896" s="17"/>
      <c r="B896" s="18"/>
      <c r="C896" s="18"/>
      <c r="D896" s="18"/>
      <c r="E896" s="10" t="str">
        <f>IF(B896="","",IFERROR(INDEX(Harytlar!$C$5:$C$44,MATCH(B896,Harytlar!$A$5:$A$44,0)),""))</f>
        <v/>
      </c>
      <c r="F896" s="10" t="str">
        <f t="shared" si="13"/>
        <v/>
      </c>
      <c r="G896" s="10" t="str">
        <f>IF(OR(C896="",B896=""),"",IFERROR(C896*INDEX(Harytlar!$D$5:$D$44,MATCH(B896,Harytlar!$A$5:$A$44,0)),""))</f>
        <v/>
      </c>
    </row>
    <row r="897" spans="1:7" x14ac:dyDescent="0.3">
      <c r="A897" s="17"/>
      <c r="B897" s="18"/>
      <c r="C897" s="18"/>
      <c r="D897" s="18"/>
      <c r="E897" s="10" t="str">
        <f>IF(B897="","",IFERROR(INDEX(Harytlar!$C$5:$C$44,MATCH(B897,Harytlar!$A$5:$A$44,0)),""))</f>
        <v/>
      </c>
      <c r="F897" s="10" t="str">
        <f t="shared" si="13"/>
        <v/>
      </c>
      <c r="G897" s="10" t="str">
        <f>IF(OR(C897="",B897=""),"",IFERROR(C897*INDEX(Harytlar!$D$5:$D$44,MATCH(B897,Harytlar!$A$5:$A$44,0)),""))</f>
        <v/>
      </c>
    </row>
    <row r="898" spans="1:7" x14ac:dyDescent="0.3">
      <c r="A898" s="17"/>
      <c r="B898" s="18"/>
      <c r="C898" s="18"/>
      <c r="D898" s="18"/>
      <c r="E898" s="10" t="str">
        <f>IF(B898="","",IFERROR(INDEX(Harytlar!$C$5:$C$44,MATCH(B898,Harytlar!$A$5:$A$44,0)),""))</f>
        <v/>
      </c>
      <c r="F898" s="10" t="str">
        <f t="shared" si="13"/>
        <v/>
      </c>
      <c r="G898" s="10" t="str">
        <f>IF(OR(C898="",B898=""),"",IFERROR(C898*INDEX(Harytlar!$D$5:$D$44,MATCH(B898,Harytlar!$A$5:$A$44,0)),""))</f>
        <v/>
      </c>
    </row>
    <row r="899" spans="1:7" x14ac:dyDescent="0.3">
      <c r="A899" s="17"/>
      <c r="B899" s="18"/>
      <c r="C899" s="18"/>
      <c r="D899" s="18"/>
      <c r="E899" s="10" t="str">
        <f>IF(B899="","",IFERROR(INDEX(Harytlar!$C$5:$C$44,MATCH(B899,Harytlar!$A$5:$A$44,0)),""))</f>
        <v/>
      </c>
      <c r="F899" s="10" t="str">
        <f t="shared" si="13"/>
        <v/>
      </c>
      <c r="G899" s="10" t="str">
        <f>IF(OR(C899="",B899=""),"",IFERROR(C899*INDEX(Harytlar!$D$5:$D$44,MATCH(B899,Harytlar!$A$5:$A$44,0)),""))</f>
        <v/>
      </c>
    </row>
    <row r="900" spans="1:7" x14ac:dyDescent="0.3">
      <c r="A900" s="17"/>
      <c r="B900" s="18"/>
      <c r="C900" s="18"/>
      <c r="D900" s="18"/>
      <c r="E900" s="10" t="str">
        <f>IF(B900="","",IFERROR(INDEX(Harytlar!$C$5:$C$44,MATCH(B900,Harytlar!$A$5:$A$44,0)),""))</f>
        <v/>
      </c>
      <c r="F900" s="10" t="str">
        <f t="shared" si="13"/>
        <v/>
      </c>
      <c r="G900" s="10" t="str">
        <f>IF(OR(C900="",B900=""),"",IFERROR(C900*INDEX(Harytlar!$D$5:$D$44,MATCH(B900,Harytlar!$A$5:$A$44,0)),""))</f>
        <v/>
      </c>
    </row>
    <row r="901" spans="1:7" x14ac:dyDescent="0.3">
      <c r="A901" s="17"/>
      <c r="B901" s="18"/>
      <c r="C901" s="18"/>
      <c r="D901" s="18"/>
      <c r="E901" s="10" t="str">
        <f>IF(B901="","",IFERROR(INDEX(Harytlar!$C$5:$C$44,MATCH(B901,Harytlar!$A$5:$A$44,0)),""))</f>
        <v/>
      </c>
      <c r="F901" s="10" t="str">
        <f t="shared" si="13"/>
        <v/>
      </c>
      <c r="G901" s="10" t="str">
        <f>IF(OR(C901="",B901=""),"",IFERROR(C901*INDEX(Harytlar!$D$5:$D$44,MATCH(B901,Harytlar!$A$5:$A$44,0)),""))</f>
        <v/>
      </c>
    </row>
    <row r="902" spans="1:7" x14ac:dyDescent="0.3">
      <c r="A902" s="17"/>
      <c r="B902" s="18"/>
      <c r="C902" s="18"/>
      <c r="D902" s="18"/>
      <c r="E902" s="10" t="str">
        <f>IF(B902="","",IFERROR(INDEX(Harytlar!$C$5:$C$44,MATCH(B902,Harytlar!$A$5:$A$44,0)),""))</f>
        <v/>
      </c>
      <c r="F902" s="10" t="str">
        <f t="shared" ref="F902:F965" si="14">IF(OR(C902="",E902=""),"",C902*E902)</f>
        <v/>
      </c>
      <c r="G902" s="10" t="str">
        <f>IF(OR(C902="",B902=""),"",IFERROR(C902*INDEX(Harytlar!$D$5:$D$44,MATCH(B902,Harytlar!$A$5:$A$44,0)),""))</f>
        <v/>
      </c>
    </row>
    <row r="903" spans="1:7" x14ac:dyDescent="0.3">
      <c r="A903" s="17"/>
      <c r="B903" s="18"/>
      <c r="C903" s="18"/>
      <c r="D903" s="18"/>
      <c r="E903" s="10" t="str">
        <f>IF(B903="","",IFERROR(INDEX(Harytlar!$C$5:$C$44,MATCH(B903,Harytlar!$A$5:$A$44,0)),""))</f>
        <v/>
      </c>
      <c r="F903" s="10" t="str">
        <f t="shared" si="14"/>
        <v/>
      </c>
      <c r="G903" s="10" t="str">
        <f>IF(OR(C903="",B903=""),"",IFERROR(C903*INDEX(Harytlar!$D$5:$D$44,MATCH(B903,Harytlar!$A$5:$A$44,0)),""))</f>
        <v/>
      </c>
    </row>
    <row r="904" spans="1:7" x14ac:dyDescent="0.3">
      <c r="A904" s="17"/>
      <c r="B904" s="18"/>
      <c r="C904" s="18"/>
      <c r="D904" s="18"/>
      <c r="E904" s="10" t="str">
        <f>IF(B904="","",IFERROR(INDEX(Harytlar!$C$5:$C$44,MATCH(B904,Harytlar!$A$5:$A$44,0)),""))</f>
        <v/>
      </c>
      <c r="F904" s="10" t="str">
        <f t="shared" si="14"/>
        <v/>
      </c>
      <c r="G904" s="10" t="str">
        <f>IF(OR(C904="",B904=""),"",IFERROR(C904*INDEX(Harytlar!$D$5:$D$44,MATCH(B904,Harytlar!$A$5:$A$44,0)),""))</f>
        <v/>
      </c>
    </row>
    <row r="905" spans="1:7" x14ac:dyDescent="0.3">
      <c r="A905" s="17"/>
      <c r="B905" s="18"/>
      <c r="C905" s="18"/>
      <c r="D905" s="18"/>
      <c r="E905" s="10" t="str">
        <f>IF(B905="","",IFERROR(INDEX(Harytlar!$C$5:$C$44,MATCH(B905,Harytlar!$A$5:$A$44,0)),""))</f>
        <v/>
      </c>
      <c r="F905" s="10" t="str">
        <f t="shared" si="14"/>
        <v/>
      </c>
      <c r="G905" s="10" t="str">
        <f>IF(OR(C905="",B905=""),"",IFERROR(C905*INDEX(Harytlar!$D$5:$D$44,MATCH(B905,Harytlar!$A$5:$A$44,0)),""))</f>
        <v/>
      </c>
    </row>
    <row r="906" spans="1:7" x14ac:dyDescent="0.3">
      <c r="A906" s="17"/>
      <c r="B906" s="18"/>
      <c r="C906" s="18"/>
      <c r="D906" s="18"/>
      <c r="E906" s="10" t="str">
        <f>IF(B906="","",IFERROR(INDEX(Harytlar!$C$5:$C$44,MATCH(B906,Harytlar!$A$5:$A$44,0)),""))</f>
        <v/>
      </c>
      <c r="F906" s="10" t="str">
        <f t="shared" si="14"/>
        <v/>
      </c>
      <c r="G906" s="10" t="str">
        <f>IF(OR(C906="",B906=""),"",IFERROR(C906*INDEX(Harytlar!$D$5:$D$44,MATCH(B906,Harytlar!$A$5:$A$44,0)),""))</f>
        <v/>
      </c>
    </row>
    <row r="907" spans="1:7" x14ac:dyDescent="0.3">
      <c r="A907" s="17"/>
      <c r="B907" s="18"/>
      <c r="C907" s="18"/>
      <c r="D907" s="18"/>
      <c r="E907" s="10" t="str">
        <f>IF(B907="","",IFERROR(INDEX(Harytlar!$C$5:$C$44,MATCH(B907,Harytlar!$A$5:$A$44,0)),""))</f>
        <v/>
      </c>
      <c r="F907" s="10" t="str">
        <f t="shared" si="14"/>
        <v/>
      </c>
      <c r="G907" s="10" t="str">
        <f>IF(OR(C907="",B907=""),"",IFERROR(C907*INDEX(Harytlar!$D$5:$D$44,MATCH(B907,Harytlar!$A$5:$A$44,0)),""))</f>
        <v/>
      </c>
    </row>
    <row r="908" spans="1:7" x14ac:dyDescent="0.3">
      <c r="A908" s="17"/>
      <c r="B908" s="18"/>
      <c r="C908" s="18"/>
      <c r="D908" s="18"/>
      <c r="E908" s="10" t="str">
        <f>IF(B908="","",IFERROR(INDEX(Harytlar!$C$5:$C$44,MATCH(B908,Harytlar!$A$5:$A$44,0)),""))</f>
        <v/>
      </c>
      <c r="F908" s="10" t="str">
        <f t="shared" si="14"/>
        <v/>
      </c>
      <c r="G908" s="10" t="str">
        <f>IF(OR(C908="",B908=""),"",IFERROR(C908*INDEX(Harytlar!$D$5:$D$44,MATCH(B908,Harytlar!$A$5:$A$44,0)),""))</f>
        <v/>
      </c>
    </row>
    <row r="909" spans="1:7" x14ac:dyDescent="0.3">
      <c r="A909" s="17"/>
      <c r="B909" s="18"/>
      <c r="C909" s="18"/>
      <c r="D909" s="18"/>
      <c r="E909" s="10" t="str">
        <f>IF(B909="","",IFERROR(INDEX(Harytlar!$C$5:$C$44,MATCH(B909,Harytlar!$A$5:$A$44,0)),""))</f>
        <v/>
      </c>
      <c r="F909" s="10" t="str">
        <f t="shared" si="14"/>
        <v/>
      </c>
      <c r="G909" s="10" t="str">
        <f>IF(OR(C909="",B909=""),"",IFERROR(C909*INDEX(Harytlar!$D$5:$D$44,MATCH(B909,Harytlar!$A$5:$A$44,0)),""))</f>
        <v/>
      </c>
    </row>
    <row r="910" spans="1:7" x14ac:dyDescent="0.3">
      <c r="A910" s="17"/>
      <c r="B910" s="18"/>
      <c r="C910" s="18"/>
      <c r="D910" s="18"/>
      <c r="E910" s="10" t="str">
        <f>IF(B910="","",IFERROR(INDEX(Harytlar!$C$5:$C$44,MATCH(B910,Harytlar!$A$5:$A$44,0)),""))</f>
        <v/>
      </c>
      <c r="F910" s="10" t="str">
        <f t="shared" si="14"/>
        <v/>
      </c>
      <c r="G910" s="10" t="str">
        <f>IF(OR(C910="",B910=""),"",IFERROR(C910*INDEX(Harytlar!$D$5:$D$44,MATCH(B910,Harytlar!$A$5:$A$44,0)),""))</f>
        <v/>
      </c>
    </row>
    <row r="911" spans="1:7" x14ac:dyDescent="0.3">
      <c r="A911" s="17"/>
      <c r="B911" s="18"/>
      <c r="C911" s="18"/>
      <c r="D911" s="18"/>
      <c r="E911" s="10" t="str">
        <f>IF(B911="","",IFERROR(INDEX(Harytlar!$C$5:$C$44,MATCH(B911,Harytlar!$A$5:$A$44,0)),""))</f>
        <v/>
      </c>
      <c r="F911" s="10" t="str">
        <f t="shared" si="14"/>
        <v/>
      </c>
      <c r="G911" s="10" t="str">
        <f>IF(OR(C911="",B911=""),"",IFERROR(C911*INDEX(Harytlar!$D$5:$D$44,MATCH(B911,Harytlar!$A$5:$A$44,0)),""))</f>
        <v/>
      </c>
    </row>
    <row r="912" spans="1:7" x14ac:dyDescent="0.3">
      <c r="A912" s="17"/>
      <c r="B912" s="18"/>
      <c r="C912" s="18"/>
      <c r="D912" s="18"/>
      <c r="E912" s="10" t="str">
        <f>IF(B912="","",IFERROR(INDEX(Harytlar!$C$5:$C$44,MATCH(B912,Harytlar!$A$5:$A$44,0)),""))</f>
        <v/>
      </c>
      <c r="F912" s="10" t="str">
        <f t="shared" si="14"/>
        <v/>
      </c>
      <c r="G912" s="10" t="str">
        <f>IF(OR(C912="",B912=""),"",IFERROR(C912*INDEX(Harytlar!$D$5:$D$44,MATCH(B912,Harytlar!$A$5:$A$44,0)),""))</f>
        <v/>
      </c>
    </row>
    <row r="913" spans="1:7" x14ac:dyDescent="0.3">
      <c r="A913" s="17"/>
      <c r="B913" s="18"/>
      <c r="C913" s="18"/>
      <c r="D913" s="18"/>
      <c r="E913" s="10" t="str">
        <f>IF(B913="","",IFERROR(INDEX(Harytlar!$C$5:$C$44,MATCH(B913,Harytlar!$A$5:$A$44,0)),""))</f>
        <v/>
      </c>
      <c r="F913" s="10" t="str">
        <f t="shared" si="14"/>
        <v/>
      </c>
      <c r="G913" s="10" t="str">
        <f>IF(OR(C913="",B913=""),"",IFERROR(C913*INDEX(Harytlar!$D$5:$D$44,MATCH(B913,Harytlar!$A$5:$A$44,0)),""))</f>
        <v/>
      </c>
    </row>
    <row r="914" spans="1:7" x14ac:dyDescent="0.3">
      <c r="A914" s="17"/>
      <c r="B914" s="18"/>
      <c r="C914" s="18"/>
      <c r="D914" s="18"/>
      <c r="E914" s="10" t="str">
        <f>IF(B914="","",IFERROR(INDEX(Harytlar!$C$5:$C$44,MATCH(B914,Harytlar!$A$5:$A$44,0)),""))</f>
        <v/>
      </c>
      <c r="F914" s="10" t="str">
        <f t="shared" si="14"/>
        <v/>
      </c>
      <c r="G914" s="10" t="str">
        <f>IF(OR(C914="",B914=""),"",IFERROR(C914*INDEX(Harytlar!$D$5:$D$44,MATCH(B914,Harytlar!$A$5:$A$44,0)),""))</f>
        <v/>
      </c>
    </row>
    <row r="915" spans="1:7" x14ac:dyDescent="0.3">
      <c r="A915" s="17"/>
      <c r="B915" s="18"/>
      <c r="C915" s="18"/>
      <c r="D915" s="18"/>
      <c r="E915" s="10" t="str">
        <f>IF(B915="","",IFERROR(INDEX(Harytlar!$C$5:$C$44,MATCH(B915,Harytlar!$A$5:$A$44,0)),""))</f>
        <v/>
      </c>
      <c r="F915" s="10" t="str">
        <f t="shared" si="14"/>
        <v/>
      </c>
      <c r="G915" s="10" t="str">
        <f>IF(OR(C915="",B915=""),"",IFERROR(C915*INDEX(Harytlar!$D$5:$D$44,MATCH(B915,Harytlar!$A$5:$A$44,0)),""))</f>
        <v/>
      </c>
    </row>
    <row r="916" spans="1:7" x14ac:dyDescent="0.3">
      <c r="A916" s="17"/>
      <c r="B916" s="18"/>
      <c r="C916" s="18"/>
      <c r="D916" s="18"/>
      <c r="E916" s="10" t="str">
        <f>IF(B916="","",IFERROR(INDEX(Harytlar!$C$5:$C$44,MATCH(B916,Harytlar!$A$5:$A$44,0)),""))</f>
        <v/>
      </c>
      <c r="F916" s="10" t="str">
        <f t="shared" si="14"/>
        <v/>
      </c>
      <c r="G916" s="10" t="str">
        <f>IF(OR(C916="",B916=""),"",IFERROR(C916*INDEX(Harytlar!$D$5:$D$44,MATCH(B916,Harytlar!$A$5:$A$44,0)),""))</f>
        <v/>
      </c>
    </row>
    <row r="917" spans="1:7" x14ac:dyDescent="0.3">
      <c r="A917" s="17"/>
      <c r="B917" s="18"/>
      <c r="C917" s="18"/>
      <c r="D917" s="18"/>
      <c r="E917" s="10" t="str">
        <f>IF(B917="","",IFERROR(INDEX(Harytlar!$C$5:$C$44,MATCH(B917,Harytlar!$A$5:$A$44,0)),""))</f>
        <v/>
      </c>
      <c r="F917" s="10" t="str">
        <f t="shared" si="14"/>
        <v/>
      </c>
      <c r="G917" s="10" t="str">
        <f>IF(OR(C917="",B917=""),"",IFERROR(C917*INDEX(Harytlar!$D$5:$D$44,MATCH(B917,Harytlar!$A$5:$A$44,0)),""))</f>
        <v/>
      </c>
    </row>
    <row r="918" spans="1:7" x14ac:dyDescent="0.3">
      <c r="A918" s="17"/>
      <c r="B918" s="18"/>
      <c r="C918" s="18"/>
      <c r="D918" s="18"/>
      <c r="E918" s="10" t="str">
        <f>IF(B918="","",IFERROR(INDEX(Harytlar!$C$5:$C$44,MATCH(B918,Harytlar!$A$5:$A$44,0)),""))</f>
        <v/>
      </c>
      <c r="F918" s="10" t="str">
        <f t="shared" si="14"/>
        <v/>
      </c>
      <c r="G918" s="10" t="str">
        <f>IF(OR(C918="",B918=""),"",IFERROR(C918*INDEX(Harytlar!$D$5:$D$44,MATCH(B918,Harytlar!$A$5:$A$44,0)),""))</f>
        <v/>
      </c>
    </row>
    <row r="919" spans="1:7" x14ac:dyDescent="0.3">
      <c r="A919" s="17"/>
      <c r="B919" s="18"/>
      <c r="C919" s="18"/>
      <c r="D919" s="18"/>
      <c r="E919" s="10" t="str">
        <f>IF(B919="","",IFERROR(INDEX(Harytlar!$C$5:$C$44,MATCH(B919,Harytlar!$A$5:$A$44,0)),""))</f>
        <v/>
      </c>
      <c r="F919" s="10" t="str">
        <f t="shared" si="14"/>
        <v/>
      </c>
      <c r="G919" s="10" t="str">
        <f>IF(OR(C919="",B919=""),"",IFERROR(C919*INDEX(Harytlar!$D$5:$D$44,MATCH(B919,Harytlar!$A$5:$A$44,0)),""))</f>
        <v/>
      </c>
    </row>
    <row r="920" spans="1:7" x14ac:dyDescent="0.3">
      <c r="A920" s="17"/>
      <c r="B920" s="18"/>
      <c r="C920" s="18"/>
      <c r="D920" s="18"/>
      <c r="E920" s="10" t="str">
        <f>IF(B920="","",IFERROR(INDEX(Harytlar!$C$5:$C$44,MATCH(B920,Harytlar!$A$5:$A$44,0)),""))</f>
        <v/>
      </c>
      <c r="F920" s="10" t="str">
        <f t="shared" si="14"/>
        <v/>
      </c>
      <c r="G920" s="10" t="str">
        <f>IF(OR(C920="",B920=""),"",IFERROR(C920*INDEX(Harytlar!$D$5:$D$44,MATCH(B920,Harytlar!$A$5:$A$44,0)),""))</f>
        <v/>
      </c>
    </row>
    <row r="921" spans="1:7" x14ac:dyDescent="0.3">
      <c r="A921" s="17"/>
      <c r="B921" s="18"/>
      <c r="C921" s="18"/>
      <c r="D921" s="18"/>
      <c r="E921" s="10" t="str">
        <f>IF(B921="","",IFERROR(INDEX(Harytlar!$C$5:$C$44,MATCH(B921,Harytlar!$A$5:$A$44,0)),""))</f>
        <v/>
      </c>
      <c r="F921" s="10" t="str">
        <f t="shared" si="14"/>
        <v/>
      </c>
      <c r="G921" s="10" t="str">
        <f>IF(OR(C921="",B921=""),"",IFERROR(C921*INDEX(Harytlar!$D$5:$D$44,MATCH(B921,Harytlar!$A$5:$A$44,0)),""))</f>
        <v/>
      </c>
    </row>
    <row r="922" spans="1:7" x14ac:dyDescent="0.3">
      <c r="A922" s="17"/>
      <c r="B922" s="18"/>
      <c r="C922" s="18"/>
      <c r="D922" s="18"/>
      <c r="E922" s="10" t="str">
        <f>IF(B922="","",IFERROR(INDEX(Harytlar!$C$5:$C$44,MATCH(B922,Harytlar!$A$5:$A$44,0)),""))</f>
        <v/>
      </c>
      <c r="F922" s="10" t="str">
        <f t="shared" si="14"/>
        <v/>
      </c>
      <c r="G922" s="10" t="str">
        <f>IF(OR(C922="",B922=""),"",IFERROR(C922*INDEX(Harytlar!$D$5:$D$44,MATCH(B922,Harytlar!$A$5:$A$44,0)),""))</f>
        <v/>
      </c>
    </row>
    <row r="923" spans="1:7" x14ac:dyDescent="0.3">
      <c r="A923" s="17"/>
      <c r="B923" s="18"/>
      <c r="C923" s="18"/>
      <c r="D923" s="18"/>
      <c r="E923" s="10" t="str">
        <f>IF(B923="","",IFERROR(INDEX(Harytlar!$C$5:$C$44,MATCH(B923,Harytlar!$A$5:$A$44,0)),""))</f>
        <v/>
      </c>
      <c r="F923" s="10" t="str">
        <f t="shared" si="14"/>
        <v/>
      </c>
      <c r="G923" s="10" t="str">
        <f>IF(OR(C923="",B923=""),"",IFERROR(C923*INDEX(Harytlar!$D$5:$D$44,MATCH(B923,Harytlar!$A$5:$A$44,0)),""))</f>
        <v/>
      </c>
    </row>
    <row r="924" spans="1:7" x14ac:dyDescent="0.3">
      <c r="A924" s="17"/>
      <c r="B924" s="18"/>
      <c r="C924" s="18"/>
      <c r="D924" s="18"/>
      <c r="E924" s="10" t="str">
        <f>IF(B924="","",IFERROR(INDEX(Harytlar!$C$5:$C$44,MATCH(B924,Harytlar!$A$5:$A$44,0)),""))</f>
        <v/>
      </c>
      <c r="F924" s="10" t="str">
        <f t="shared" si="14"/>
        <v/>
      </c>
      <c r="G924" s="10" t="str">
        <f>IF(OR(C924="",B924=""),"",IFERROR(C924*INDEX(Harytlar!$D$5:$D$44,MATCH(B924,Harytlar!$A$5:$A$44,0)),""))</f>
        <v/>
      </c>
    </row>
    <row r="925" spans="1:7" x14ac:dyDescent="0.3">
      <c r="A925" s="17"/>
      <c r="B925" s="18"/>
      <c r="C925" s="18"/>
      <c r="D925" s="18"/>
      <c r="E925" s="10" t="str">
        <f>IF(B925="","",IFERROR(INDEX(Harytlar!$C$5:$C$44,MATCH(B925,Harytlar!$A$5:$A$44,0)),""))</f>
        <v/>
      </c>
      <c r="F925" s="10" t="str">
        <f t="shared" si="14"/>
        <v/>
      </c>
      <c r="G925" s="10" t="str">
        <f>IF(OR(C925="",B925=""),"",IFERROR(C925*INDEX(Harytlar!$D$5:$D$44,MATCH(B925,Harytlar!$A$5:$A$44,0)),""))</f>
        <v/>
      </c>
    </row>
    <row r="926" spans="1:7" x14ac:dyDescent="0.3">
      <c r="A926" s="17"/>
      <c r="B926" s="18"/>
      <c r="C926" s="18"/>
      <c r="D926" s="18"/>
      <c r="E926" s="10" t="str">
        <f>IF(B926="","",IFERROR(INDEX(Harytlar!$C$5:$C$44,MATCH(B926,Harytlar!$A$5:$A$44,0)),""))</f>
        <v/>
      </c>
      <c r="F926" s="10" t="str">
        <f t="shared" si="14"/>
        <v/>
      </c>
      <c r="G926" s="10" t="str">
        <f>IF(OR(C926="",B926=""),"",IFERROR(C926*INDEX(Harytlar!$D$5:$D$44,MATCH(B926,Harytlar!$A$5:$A$44,0)),""))</f>
        <v/>
      </c>
    </row>
    <row r="927" spans="1:7" x14ac:dyDescent="0.3">
      <c r="A927" s="17"/>
      <c r="B927" s="18"/>
      <c r="C927" s="18"/>
      <c r="D927" s="18"/>
      <c r="E927" s="10" t="str">
        <f>IF(B927="","",IFERROR(INDEX(Harytlar!$C$5:$C$44,MATCH(B927,Harytlar!$A$5:$A$44,0)),""))</f>
        <v/>
      </c>
      <c r="F927" s="10" t="str">
        <f t="shared" si="14"/>
        <v/>
      </c>
      <c r="G927" s="10" t="str">
        <f>IF(OR(C927="",B927=""),"",IFERROR(C927*INDEX(Harytlar!$D$5:$D$44,MATCH(B927,Harytlar!$A$5:$A$44,0)),""))</f>
        <v/>
      </c>
    </row>
    <row r="928" spans="1:7" x14ac:dyDescent="0.3">
      <c r="A928" s="17"/>
      <c r="B928" s="18"/>
      <c r="C928" s="18"/>
      <c r="D928" s="18"/>
      <c r="E928" s="10" t="str">
        <f>IF(B928="","",IFERROR(INDEX(Harytlar!$C$5:$C$44,MATCH(B928,Harytlar!$A$5:$A$44,0)),""))</f>
        <v/>
      </c>
      <c r="F928" s="10" t="str">
        <f t="shared" si="14"/>
        <v/>
      </c>
      <c r="G928" s="10" t="str">
        <f>IF(OR(C928="",B928=""),"",IFERROR(C928*INDEX(Harytlar!$D$5:$D$44,MATCH(B928,Harytlar!$A$5:$A$44,0)),""))</f>
        <v/>
      </c>
    </row>
    <row r="929" spans="1:7" x14ac:dyDescent="0.3">
      <c r="A929" s="17"/>
      <c r="B929" s="18"/>
      <c r="C929" s="18"/>
      <c r="D929" s="18"/>
      <c r="E929" s="10" t="str">
        <f>IF(B929="","",IFERROR(INDEX(Harytlar!$C$5:$C$44,MATCH(B929,Harytlar!$A$5:$A$44,0)),""))</f>
        <v/>
      </c>
      <c r="F929" s="10" t="str">
        <f t="shared" si="14"/>
        <v/>
      </c>
      <c r="G929" s="10" t="str">
        <f>IF(OR(C929="",B929=""),"",IFERROR(C929*INDEX(Harytlar!$D$5:$D$44,MATCH(B929,Harytlar!$A$5:$A$44,0)),""))</f>
        <v/>
      </c>
    </row>
    <row r="930" spans="1:7" x14ac:dyDescent="0.3">
      <c r="A930" s="17"/>
      <c r="B930" s="18"/>
      <c r="C930" s="18"/>
      <c r="D930" s="18"/>
      <c r="E930" s="10" t="str">
        <f>IF(B930="","",IFERROR(INDEX(Harytlar!$C$5:$C$44,MATCH(B930,Harytlar!$A$5:$A$44,0)),""))</f>
        <v/>
      </c>
      <c r="F930" s="10" t="str">
        <f t="shared" si="14"/>
        <v/>
      </c>
      <c r="G930" s="10" t="str">
        <f>IF(OR(C930="",B930=""),"",IFERROR(C930*INDEX(Harytlar!$D$5:$D$44,MATCH(B930,Harytlar!$A$5:$A$44,0)),""))</f>
        <v/>
      </c>
    </row>
    <row r="931" spans="1:7" x14ac:dyDescent="0.3">
      <c r="A931" s="17"/>
      <c r="B931" s="18"/>
      <c r="C931" s="18"/>
      <c r="D931" s="18"/>
      <c r="E931" s="10" t="str">
        <f>IF(B931="","",IFERROR(INDEX(Harytlar!$C$5:$C$44,MATCH(B931,Harytlar!$A$5:$A$44,0)),""))</f>
        <v/>
      </c>
      <c r="F931" s="10" t="str">
        <f t="shared" si="14"/>
        <v/>
      </c>
      <c r="G931" s="10" t="str">
        <f>IF(OR(C931="",B931=""),"",IFERROR(C931*INDEX(Harytlar!$D$5:$D$44,MATCH(B931,Harytlar!$A$5:$A$44,0)),""))</f>
        <v/>
      </c>
    </row>
    <row r="932" spans="1:7" x14ac:dyDescent="0.3">
      <c r="A932" s="17"/>
      <c r="B932" s="18"/>
      <c r="C932" s="18"/>
      <c r="D932" s="18"/>
      <c r="E932" s="10" t="str">
        <f>IF(B932="","",IFERROR(INDEX(Harytlar!$C$5:$C$44,MATCH(B932,Harytlar!$A$5:$A$44,0)),""))</f>
        <v/>
      </c>
      <c r="F932" s="10" t="str">
        <f t="shared" si="14"/>
        <v/>
      </c>
      <c r="G932" s="10" t="str">
        <f>IF(OR(C932="",B932=""),"",IFERROR(C932*INDEX(Harytlar!$D$5:$D$44,MATCH(B932,Harytlar!$A$5:$A$44,0)),""))</f>
        <v/>
      </c>
    </row>
    <row r="933" spans="1:7" x14ac:dyDescent="0.3">
      <c r="A933" s="17"/>
      <c r="B933" s="18"/>
      <c r="C933" s="18"/>
      <c r="D933" s="18"/>
      <c r="E933" s="10" t="str">
        <f>IF(B933="","",IFERROR(INDEX(Harytlar!$C$5:$C$44,MATCH(B933,Harytlar!$A$5:$A$44,0)),""))</f>
        <v/>
      </c>
      <c r="F933" s="10" t="str">
        <f t="shared" si="14"/>
        <v/>
      </c>
      <c r="G933" s="10" t="str">
        <f>IF(OR(C933="",B933=""),"",IFERROR(C933*INDEX(Harytlar!$D$5:$D$44,MATCH(B933,Harytlar!$A$5:$A$44,0)),""))</f>
        <v/>
      </c>
    </row>
    <row r="934" spans="1:7" x14ac:dyDescent="0.3">
      <c r="A934" s="17"/>
      <c r="B934" s="18"/>
      <c r="C934" s="18"/>
      <c r="D934" s="18"/>
      <c r="E934" s="10" t="str">
        <f>IF(B934="","",IFERROR(INDEX(Harytlar!$C$5:$C$44,MATCH(B934,Harytlar!$A$5:$A$44,0)),""))</f>
        <v/>
      </c>
      <c r="F934" s="10" t="str">
        <f t="shared" si="14"/>
        <v/>
      </c>
      <c r="G934" s="10" t="str">
        <f>IF(OR(C934="",B934=""),"",IFERROR(C934*INDEX(Harytlar!$D$5:$D$44,MATCH(B934,Harytlar!$A$5:$A$44,0)),""))</f>
        <v/>
      </c>
    </row>
    <row r="935" spans="1:7" x14ac:dyDescent="0.3">
      <c r="A935" s="17"/>
      <c r="B935" s="18"/>
      <c r="C935" s="18"/>
      <c r="D935" s="18"/>
      <c r="E935" s="10" t="str">
        <f>IF(B935="","",IFERROR(INDEX(Harytlar!$C$5:$C$44,MATCH(B935,Harytlar!$A$5:$A$44,0)),""))</f>
        <v/>
      </c>
      <c r="F935" s="10" t="str">
        <f t="shared" si="14"/>
        <v/>
      </c>
      <c r="G935" s="10" t="str">
        <f>IF(OR(C935="",B935=""),"",IFERROR(C935*INDEX(Harytlar!$D$5:$D$44,MATCH(B935,Harytlar!$A$5:$A$44,0)),""))</f>
        <v/>
      </c>
    </row>
    <row r="936" spans="1:7" x14ac:dyDescent="0.3">
      <c r="A936" s="17"/>
      <c r="B936" s="18"/>
      <c r="C936" s="18"/>
      <c r="D936" s="18"/>
      <c r="E936" s="10" t="str">
        <f>IF(B936="","",IFERROR(INDEX(Harytlar!$C$5:$C$44,MATCH(B936,Harytlar!$A$5:$A$44,0)),""))</f>
        <v/>
      </c>
      <c r="F936" s="10" t="str">
        <f t="shared" si="14"/>
        <v/>
      </c>
      <c r="G936" s="10" t="str">
        <f>IF(OR(C936="",B936=""),"",IFERROR(C936*INDEX(Harytlar!$D$5:$D$44,MATCH(B936,Harytlar!$A$5:$A$44,0)),""))</f>
        <v/>
      </c>
    </row>
    <row r="937" spans="1:7" x14ac:dyDescent="0.3">
      <c r="A937" s="17"/>
      <c r="B937" s="18"/>
      <c r="C937" s="18"/>
      <c r="D937" s="18"/>
      <c r="E937" s="10" t="str">
        <f>IF(B937="","",IFERROR(INDEX(Harytlar!$C$5:$C$44,MATCH(B937,Harytlar!$A$5:$A$44,0)),""))</f>
        <v/>
      </c>
      <c r="F937" s="10" t="str">
        <f t="shared" si="14"/>
        <v/>
      </c>
      <c r="G937" s="10" t="str">
        <f>IF(OR(C937="",B937=""),"",IFERROR(C937*INDEX(Harytlar!$D$5:$D$44,MATCH(B937,Harytlar!$A$5:$A$44,0)),""))</f>
        <v/>
      </c>
    </row>
    <row r="938" spans="1:7" x14ac:dyDescent="0.3">
      <c r="A938" s="17"/>
      <c r="B938" s="18"/>
      <c r="C938" s="18"/>
      <c r="D938" s="18"/>
      <c r="E938" s="10" t="str">
        <f>IF(B938="","",IFERROR(INDEX(Harytlar!$C$5:$C$44,MATCH(B938,Harytlar!$A$5:$A$44,0)),""))</f>
        <v/>
      </c>
      <c r="F938" s="10" t="str">
        <f t="shared" si="14"/>
        <v/>
      </c>
      <c r="G938" s="10" t="str">
        <f>IF(OR(C938="",B938=""),"",IFERROR(C938*INDEX(Harytlar!$D$5:$D$44,MATCH(B938,Harytlar!$A$5:$A$44,0)),""))</f>
        <v/>
      </c>
    </row>
    <row r="939" spans="1:7" x14ac:dyDescent="0.3">
      <c r="A939" s="17"/>
      <c r="B939" s="18"/>
      <c r="C939" s="18"/>
      <c r="D939" s="18"/>
      <c r="E939" s="10" t="str">
        <f>IF(B939="","",IFERROR(INDEX(Harytlar!$C$5:$C$44,MATCH(B939,Harytlar!$A$5:$A$44,0)),""))</f>
        <v/>
      </c>
      <c r="F939" s="10" t="str">
        <f t="shared" si="14"/>
        <v/>
      </c>
      <c r="G939" s="10" t="str">
        <f>IF(OR(C939="",B939=""),"",IFERROR(C939*INDEX(Harytlar!$D$5:$D$44,MATCH(B939,Harytlar!$A$5:$A$44,0)),""))</f>
        <v/>
      </c>
    </row>
    <row r="940" spans="1:7" x14ac:dyDescent="0.3">
      <c r="A940" s="17"/>
      <c r="B940" s="18"/>
      <c r="C940" s="18"/>
      <c r="D940" s="18"/>
      <c r="E940" s="10" t="str">
        <f>IF(B940="","",IFERROR(INDEX(Harytlar!$C$5:$C$44,MATCH(B940,Harytlar!$A$5:$A$44,0)),""))</f>
        <v/>
      </c>
      <c r="F940" s="10" t="str">
        <f t="shared" si="14"/>
        <v/>
      </c>
      <c r="G940" s="10" t="str">
        <f>IF(OR(C940="",B940=""),"",IFERROR(C940*INDEX(Harytlar!$D$5:$D$44,MATCH(B940,Harytlar!$A$5:$A$44,0)),""))</f>
        <v/>
      </c>
    </row>
    <row r="941" spans="1:7" x14ac:dyDescent="0.3">
      <c r="A941" s="17"/>
      <c r="B941" s="18"/>
      <c r="C941" s="18"/>
      <c r="D941" s="18"/>
      <c r="E941" s="10" t="str">
        <f>IF(B941="","",IFERROR(INDEX(Harytlar!$C$5:$C$44,MATCH(B941,Harytlar!$A$5:$A$44,0)),""))</f>
        <v/>
      </c>
      <c r="F941" s="10" t="str">
        <f t="shared" si="14"/>
        <v/>
      </c>
      <c r="G941" s="10" t="str">
        <f>IF(OR(C941="",B941=""),"",IFERROR(C941*INDEX(Harytlar!$D$5:$D$44,MATCH(B941,Harytlar!$A$5:$A$44,0)),""))</f>
        <v/>
      </c>
    </row>
    <row r="942" spans="1:7" x14ac:dyDescent="0.3">
      <c r="A942" s="17"/>
      <c r="B942" s="18"/>
      <c r="C942" s="18"/>
      <c r="D942" s="18"/>
      <c r="E942" s="10" t="str">
        <f>IF(B942="","",IFERROR(INDEX(Harytlar!$C$5:$C$44,MATCH(B942,Harytlar!$A$5:$A$44,0)),""))</f>
        <v/>
      </c>
      <c r="F942" s="10" t="str">
        <f t="shared" si="14"/>
        <v/>
      </c>
      <c r="G942" s="10" t="str">
        <f>IF(OR(C942="",B942=""),"",IFERROR(C942*INDEX(Harytlar!$D$5:$D$44,MATCH(B942,Harytlar!$A$5:$A$44,0)),""))</f>
        <v/>
      </c>
    </row>
    <row r="943" spans="1:7" x14ac:dyDescent="0.3">
      <c r="A943" s="17"/>
      <c r="B943" s="18"/>
      <c r="C943" s="18"/>
      <c r="D943" s="18"/>
      <c r="E943" s="10" t="str">
        <f>IF(B943="","",IFERROR(INDEX(Harytlar!$C$5:$C$44,MATCH(B943,Harytlar!$A$5:$A$44,0)),""))</f>
        <v/>
      </c>
      <c r="F943" s="10" t="str">
        <f t="shared" si="14"/>
        <v/>
      </c>
      <c r="G943" s="10" t="str">
        <f>IF(OR(C943="",B943=""),"",IFERROR(C943*INDEX(Harytlar!$D$5:$D$44,MATCH(B943,Harytlar!$A$5:$A$44,0)),""))</f>
        <v/>
      </c>
    </row>
    <row r="944" spans="1:7" x14ac:dyDescent="0.3">
      <c r="A944" s="17"/>
      <c r="B944" s="18"/>
      <c r="C944" s="18"/>
      <c r="D944" s="18"/>
      <c r="E944" s="10" t="str">
        <f>IF(B944="","",IFERROR(INDEX(Harytlar!$C$5:$C$44,MATCH(B944,Harytlar!$A$5:$A$44,0)),""))</f>
        <v/>
      </c>
      <c r="F944" s="10" t="str">
        <f t="shared" si="14"/>
        <v/>
      </c>
      <c r="G944" s="10" t="str">
        <f>IF(OR(C944="",B944=""),"",IFERROR(C944*INDEX(Harytlar!$D$5:$D$44,MATCH(B944,Harytlar!$A$5:$A$44,0)),""))</f>
        <v/>
      </c>
    </row>
    <row r="945" spans="1:7" x14ac:dyDescent="0.3">
      <c r="A945" s="17"/>
      <c r="B945" s="18"/>
      <c r="C945" s="18"/>
      <c r="D945" s="18"/>
      <c r="E945" s="10" t="str">
        <f>IF(B945="","",IFERROR(INDEX(Harytlar!$C$5:$C$44,MATCH(B945,Harytlar!$A$5:$A$44,0)),""))</f>
        <v/>
      </c>
      <c r="F945" s="10" t="str">
        <f t="shared" si="14"/>
        <v/>
      </c>
      <c r="G945" s="10" t="str">
        <f>IF(OR(C945="",B945=""),"",IFERROR(C945*INDEX(Harytlar!$D$5:$D$44,MATCH(B945,Harytlar!$A$5:$A$44,0)),""))</f>
        <v/>
      </c>
    </row>
    <row r="946" spans="1:7" x14ac:dyDescent="0.3">
      <c r="A946" s="17"/>
      <c r="B946" s="18"/>
      <c r="C946" s="18"/>
      <c r="D946" s="18"/>
      <c r="E946" s="10" t="str">
        <f>IF(B946="","",IFERROR(INDEX(Harytlar!$C$5:$C$44,MATCH(B946,Harytlar!$A$5:$A$44,0)),""))</f>
        <v/>
      </c>
      <c r="F946" s="10" t="str">
        <f t="shared" si="14"/>
        <v/>
      </c>
      <c r="G946" s="10" t="str">
        <f>IF(OR(C946="",B946=""),"",IFERROR(C946*INDEX(Harytlar!$D$5:$D$44,MATCH(B946,Harytlar!$A$5:$A$44,0)),""))</f>
        <v/>
      </c>
    </row>
    <row r="947" spans="1:7" x14ac:dyDescent="0.3">
      <c r="A947" s="17"/>
      <c r="B947" s="18"/>
      <c r="C947" s="18"/>
      <c r="D947" s="18"/>
      <c r="E947" s="10" t="str">
        <f>IF(B947="","",IFERROR(INDEX(Harytlar!$C$5:$C$44,MATCH(B947,Harytlar!$A$5:$A$44,0)),""))</f>
        <v/>
      </c>
      <c r="F947" s="10" t="str">
        <f t="shared" si="14"/>
        <v/>
      </c>
      <c r="G947" s="10" t="str">
        <f>IF(OR(C947="",B947=""),"",IFERROR(C947*INDEX(Harytlar!$D$5:$D$44,MATCH(B947,Harytlar!$A$5:$A$44,0)),""))</f>
        <v/>
      </c>
    </row>
    <row r="948" spans="1:7" x14ac:dyDescent="0.3">
      <c r="A948" s="17"/>
      <c r="B948" s="18"/>
      <c r="C948" s="18"/>
      <c r="D948" s="18"/>
      <c r="E948" s="10" t="str">
        <f>IF(B948="","",IFERROR(INDEX(Harytlar!$C$5:$C$44,MATCH(B948,Harytlar!$A$5:$A$44,0)),""))</f>
        <v/>
      </c>
      <c r="F948" s="10" t="str">
        <f t="shared" si="14"/>
        <v/>
      </c>
      <c r="G948" s="10" t="str">
        <f>IF(OR(C948="",B948=""),"",IFERROR(C948*INDEX(Harytlar!$D$5:$D$44,MATCH(B948,Harytlar!$A$5:$A$44,0)),""))</f>
        <v/>
      </c>
    </row>
    <row r="949" spans="1:7" x14ac:dyDescent="0.3">
      <c r="A949" s="17"/>
      <c r="B949" s="18"/>
      <c r="C949" s="18"/>
      <c r="D949" s="18"/>
      <c r="E949" s="10" t="str">
        <f>IF(B949="","",IFERROR(INDEX(Harytlar!$C$5:$C$44,MATCH(B949,Harytlar!$A$5:$A$44,0)),""))</f>
        <v/>
      </c>
      <c r="F949" s="10" t="str">
        <f t="shared" si="14"/>
        <v/>
      </c>
      <c r="G949" s="10" t="str">
        <f>IF(OR(C949="",B949=""),"",IFERROR(C949*INDEX(Harytlar!$D$5:$D$44,MATCH(B949,Harytlar!$A$5:$A$44,0)),""))</f>
        <v/>
      </c>
    </row>
    <row r="950" spans="1:7" x14ac:dyDescent="0.3">
      <c r="A950" s="17"/>
      <c r="B950" s="18"/>
      <c r="C950" s="18"/>
      <c r="D950" s="18"/>
      <c r="E950" s="10" t="str">
        <f>IF(B950="","",IFERROR(INDEX(Harytlar!$C$5:$C$44,MATCH(B950,Harytlar!$A$5:$A$44,0)),""))</f>
        <v/>
      </c>
      <c r="F950" s="10" t="str">
        <f t="shared" si="14"/>
        <v/>
      </c>
      <c r="G950" s="10" t="str">
        <f>IF(OR(C950="",B950=""),"",IFERROR(C950*INDEX(Harytlar!$D$5:$D$44,MATCH(B950,Harytlar!$A$5:$A$44,0)),""))</f>
        <v/>
      </c>
    </row>
    <row r="951" spans="1:7" x14ac:dyDescent="0.3">
      <c r="A951" s="17"/>
      <c r="B951" s="18"/>
      <c r="C951" s="18"/>
      <c r="D951" s="18"/>
      <c r="E951" s="10" t="str">
        <f>IF(B951="","",IFERROR(INDEX(Harytlar!$C$5:$C$44,MATCH(B951,Harytlar!$A$5:$A$44,0)),""))</f>
        <v/>
      </c>
      <c r="F951" s="10" t="str">
        <f t="shared" si="14"/>
        <v/>
      </c>
      <c r="G951" s="10" t="str">
        <f>IF(OR(C951="",B951=""),"",IFERROR(C951*INDEX(Harytlar!$D$5:$D$44,MATCH(B951,Harytlar!$A$5:$A$44,0)),""))</f>
        <v/>
      </c>
    </row>
    <row r="952" spans="1:7" x14ac:dyDescent="0.3">
      <c r="A952" s="17"/>
      <c r="B952" s="18"/>
      <c r="C952" s="18"/>
      <c r="D952" s="18"/>
      <c r="E952" s="10" t="str">
        <f>IF(B952="","",IFERROR(INDEX(Harytlar!$C$5:$C$44,MATCH(B952,Harytlar!$A$5:$A$44,0)),""))</f>
        <v/>
      </c>
      <c r="F952" s="10" t="str">
        <f t="shared" si="14"/>
        <v/>
      </c>
      <c r="G952" s="10" t="str">
        <f>IF(OR(C952="",B952=""),"",IFERROR(C952*INDEX(Harytlar!$D$5:$D$44,MATCH(B952,Harytlar!$A$5:$A$44,0)),""))</f>
        <v/>
      </c>
    </row>
    <row r="953" spans="1:7" x14ac:dyDescent="0.3">
      <c r="A953" s="17"/>
      <c r="B953" s="18"/>
      <c r="C953" s="18"/>
      <c r="D953" s="18"/>
      <c r="E953" s="10" t="str">
        <f>IF(B953="","",IFERROR(INDEX(Harytlar!$C$5:$C$44,MATCH(B953,Harytlar!$A$5:$A$44,0)),""))</f>
        <v/>
      </c>
      <c r="F953" s="10" t="str">
        <f t="shared" si="14"/>
        <v/>
      </c>
      <c r="G953" s="10" t="str">
        <f>IF(OR(C953="",B953=""),"",IFERROR(C953*INDEX(Harytlar!$D$5:$D$44,MATCH(B953,Harytlar!$A$5:$A$44,0)),""))</f>
        <v/>
      </c>
    </row>
    <row r="954" spans="1:7" x14ac:dyDescent="0.3">
      <c r="A954" s="17"/>
      <c r="B954" s="18"/>
      <c r="C954" s="18"/>
      <c r="D954" s="18"/>
      <c r="E954" s="10" t="str">
        <f>IF(B954="","",IFERROR(INDEX(Harytlar!$C$5:$C$44,MATCH(B954,Harytlar!$A$5:$A$44,0)),""))</f>
        <v/>
      </c>
      <c r="F954" s="10" t="str">
        <f t="shared" si="14"/>
        <v/>
      </c>
      <c r="G954" s="10" t="str">
        <f>IF(OR(C954="",B954=""),"",IFERROR(C954*INDEX(Harytlar!$D$5:$D$44,MATCH(B954,Harytlar!$A$5:$A$44,0)),""))</f>
        <v/>
      </c>
    </row>
    <row r="955" spans="1:7" x14ac:dyDescent="0.3">
      <c r="A955" s="17"/>
      <c r="B955" s="18"/>
      <c r="C955" s="18"/>
      <c r="D955" s="18"/>
      <c r="E955" s="10" t="str">
        <f>IF(B955="","",IFERROR(INDEX(Harytlar!$C$5:$C$44,MATCH(B955,Harytlar!$A$5:$A$44,0)),""))</f>
        <v/>
      </c>
      <c r="F955" s="10" t="str">
        <f t="shared" si="14"/>
        <v/>
      </c>
      <c r="G955" s="10" t="str">
        <f>IF(OR(C955="",B955=""),"",IFERROR(C955*INDEX(Harytlar!$D$5:$D$44,MATCH(B955,Harytlar!$A$5:$A$44,0)),""))</f>
        <v/>
      </c>
    </row>
    <row r="956" spans="1:7" x14ac:dyDescent="0.3">
      <c r="A956" s="17"/>
      <c r="B956" s="18"/>
      <c r="C956" s="18"/>
      <c r="D956" s="18"/>
      <c r="E956" s="10" t="str">
        <f>IF(B956="","",IFERROR(INDEX(Harytlar!$C$5:$C$44,MATCH(B956,Harytlar!$A$5:$A$44,0)),""))</f>
        <v/>
      </c>
      <c r="F956" s="10" t="str">
        <f t="shared" si="14"/>
        <v/>
      </c>
      <c r="G956" s="10" t="str">
        <f>IF(OR(C956="",B956=""),"",IFERROR(C956*INDEX(Harytlar!$D$5:$D$44,MATCH(B956,Harytlar!$A$5:$A$44,0)),""))</f>
        <v/>
      </c>
    </row>
    <row r="957" spans="1:7" x14ac:dyDescent="0.3">
      <c r="A957" s="17"/>
      <c r="B957" s="18"/>
      <c r="C957" s="18"/>
      <c r="D957" s="18"/>
      <c r="E957" s="10" t="str">
        <f>IF(B957="","",IFERROR(INDEX(Harytlar!$C$5:$C$44,MATCH(B957,Harytlar!$A$5:$A$44,0)),""))</f>
        <v/>
      </c>
      <c r="F957" s="10" t="str">
        <f t="shared" si="14"/>
        <v/>
      </c>
      <c r="G957" s="10" t="str">
        <f>IF(OR(C957="",B957=""),"",IFERROR(C957*INDEX(Harytlar!$D$5:$D$44,MATCH(B957,Harytlar!$A$5:$A$44,0)),""))</f>
        <v/>
      </c>
    </row>
    <row r="958" spans="1:7" x14ac:dyDescent="0.3">
      <c r="A958" s="17"/>
      <c r="B958" s="18"/>
      <c r="C958" s="18"/>
      <c r="D958" s="18"/>
      <c r="E958" s="10" t="str">
        <f>IF(B958="","",IFERROR(INDEX(Harytlar!$C$5:$C$44,MATCH(B958,Harytlar!$A$5:$A$44,0)),""))</f>
        <v/>
      </c>
      <c r="F958" s="10" t="str">
        <f t="shared" si="14"/>
        <v/>
      </c>
      <c r="G958" s="10" t="str">
        <f>IF(OR(C958="",B958=""),"",IFERROR(C958*INDEX(Harytlar!$D$5:$D$44,MATCH(B958,Harytlar!$A$5:$A$44,0)),""))</f>
        <v/>
      </c>
    </row>
    <row r="959" spans="1:7" x14ac:dyDescent="0.3">
      <c r="A959" s="17"/>
      <c r="B959" s="18"/>
      <c r="C959" s="18"/>
      <c r="D959" s="18"/>
      <c r="E959" s="10" t="str">
        <f>IF(B959="","",IFERROR(INDEX(Harytlar!$C$5:$C$44,MATCH(B959,Harytlar!$A$5:$A$44,0)),""))</f>
        <v/>
      </c>
      <c r="F959" s="10" t="str">
        <f t="shared" si="14"/>
        <v/>
      </c>
      <c r="G959" s="10" t="str">
        <f>IF(OR(C959="",B959=""),"",IFERROR(C959*INDEX(Harytlar!$D$5:$D$44,MATCH(B959,Harytlar!$A$5:$A$44,0)),""))</f>
        <v/>
      </c>
    </row>
    <row r="960" spans="1:7" x14ac:dyDescent="0.3">
      <c r="A960" s="17"/>
      <c r="B960" s="18"/>
      <c r="C960" s="18"/>
      <c r="D960" s="18"/>
      <c r="E960" s="10" t="str">
        <f>IF(B960="","",IFERROR(INDEX(Harytlar!$C$5:$C$44,MATCH(B960,Harytlar!$A$5:$A$44,0)),""))</f>
        <v/>
      </c>
      <c r="F960" s="10" t="str">
        <f t="shared" si="14"/>
        <v/>
      </c>
      <c r="G960" s="10" t="str">
        <f>IF(OR(C960="",B960=""),"",IFERROR(C960*INDEX(Harytlar!$D$5:$D$44,MATCH(B960,Harytlar!$A$5:$A$44,0)),""))</f>
        <v/>
      </c>
    </row>
    <row r="961" spans="1:7" x14ac:dyDescent="0.3">
      <c r="A961" s="17"/>
      <c r="B961" s="18"/>
      <c r="C961" s="18"/>
      <c r="D961" s="18"/>
      <c r="E961" s="10" t="str">
        <f>IF(B961="","",IFERROR(INDEX(Harytlar!$C$5:$C$44,MATCH(B961,Harytlar!$A$5:$A$44,0)),""))</f>
        <v/>
      </c>
      <c r="F961" s="10" t="str">
        <f t="shared" si="14"/>
        <v/>
      </c>
      <c r="G961" s="10" t="str">
        <f>IF(OR(C961="",B961=""),"",IFERROR(C961*INDEX(Harytlar!$D$5:$D$44,MATCH(B961,Harytlar!$A$5:$A$44,0)),""))</f>
        <v/>
      </c>
    </row>
    <row r="962" spans="1:7" x14ac:dyDescent="0.3">
      <c r="A962" s="17"/>
      <c r="B962" s="18"/>
      <c r="C962" s="18"/>
      <c r="D962" s="18"/>
      <c r="E962" s="10" t="str">
        <f>IF(B962="","",IFERROR(INDEX(Harytlar!$C$5:$C$44,MATCH(B962,Harytlar!$A$5:$A$44,0)),""))</f>
        <v/>
      </c>
      <c r="F962" s="10" t="str">
        <f t="shared" si="14"/>
        <v/>
      </c>
      <c r="G962" s="10" t="str">
        <f>IF(OR(C962="",B962=""),"",IFERROR(C962*INDEX(Harytlar!$D$5:$D$44,MATCH(B962,Harytlar!$A$5:$A$44,0)),""))</f>
        <v/>
      </c>
    </row>
    <row r="963" spans="1:7" x14ac:dyDescent="0.3">
      <c r="A963" s="17"/>
      <c r="B963" s="18"/>
      <c r="C963" s="18"/>
      <c r="D963" s="18"/>
      <c r="E963" s="10" t="str">
        <f>IF(B963="","",IFERROR(INDEX(Harytlar!$C$5:$C$44,MATCH(B963,Harytlar!$A$5:$A$44,0)),""))</f>
        <v/>
      </c>
      <c r="F963" s="10" t="str">
        <f t="shared" si="14"/>
        <v/>
      </c>
      <c r="G963" s="10" t="str">
        <f>IF(OR(C963="",B963=""),"",IFERROR(C963*INDEX(Harytlar!$D$5:$D$44,MATCH(B963,Harytlar!$A$5:$A$44,0)),""))</f>
        <v/>
      </c>
    </row>
    <row r="964" spans="1:7" x14ac:dyDescent="0.3">
      <c r="A964" s="17"/>
      <c r="B964" s="18"/>
      <c r="C964" s="18"/>
      <c r="D964" s="18"/>
      <c r="E964" s="10" t="str">
        <f>IF(B964="","",IFERROR(INDEX(Harytlar!$C$5:$C$44,MATCH(B964,Harytlar!$A$5:$A$44,0)),""))</f>
        <v/>
      </c>
      <c r="F964" s="10" t="str">
        <f t="shared" si="14"/>
        <v/>
      </c>
      <c r="G964" s="10" t="str">
        <f>IF(OR(C964="",B964=""),"",IFERROR(C964*INDEX(Harytlar!$D$5:$D$44,MATCH(B964,Harytlar!$A$5:$A$44,0)),""))</f>
        <v/>
      </c>
    </row>
    <row r="965" spans="1:7" x14ac:dyDescent="0.3">
      <c r="A965" s="17"/>
      <c r="B965" s="18"/>
      <c r="C965" s="18"/>
      <c r="D965" s="18"/>
      <c r="E965" s="10" t="str">
        <f>IF(B965="","",IFERROR(INDEX(Harytlar!$C$5:$C$44,MATCH(B965,Harytlar!$A$5:$A$44,0)),""))</f>
        <v/>
      </c>
      <c r="F965" s="10" t="str">
        <f t="shared" si="14"/>
        <v/>
      </c>
      <c r="G965" s="10" t="str">
        <f>IF(OR(C965="",B965=""),"",IFERROR(C965*INDEX(Harytlar!$D$5:$D$44,MATCH(B965,Harytlar!$A$5:$A$44,0)),""))</f>
        <v/>
      </c>
    </row>
    <row r="966" spans="1:7" x14ac:dyDescent="0.3">
      <c r="A966" s="17"/>
      <c r="B966" s="18"/>
      <c r="C966" s="18"/>
      <c r="D966" s="18"/>
      <c r="E966" s="10" t="str">
        <f>IF(B966="","",IFERROR(INDEX(Harytlar!$C$5:$C$44,MATCH(B966,Harytlar!$A$5:$A$44,0)),""))</f>
        <v/>
      </c>
      <c r="F966" s="10" t="str">
        <f t="shared" ref="F966:F1029" si="15">IF(OR(C966="",E966=""),"",C966*E966)</f>
        <v/>
      </c>
      <c r="G966" s="10" t="str">
        <f>IF(OR(C966="",B966=""),"",IFERROR(C966*INDEX(Harytlar!$D$5:$D$44,MATCH(B966,Harytlar!$A$5:$A$44,0)),""))</f>
        <v/>
      </c>
    </row>
    <row r="967" spans="1:7" x14ac:dyDescent="0.3">
      <c r="A967" s="17"/>
      <c r="B967" s="18"/>
      <c r="C967" s="18"/>
      <c r="D967" s="18"/>
      <c r="E967" s="10" t="str">
        <f>IF(B967="","",IFERROR(INDEX(Harytlar!$C$5:$C$44,MATCH(B967,Harytlar!$A$5:$A$44,0)),""))</f>
        <v/>
      </c>
      <c r="F967" s="10" t="str">
        <f t="shared" si="15"/>
        <v/>
      </c>
      <c r="G967" s="10" t="str">
        <f>IF(OR(C967="",B967=""),"",IFERROR(C967*INDEX(Harytlar!$D$5:$D$44,MATCH(B967,Harytlar!$A$5:$A$44,0)),""))</f>
        <v/>
      </c>
    </row>
    <row r="968" spans="1:7" x14ac:dyDescent="0.3">
      <c r="A968" s="17"/>
      <c r="B968" s="18"/>
      <c r="C968" s="18"/>
      <c r="D968" s="18"/>
      <c r="E968" s="10" t="str">
        <f>IF(B968="","",IFERROR(INDEX(Harytlar!$C$5:$C$44,MATCH(B968,Harytlar!$A$5:$A$44,0)),""))</f>
        <v/>
      </c>
      <c r="F968" s="10" t="str">
        <f t="shared" si="15"/>
        <v/>
      </c>
      <c r="G968" s="10" t="str">
        <f>IF(OR(C968="",B968=""),"",IFERROR(C968*INDEX(Harytlar!$D$5:$D$44,MATCH(B968,Harytlar!$A$5:$A$44,0)),""))</f>
        <v/>
      </c>
    </row>
    <row r="969" spans="1:7" x14ac:dyDescent="0.3">
      <c r="A969" s="17"/>
      <c r="B969" s="18"/>
      <c r="C969" s="18"/>
      <c r="D969" s="18"/>
      <c r="E969" s="10" t="str">
        <f>IF(B969="","",IFERROR(INDEX(Harytlar!$C$5:$C$44,MATCH(B969,Harytlar!$A$5:$A$44,0)),""))</f>
        <v/>
      </c>
      <c r="F969" s="10" t="str">
        <f t="shared" si="15"/>
        <v/>
      </c>
      <c r="G969" s="10" t="str">
        <f>IF(OR(C969="",B969=""),"",IFERROR(C969*INDEX(Harytlar!$D$5:$D$44,MATCH(B969,Harytlar!$A$5:$A$44,0)),""))</f>
        <v/>
      </c>
    </row>
    <row r="970" spans="1:7" x14ac:dyDescent="0.3">
      <c r="A970" s="17"/>
      <c r="B970" s="18"/>
      <c r="C970" s="18"/>
      <c r="D970" s="18"/>
      <c r="E970" s="10" t="str">
        <f>IF(B970="","",IFERROR(INDEX(Harytlar!$C$5:$C$44,MATCH(B970,Harytlar!$A$5:$A$44,0)),""))</f>
        <v/>
      </c>
      <c r="F970" s="10" t="str">
        <f t="shared" si="15"/>
        <v/>
      </c>
      <c r="G970" s="10" t="str">
        <f>IF(OR(C970="",B970=""),"",IFERROR(C970*INDEX(Harytlar!$D$5:$D$44,MATCH(B970,Harytlar!$A$5:$A$44,0)),""))</f>
        <v/>
      </c>
    </row>
    <row r="971" spans="1:7" x14ac:dyDescent="0.3">
      <c r="A971" s="17"/>
      <c r="B971" s="18"/>
      <c r="C971" s="18"/>
      <c r="D971" s="18"/>
      <c r="E971" s="10" t="str">
        <f>IF(B971="","",IFERROR(INDEX(Harytlar!$C$5:$C$44,MATCH(B971,Harytlar!$A$5:$A$44,0)),""))</f>
        <v/>
      </c>
      <c r="F971" s="10" t="str">
        <f t="shared" si="15"/>
        <v/>
      </c>
      <c r="G971" s="10" t="str">
        <f>IF(OR(C971="",B971=""),"",IFERROR(C971*INDEX(Harytlar!$D$5:$D$44,MATCH(B971,Harytlar!$A$5:$A$44,0)),""))</f>
        <v/>
      </c>
    </row>
    <row r="972" spans="1:7" x14ac:dyDescent="0.3">
      <c r="A972" s="17"/>
      <c r="B972" s="18"/>
      <c r="C972" s="18"/>
      <c r="D972" s="18"/>
      <c r="E972" s="10" t="str">
        <f>IF(B972="","",IFERROR(INDEX(Harytlar!$C$5:$C$44,MATCH(B972,Harytlar!$A$5:$A$44,0)),""))</f>
        <v/>
      </c>
      <c r="F972" s="10" t="str">
        <f t="shared" si="15"/>
        <v/>
      </c>
      <c r="G972" s="10" t="str">
        <f>IF(OR(C972="",B972=""),"",IFERROR(C972*INDEX(Harytlar!$D$5:$D$44,MATCH(B972,Harytlar!$A$5:$A$44,0)),""))</f>
        <v/>
      </c>
    </row>
    <row r="973" spans="1:7" x14ac:dyDescent="0.3">
      <c r="A973" s="17"/>
      <c r="B973" s="18"/>
      <c r="C973" s="18"/>
      <c r="D973" s="18"/>
      <c r="E973" s="10" t="str">
        <f>IF(B973="","",IFERROR(INDEX(Harytlar!$C$5:$C$44,MATCH(B973,Harytlar!$A$5:$A$44,0)),""))</f>
        <v/>
      </c>
      <c r="F973" s="10" t="str">
        <f t="shared" si="15"/>
        <v/>
      </c>
      <c r="G973" s="10" t="str">
        <f>IF(OR(C973="",B973=""),"",IFERROR(C973*INDEX(Harytlar!$D$5:$D$44,MATCH(B973,Harytlar!$A$5:$A$44,0)),""))</f>
        <v/>
      </c>
    </row>
    <row r="974" spans="1:7" x14ac:dyDescent="0.3">
      <c r="A974" s="17"/>
      <c r="B974" s="18"/>
      <c r="C974" s="18"/>
      <c r="D974" s="18"/>
      <c r="E974" s="10" t="str">
        <f>IF(B974="","",IFERROR(INDEX(Harytlar!$C$5:$C$44,MATCH(B974,Harytlar!$A$5:$A$44,0)),""))</f>
        <v/>
      </c>
      <c r="F974" s="10" t="str">
        <f t="shared" si="15"/>
        <v/>
      </c>
      <c r="G974" s="10" t="str">
        <f>IF(OR(C974="",B974=""),"",IFERROR(C974*INDEX(Harytlar!$D$5:$D$44,MATCH(B974,Harytlar!$A$5:$A$44,0)),""))</f>
        <v/>
      </c>
    </row>
    <row r="975" spans="1:7" x14ac:dyDescent="0.3">
      <c r="A975" s="17"/>
      <c r="B975" s="18"/>
      <c r="C975" s="18"/>
      <c r="D975" s="18"/>
      <c r="E975" s="10" t="str">
        <f>IF(B975="","",IFERROR(INDEX(Harytlar!$C$5:$C$44,MATCH(B975,Harytlar!$A$5:$A$44,0)),""))</f>
        <v/>
      </c>
      <c r="F975" s="10" t="str">
        <f t="shared" si="15"/>
        <v/>
      </c>
      <c r="G975" s="10" t="str">
        <f>IF(OR(C975="",B975=""),"",IFERROR(C975*INDEX(Harytlar!$D$5:$D$44,MATCH(B975,Harytlar!$A$5:$A$44,0)),""))</f>
        <v/>
      </c>
    </row>
    <row r="976" spans="1:7" x14ac:dyDescent="0.3">
      <c r="A976" s="17"/>
      <c r="B976" s="18"/>
      <c r="C976" s="18"/>
      <c r="D976" s="18"/>
      <c r="E976" s="10" t="str">
        <f>IF(B976="","",IFERROR(INDEX(Harytlar!$C$5:$C$44,MATCH(B976,Harytlar!$A$5:$A$44,0)),""))</f>
        <v/>
      </c>
      <c r="F976" s="10" t="str">
        <f t="shared" si="15"/>
        <v/>
      </c>
      <c r="G976" s="10" t="str">
        <f>IF(OR(C976="",B976=""),"",IFERROR(C976*INDEX(Harytlar!$D$5:$D$44,MATCH(B976,Harytlar!$A$5:$A$44,0)),""))</f>
        <v/>
      </c>
    </row>
    <row r="977" spans="1:7" x14ac:dyDescent="0.3">
      <c r="A977" s="17"/>
      <c r="B977" s="18"/>
      <c r="C977" s="18"/>
      <c r="D977" s="18"/>
      <c r="E977" s="10" t="str">
        <f>IF(B977="","",IFERROR(INDEX(Harytlar!$C$5:$C$44,MATCH(B977,Harytlar!$A$5:$A$44,0)),""))</f>
        <v/>
      </c>
      <c r="F977" s="10" t="str">
        <f t="shared" si="15"/>
        <v/>
      </c>
      <c r="G977" s="10" t="str">
        <f>IF(OR(C977="",B977=""),"",IFERROR(C977*INDEX(Harytlar!$D$5:$D$44,MATCH(B977,Harytlar!$A$5:$A$44,0)),""))</f>
        <v/>
      </c>
    </row>
    <row r="978" spans="1:7" x14ac:dyDescent="0.3">
      <c r="A978" s="17"/>
      <c r="B978" s="18"/>
      <c r="C978" s="18"/>
      <c r="D978" s="18"/>
      <c r="E978" s="10" t="str">
        <f>IF(B978="","",IFERROR(INDEX(Harytlar!$C$5:$C$44,MATCH(B978,Harytlar!$A$5:$A$44,0)),""))</f>
        <v/>
      </c>
      <c r="F978" s="10" t="str">
        <f t="shared" si="15"/>
        <v/>
      </c>
      <c r="G978" s="10" t="str">
        <f>IF(OR(C978="",B978=""),"",IFERROR(C978*INDEX(Harytlar!$D$5:$D$44,MATCH(B978,Harytlar!$A$5:$A$44,0)),""))</f>
        <v/>
      </c>
    </row>
    <row r="979" spans="1:7" x14ac:dyDescent="0.3">
      <c r="A979" s="17"/>
      <c r="B979" s="18"/>
      <c r="C979" s="18"/>
      <c r="D979" s="18"/>
      <c r="E979" s="10" t="str">
        <f>IF(B979="","",IFERROR(INDEX(Harytlar!$C$5:$C$44,MATCH(B979,Harytlar!$A$5:$A$44,0)),""))</f>
        <v/>
      </c>
      <c r="F979" s="10" t="str">
        <f t="shared" si="15"/>
        <v/>
      </c>
      <c r="G979" s="10" t="str">
        <f>IF(OR(C979="",B979=""),"",IFERROR(C979*INDEX(Harytlar!$D$5:$D$44,MATCH(B979,Harytlar!$A$5:$A$44,0)),""))</f>
        <v/>
      </c>
    </row>
    <row r="980" spans="1:7" x14ac:dyDescent="0.3">
      <c r="A980" s="17"/>
      <c r="B980" s="18"/>
      <c r="C980" s="18"/>
      <c r="D980" s="18"/>
      <c r="E980" s="10" t="str">
        <f>IF(B980="","",IFERROR(INDEX(Harytlar!$C$5:$C$44,MATCH(B980,Harytlar!$A$5:$A$44,0)),""))</f>
        <v/>
      </c>
      <c r="F980" s="10" t="str">
        <f t="shared" si="15"/>
        <v/>
      </c>
      <c r="G980" s="10" t="str">
        <f>IF(OR(C980="",B980=""),"",IFERROR(C980*INDEX(Harytlar!$D$5:$D$44,MATCH(B980,Harytlar!$A$5:$A$44,0)),""))</f>
        <v/>
      </c>
    </row>
    <row r="981" spans="1:7" x14ac:dyDescent="0.3">
      <c r="A981" s="17"/>
      <c r="B981" s="18"/>
      <c r="C981" s="18"/>
      <c r="D981" s="18"/>
      <c r="E981" s="10" t="str">
        <f>IF(B981="","",IFERROR(INDEX(Harytlar!$C$5:$C$44,MATCH(B981,Harytlar!$A$5:$A$44,0)),""))</f>
        <v/>
      </c>
      <c r="F981" s="10" t="str">
        <f t="shared" si="15"/>
        <v/>
      </c>
      <c r="G981" s="10" t="str">
        <f>IF(OR(C981="",B981=""),"",IFERROR(C981*INDEX(Harytlar!$D$5:$D$44,MATCH(B981,Harytlar!$A$5:$A$44,0)),""))</f>
        <v/>
      </c>
    </row>
    <row r="982" spans="1:7" x14ac:dyDescent="0.3">
      <c r="A982" s="17"/>
      <c r="B982" s="18"/>
      <c r="C982" s="18"/>
      <c r="D982" s="18"/>
      <c r="E982" s="10" t="str">
        <f>IF(B982="","",IFERROR(INDEX(Harytlar!$C$5:$C$44,MATCH(B982,Harytlar!$A$5:$A$44,0)),""))</f>
        <v/>
      </c>
      <c r="F982" s="10" t="str">
        <f t="shared" si="15"/>
        <v/>
      </c>
      <c r="G982" s="10" t="str">
        <f>IF(OR(C982="",B982=""),"",IFERROR(C982*INDEX(Harytlar!$D$5:$D$44,MATCH(B982,Harytlar!$A$5:$A$44,0)),""))</f>
        <v/>
      </c>
    </row>
    <row r="983" spans="1:7" x14ac:dyDescent="0.3">
      <c r="A983" s="17"/>
      <c r="B983" s="18"/>
      <c r="C983" s="18"/>
      <c r="D983" s="18"/>
      <c r="E983" s="10" t="str">
        <f>IF(B983="","",IFERROR(INDEX(Harytlar!$C$5:$C$44,MATCH(B983,Harytlar!$A$5:$A$44,0)),""))</f>
        <v/>
      </c>
      <c r="F983" s="10" t="str">
        <f t="shared" si="15"/>
        <v/>
      </c>
      <c r="G983" s="10" t="str">
        <f>IF(OR(C983="",B983=""),"",IFERROR(C983*INDEX(Harytlar!$D$5:$D$44,MATCH(B983,Harytlar!$A$5:$A$44,0)),""))</f>
        <v/>
      </c>
    </row>
    <row r="984" spans="1:7" x14ac:dyDescent="0.3">
      <c r="A984" s="17"/>
      <c r="B984" s="18"/>
      <c r="C984" s="18"/>
      <c r="D984" s="18"/>
      <c r="E984" s="10" t="str">
        <f>IF(B984="","",IFERROR(INDEX(Harytlar!$C$5:$C$44,MATCH(B984,Harytlar!$A$5:$A$44,0)),""))</f>
        <v/>
      </c>
      <c r="F984" s="10" t="str">
        <f t="shared" si="15"/>
        <v/>
      </c>
      <c r="G984" s="10" t="str">
        <f>IF(OR(C984="",B984=""),"",IFERROR(C984*INDEX(Harytlar!$D$5:$D$44,MATCH(B984,Harytlar!$A$5:$A$44,0)),""))</f>
        <v/>
      </c>
    </row>
    <row r="985" spans="1:7" x14ac:dyDescent="0.3">
      <c r="A985" s="17"/>
      <c r="B985" s="18"/>
      <c r="C985" s="18"/>
      <c r="D985" s="18"/>
      <c r="E985" s="10" t="str">
        <f>IF(B985="","",IFERROR(INDEX(Harytlar!$C$5:$C$44,MATCH(B985,Harytlar!$A$5:$A$44,0)),""))</f>
        <v/>
      </c>
      <c r="F985" s="10" t="str">
        <f t="shared" si="15"/>
        <v/>
      </c>
      <c r="G985" s="10" t="str">
        <f>IF(OR(C985="",B985=""),"",IFERROR(C985*INDEX(Harytlar!$D$5:$D$44,MATCH(B985,Harytlar!$A$5:$A$44,0)),""))</f>
        <v/>
      </c>
    </row>
    <row r="986" spans="1:7" x14ac:dyDescent="0.3">
      <c r="A986" s="17"/>
      <c r="B986" s="18"/>
      <c r="C986" s="18"/>
      <c r="D986" s="18"/>
      <c r="E986" s="10" t="str">
        <f>IF(B986="","",IFERROR(INDEX(Harytlar!$C$5:$C$44,MATCH(B986,Harytlar!$A$5:$A$44,0)),""))</f>
        <v/>
      </c>
      <c r="F986" s="10" t="str">
        <f t="shared" si="15"/>
        <v/>
      </c>
      <c r="G986" s="10" t="str">
        <f>IF(OR(C986="",B986=""),"",IFERROR(C986*INDEX(Harytlar!$D$5:$D$44,MATCH(B986,Harytlar!$A$5:$A$44,0)),""))</f>
        <v/>
      </c>
    </row>
    <row r="987" spans="1:7" x14ac:dyDescent="0.3">
      <c r="A987" s="17"/>
      <c r="B987" s="18"/>
      <c r="C987" s="18"/>
      <c r="D987" s="18"/>
      <c r="E987" s="10" t="str">
        <f>IF(B987="","",IFERROR(INDEX(Harytlar!$C$5:$C$44,MATCH(B987,Harytlar!$A$5:$A$44,0)),""))</f>
        <v/>
      </c>
      <c r="F987" s="10" t="str">
        <f t="shared" si="15"/>
        <v/>
      </c>
      <c r="G987" s="10" t="str">
        <f>IF(OR(C987="",B987=""),"",IFERROR(C987*INDEX(Harytlar!$D$5:$D$44,MATCH(B987,Harytlar!$A$5:$A$44,0)),""))</f>
        <v/>
      </c>
    </row>
    <row r="988" spans="1:7" x14ac:dyDescent="0.3">
      <c r="A988" s="17"/>
      <c r="B988" s="18"/>
      <c r="C988" s="18"/>
      <c r="D988" s="18"/>
      <c r="E988" s="10" t="str">
        <f>IF(B988="","",IFERROR(INDEX(Harytlar!$C$5:$C$44,MATCH(B988,Harytlar!$A$5:$A$44,0)),""))</f>
        <v/>
      </c>
      <c r="F988" s="10" t="str">
        <f t="shared" si="15"/>
        <v/>
      </c>
      <c r="G988" s="10" t="str">
        <f>IF(OR(C988="",B988=""),"",IFERROR(C988*INDEX(Harytlar!$D$5:$D$44,MATCH(B988,Harytlar!$A$5:$A$44,0)),""))</f>
        <v/>
      </c>
    </row>
    <row r="989" spans="1:7" x14ac:dyDescent="0.3">
      <c r="A989" s="17"/>
      <c r="B989" s="18"/>
      <c r="C989" s="18"/>
      <c r="D989" s="18"/>
      <c r="E989" s="10" t="str">
        <f>IF(B989="","",IFERROR(INDEX(Harytlar!$C$5:$C$44,MATCH(B989,Harytlar!$A$5:$A$44,0)),""))</f>
        <v/>
      </c>
      <c r="F989" s="10" t="str">
        <f t="shared" si="15"/>
        <v/>
      </c>
      <c r="G989" s="10" t="str">
        <f>IF(OR(C989="",B989=""),"",IFERROR(C989*INDEX(Harytlar!$D$5:$D$44,MATCH(B989,Harytlar!$A$5:$A$44,0)),""))</f>
        <v/>
      </c>
    </row>
    <row r="990" spans="1:7" x14ac:dyDescent="0.3">
      <c r="A990" s="17"/>
      <c r="B990" s="18"/>
      <c r="C990" s="18"/>
      <c r="D990" s="18"/>
      <c r="E990" s="10" t="str">
        <f>IF(B990="","",IFERROR(INDEX(Harytlar!$C$5:$C$44,MATCH(B990,Harytlar!$A$5:$A$44,0)),""))</f>
        <v/>
      </c>
      <c r="F990" s="10" t="str">
        <f t="shared" si="15"/>
        <v/>
      </c>
      <c r="G990" s="10" t="str">
        <f>IF(OR(C990="",B990=""),"",IFERROR(C990*INDEX(Harytlar!$D$5:$D$44,MATCH(B990,Harytlar!$A$5:$A$44,0)),""))</f>
        <v/>
      </c>
    </row>
    <row r="991" spans="1:7" x14ac:dyDescent="0.3">
      <c r="A991" s="17"/>
      <c r="B991" s="18"/>
      <c r="C991" s="18"/>
      <c r="D991" s="18"/>
      <c r="E991" s="10" t="str">
        <f>IF(B991="","",IFERROR(INDEX(Harytlar!$C$5:$C$44,MATCH(B991,Harytlar!$A$5:$A$44,0)),""))</f>
        <v/>
      </c>
      <c r="F991" s="10" t="str">
        <f t="shared" si="15"/>
        <v/>
      </c>
      <c r="G991" s="10" t="str">
        <f>IF(OR(C991="",B991=""),"",IFERROR(C991*INDEX(Harytlar!$D$5:$D$44,MATCH(B991,Harytlar!$A$5:$A$44,0)),""))</f>
        <v/>
      </c>
    </row>
    <row r="992" spans="1:7" x14ac:dyDescent="0.3">
      <c r="A992" s="17"/>
      <c r="B992" s="18"/>
      <c r="C992" s="18"/>
      <c r="D992" s="18"/>
      <c r="E992" s="10" t="str">
        <f>IF(B992="","",IFERROR(INDEX(Harytlar!$C$5:$C$44,MATCH(B992,Harytlar!$A$5:$A$44,0)),""))</f>
        <v/>
      </c>
      <c r="F992" s="10" t="str">
        <f t="shared" si="15"/>
        <v/>
      </c>
      <c r="G992" s="10" t="str">
        <f>IF(OR(C992="",B992=""),"",IFERROR(C992*INDEX(Harytlar!$D$5:$D$44,MATCH(B992,Harytlar!$A$5:$A$44,0)),""))</f>
        <v/>
      </c>
    </row>
    <row r="993" spans="1:7" x14ac:dyDescent="0.3">
      <c r="A993" s="17"/>
      <c r="B993" s="18"/>
      <c r="C993" s="18"/>
      <c r="D993" s="18"/>
      <c r="E993" s="10" t="str">
        <f>IF(B993="","",IFERROR(INDEX(Harytlar!$C$5:$C$44,MATCH(B993,Harytlar!$A$5:$A$44,0)),""))</f>
        <v/>
      </c>
      <c r="F993" s="10" t="str">
        <f t="shared" si="15"/>
        <v/>
      </c>
      <c r="G993" s="10" t="str">
        <f>IF(OR(C993="",B993=""),"",IFERROR(C993*INDEX(Harytlar!$D$5:$D$44,MATCH(B993,Harytlar!$A$5:$A$44,0)),""))</f>
        <v/>
      </c>
    </row>
    <row r="994" spans="1:7" x14ac:dyDescent="0.3">
      <c r="A994" s="17"/>
      <c r="B994" s="18"/>
      <c r="C994" s="18"/>
      <c r="D994" s="18"/>
      <c r="E994" s="10" t="str">
        <f>IF(B994="","",IFERROR(INDEX(Harytlar!$C$5:$C$44,MATCH(B994,Harytlar!$A$5:$A$44,0)),""))</f>
        <v/>
      </c>
      <c r="F994" s="10" t="str">
        <f t="shared" si="15"/>
        <v/>
      </c>
      <c r="G994" s="10" t="str">
        <f>IF(OR(C994="",B994=""),"",IFERROR(C994*INDEX(Harytlar!$D$5:$D$44,MATCH(B994,Harytlar!$A$5:$A$44,0)),""))</f>
        <v/>
      </c>
    </row>
    <row r="995" spans="1:7" x14ac:dyDescent="0.3">
      <c r="A995" s="17"/>
      <c r="B995" s="18"/>
      <c r="C995" s="18"/>
      <c r="D995" s="18"/>
      <c r="E995" s="10" t="str">
        <f>IF(B995="","",IFERROR(INDEX(Harytlar!$C$5:$C$44,MATCH(B995,Harytlar!$A$5:$A$44,0)),""))</f>
        <v/>
      </c>
      <c r="F995" s="10" t="str">
        <f t="shared" si="15"/>
        <v/>
      </c>
      <c r="G995" s="10" t="str">
        <f>IF(OR(C995="",B995=""),"",IFERROR(C995*INDEX(Harytlar!$D$5:$D$44,MATCH(B995,Harytlar!$A$5:$A$44,0)),""))</f>
        <v/>
      </c>
    </row>
    <row r="996" spans="1:7" x14ac:dyDescent="0.3">
      <c r="A996" s="17"/>
      <c r="B996" s="18"/>
      <c r="C996" s="18"/>
      <c r="D996" s="18"/>
      <c r="E996" s="10" t="str">
        <f>IF(B996="","",IFERROR(INDEX(Harytlar!$C$5:$C$44,MATCH(B996,Harytlar!$A$5:$A$44,0)),""))</f>
        <v/>
      </c>
      <c r="F996" s="10" t="str">
        <f t="shared" si="15"/>
        <v/>
      </c>
      <c r="G996" s="10" t="str">
        <f>IF(OR(C996="",B996=""),"",IFERROR(C996*INDEX(Harytlar!$D$5:$D$44,MATCH(B996,Harytlar!$A$5:$A$44,0)),""))</f>
        <v/>
      </c>
    </row>
    <row r="997" spans="1:7" x14ac:dyDescent="0.3">
      <c r="A997" s="17"/>
      <c r="B997" s="18"/>
      <c r="C997" s="18"/>
      <c r="D997" s="18"/>
      <c r="E997" s="10" t="str">
        <f>IF(B997="","",IFERROR(INDEX(Harytlar!$C$5:$C$44,MATCH(B997,Harytlar!$A$5:$A$44,0)),""))</f>
        <v/>
      </c>
      <c r="F997" s="10" t="str">
        <f t="shared" si="15"/>
        <v/>
      </c>
      <c r="G997" s="10" t="str">
        <f>IF(OR(C997="",B997=""),"",IFERROR(C997*INDEX(Harytlar!$D$5:$D$44,MATCH(B997,Harytlar!$A$5:$A$44,0)),""))</f>
        <v/>
      </c>
    </row>
    <row r="998" spans="1:7" x14ac:dyDescent="0.3">
      <c r="A998" s="17"/>
      <c r="B998" s="18"/>
      <c r="C998" s="18"/>
      <c r="D998" s="18"/>
      <c r="E998" s="10" t="str">
        <f>IF(B998="","",IFERROR(INDEX(Harytlar!$C$5:$C$44,MATCH(B998,Harytlar!$A$5:$A$44,0)),""))</f>
        <v/>
      </c>
      <c r="F998" s="10" t="str">
        <f t="shared" si="15"/>
        <v/>
      </c>
      <c r="G998" s="10" t="str">
        <f>IF(OR(C998="",B998=""),"",IFERROR(C998*INDEX(Harytlar!$D$5:$D$44,MATCH(B998,Harytlar!$A$5:$A$44,0)),""))</f>
        <v/>
      </c>
    </row>
    <row r="999" spans="1:7" x14ac:dyDescent="0.3">
      <c r="A999" s="17"/>
      <c r="B999" s="18"/>
      <c r="C999" s="18"/>
      <c r="D999" s="18"/>
      <c r="E999" s="10" t="str">
        <f>IF(B999="","",IFERROR(INDEX(Harytlar!$C$5:$C$44,MATCH(B999,Harytlar!$A$5:$A$44,0)),""))</f>
        <v/>
      </c>
      <c r="F999" s="10" t="str">
        <f t="shared" si="15"/>
        <v/>
      </c>
      <c r="G999" s="10" t="str">
        <f>IF(OR(C999="",B999=""),"",IFERROR(C999*INDEX(Harytlar!$D$5:$D$44,MATCH(B999,Harytlar!$A$5:$A$44,0)),""))</f>
        <v/>
      </c>
    </row>
    <row r="1000" spans="1:7" x14ac:dyDescent="0.3">
      <c r="A1000" s="17"/>
      <c r="B1000" s="18"/>
      <c r="C1000" s="18"/>
      <c r="D1000" s="18"/>
      <c r="E1000" s="10" t="str">
        <f>IF(B1000="","",IFERROR(INDEX(Harytlar!$C$5:$C$44,MATCH(B1000,Harytlar!$A$5:$A$44,0)),""))</f>
        <v/>
      </c>
      <c r="F1000" s="10" t="str">
        <f t="shared" si="15"/>
        <v/>
      </c>
      <c r="G1000" s="10" t="str">
        <f>IF(OR(C1000="",B1000=""),"",IFERROR(C1000*INDEX(Harytlar!$D$5:$D$44,MATCH(B1000,Harytlar!$A$5:$A$44,0)),""))</f>
        <v/>
      </c>
    </row>
    <row r="1001" spans="1:7" x14ac:dyDescent="0.3">
      <c r="A1001" s="17"/>
      <c r="B1001" s="18"/>
      <c r="C1001" s="18"/>
      <c r="D1001" s="18"/>
      <c r="E1001" s="10" t="str">
        <f>IF(B1001="","",IFERROR(INDEX(Harytlar!$C$5:$C$44,MATCH(B1001,Harytlar!$A$5:$A$44,0)),""))</f>
        <v/>
      </c>
      <c r="F1001" s="10" t="str">
        <f t="shared" si="15"/>
        <v/>
      </c>
      <c r="G1001" s="10" t="str">
        <f>IF(OR(C1001="",B1001=""),"",IFERROR(C1001*INDEX(Harytlar!$D$5:$D$44,MATCH(B1001,Harytlar!$A$5:$A$44,0)),""))</f>
        <v/>
      </c>
    </row>
    <row r="1002" spans="1:7" x14ac:dyDescent="0.3">
      <c r="A1002" s="17"/>
      <c r="B1002" s="18"/>
      <c r="C1002" s="18"/>
      <c r="D1002" s="18"/>
      <c r="E1002" s="10" t="str">
        <f>IF(B1002="","",IFERROR(INDEX(Harytlar!$C$5:$C$44,MATCH(B1002,Harytlar!$A$5:$A$44,0)),""))</f>
        <v/>
      </c>
      <c r="F1002" s="10" t="str">
        <f t="shared" si="15"/>
        <v/>
      </c>
      <c r="G1002" s="10" t="str">
        <f>IF(OR(C1002="",B1002=""),"",IFERROR(C1002*INDEX(Harytlar!$D$5:$D$44,MATCH(B1002,Harytlar!$A$5:$A$44,0)),""))</f>
        <v/>
      </c>
    </row>
    <row r="1003" spans="1:7" x14ac:dyDescent="0.3">
      <c r="A1003" s="17"/>
      <c r="B1003" s="18"/>
      <c r="C1003" s="18"/>
      <c r="D1003" s="18"/>
      <c r="E1003" s="10" t="str">
        <f>IF(B1003="","",IFERROR(INDEX(Harytlar!$C$5:$C$44,MATCH(B1003,Harytlar!$A$5:$A$44,0)),""))</f>
        <v/>
      </c>
      <c r="F1003" s="10" t="str">
        <f t="shared" si="15"/>
        <v/>
      </c>
      <c r="G1003" s="10" t="str">
        <f>IF(OR(C1003="",B1003=""),"",IFERROR(C1003*INDEX(Harytlar!$D$5:$D$44,MATCH(B1003,Harytlar!$A$5:$A$44,0)),""))</f>
        <v/>
      </c>
    </row>
    <row r="1004" spans="1:7" x14ac:dyDescent="0.3">
      <c r="A1004" s="17"/>
      <c r="B1004" s="18"/>
      <c r="C1004" s="18"/>
      <c r="D1004" s="18"/>
      <c r="E1004" s="10" t="str">
        <f>IF(B1004="","",IFERROR(INDEX(Harytlar!$C$5:$C$44,MATCH(B1004,Harytlar!$A$5:$A$44,0)),""))</f>
        <v/>
      </c>
      <c r="F1004" s="10" t="str">
        <f t="shared" si="15"/>
        <v/>
      </c>
      <c r="G1004" s="10" t="str">
        <f>IF(OR(C1004="",B1004=""),"",IFERROR(C1004*INDEX(Harytlar!$D$5:$D$44,MATCH(B1004,Harytlar!$A$5:$A$44,0)),""))</f>
        <v/>
      </c>
    </row>
    <row r="1005" spans="1:7" x14ac:dyDescent="0.3">
      <c r="A1005" s="17"/>
      <c r="B1005" s="18"/>
      <c r="C1005" s="18"/>
      <c r="D1005" s="18"/>
      <c r="E1005" s="10" t="str">
        <f>IF(B1005="","",IFERROR(INDEX(Harytlar!$C$5:$C$44,MATCH(B1005,Harytlar!$A$5:$A$44,0)),""))</f>
        <v/>
      </c>
      <c r="F1005" s="10" t="str">
        <f t="shared" si="15"/>
        <v/>
      </c>
      <c r="G1005" s="10" t="str">
        <f>IF(OR(C1005="",B1005=""),"",IFERROR(C1005*INDEX(Harytlar!$D$5:$D$44,MATCH(B1005,Harytlar!$A$5:$A$44,0)),""))</f>
        <v/>
      </c>
    </row>
    <row r="1006" spans="1:7" x14ac:dyDescent="0.3">
      <c r="A1006" s="17"/>
      <c r="B1006" s="18"/>
      <c r="C1006" s="18"/>
      <c r="D1006" s="18"/>
      <c r="E1006" s="10" t="str">
        <f>IF(B1006="","",IFERROR(INDEX(Harytlar!$C$5:$C$44,MATCH(B1006,Harytlar!$A$5:$A$44,0)),""))</f>
        <v/>
      </c>
      <c r="F1006" s="10" t="str">
        <f t="shared" si="15"/>
        <v/>
      </c>
      <c r="G1006" s="10" t="str">
        <f>IF(OR(C1006="",B1006=""),"",IFERROR(C1006*INDEX(Harytlar!$D$5:$D$44,MATCH(B1006,Harytlar!$A$5:$A$44,0)),""))</f>
        <v/>
      </c>
    </row>
    <row r="1007" spans="1:7" x14ac:dyDescent="0.3">
      <c r="A1007" s="17"/>
      <c r="B1007" s="18"/>
      <c r="C1007" s="18"/>
      <c r="D1007" s="18"/>
      <c r="E1007" s="10" t="str">
        <f>IF(B1007="","",IFERROR(INDEX(Harytlar!$C$5:$C$44,MATCH(B1007,Harytlar!$A$5:$A$44,0)),""))</f>
        <v/>
      </c>
      <c r="F1007" s="10" t="str">
        <f t="shared" si="15"/>
        <v/>
      </c>
      <c r="G1007" s="10" t="str">
        <f>IF(OR(C1007="",B1007=""),"",IFERROR(C1007*INDEX(Harytlar!$D$5:$D$44,MATCH(B1007,Harytlar!$A$5:$A$44,0)),""))</f>
        <v/>
      </c>
    </row>
    <row r="1008" spans="1:7" x14ac:dyDescent="0.3">
      <c r="A1008" s="17"/>
      <c r="B1008" s="18"/>
      <c r="C1008" s="18"/>
      <c r="D1008" s="18"/>
      <c r="E1008" s="10" t="str">
        <f>IF(B1008="","",IFERROR(INDEX(Harytlar!$C$5:$C$44,MATCH(B1008,Harytlar!$A$5:$A$44,0)),""))</f>
        <v/>
      </c>
      <c r="F1008" s="10" t="str">
        <f t="shared" si="15"/>
        <v/>
      </c>
      <c r="G1008" s="10" t="str">
        <f>IF(OR(C1008="",B1008=""),"",IFERROR(C1008*INDEX(Harytlar!$D$5:$D$44,MATCH(B1008,Harytlar!$A$5:$A$44,0)),""))</f>
        <v/>
      </c>
    </row>
    <row r="1009" spans="1:7" x14ac:dyDescent="0.3">
      <c r="A1009" s="17"/>
      <c r="B1009" s="18"/>
      <c r="C1009" s="18"/>
      <c r="D1009" s="18"/>
      <c r="E1009" s="10" t="str">
        <f>IF(B1009="","",IFERROR(INDEX(Harytlar!$C$5:$C$44,MATCH(B1009,Harytlar!$A$5:$A$44,0)),""))</f>
        <v/>
      </c>
      <c r="F1009" s="10" t="str">
        <f t="shared" si="15"/>
        <v/>
      </c>
      <c r="G1009" s="10" t="str">
        <f>IF(OR(C1009="",B1009=""),"",IFERROR(C1009*INDEX(Harytlar!$D$5:$D$44,MATCH(B1009,Harytlar!$A$5:$A$44,0)),""))</f>
        <v/>
      </c>
    </row>
    <row r="1010" spans="1:7" x14ac:dyDescent="0.3">
      <c r="A1010" s="17"/>
      <c r="B1010" s="18"/>
      <c r="C1010" s="18"/>
      <c r="D1010" s="18"/>
      <c r="E1010" s="10" t="str">
        <f>IF(B1010="","",IFERROR(INDEX(Harytlar!$C$5:$C$44,MATCH(B1010,Harytlar!$A$5:$A$44,0)),""))</f>
        <v/>
      </c>
      <c r="F1010" s="10" t="str">
        <f t="shared" si="15"/>
        <v/>
      </c>
      <c r="G1010" s="10" t="str">
        <f>IF(OR(C1010="",B1010=""),"",IFERROR(C1010*INDEX(Harytlar!$D$5:$D$44,MATCH(B1010,Harytlar!$A$5:$A$44,0)),""))</f>
        <v/>
      </c>
    </row>
    <row r="1011" spans="1:7" x14ac:dyDescent="0.3">
      <c r="A1011" s="17"/>
      <c r="B1011" s="18"/>
      <c r="C1011" s="18"/>
      <c r="D1011" s="18"/>
      <c r="E1011" s="10" t="str">
        <f>IF(B1011="","",IFERROR(INDEX(Harytlar!$C$5:$C$44,MATCH(B1011,Harytlar!$A$5:$A$44,0)),""))</f>
        <v/>
      </c>
      <c r="F1011" s="10" t="str">
        <f t="shared" si="15"/>
        <v/>
      </c>
      <c r="G1011" s="10" t="str">
        <f>IF(OR(C1011="",B1011=""),"",IFERROR(C1011*INDEX(Harytlar!$D$5:$D$44,MATCH(B1011,Harytlar!$A$5:$A$44,0)),""))</f>
        <v/>
      </c>
    </row>
    <row r="1012" spans="1:7" x14ac:dyDescent="0.3">
      <c r="A1012" s="17"/>
      <c r="B1012" s="18"/>
      <c r="C1012" s="18"/>
      <c r="D1012" s="18"/>
      <c r="E1012" s="10" t="str">
        <f>IF(B1012="","",IFERROR(INDEX(Harytlar!$C$5:$C$44,MATCH(B1012,Harytlar!$A$5:$A$44,0)),""))</f>
        <v/>
      </c>
      <c r="F1012" s="10" t="str">
        <f t="shared" si="15"/>
        <v/>
      </c>
      <c r="G1012" s="10" t="str">
        <f>IF(OR(C1012="",B1012=""),"",IFERROR(C1012*INDEX(Harytlar!$D$5:$D$44,MATCH(B1012,Harytlar!$A$5:$A$44,0)),""))</f>
        <v/>
      </c>
    </row>
    <row r="1013" spans="1:7" x14ac:dyDescent="0.3">
      <c r="A1013" s="17"/>
      <c r="B1013" s="18"/>
      <c r="C1013" s="18"/>
      <c r="D1013" s="18"/>
      <c r="E1013" s="10" t="str">
        <f>IF(B1013="","",IFERROR(INDEX(Harytlar!$C$5:$C$44,MATCH(B1013,Harytlar!$A$5:$A$44,0)),""))</f>
        <v/>
      </c>
      <c r="F1013" s="10" t="str">
        <f t="shared" si="15"/>
        <v/>
      </c>
      <c r="G1013" s="10" t="str">
        <f>IF(OR(C1013="",B1013=""),"",IFERROR(C1013*INDEX(Harytlar!$D$5:$D$44,MATCH(B1013,Harytlar!$A$5:$A$44,0)),""))</f>
        <v/>
      </c>
    </row>
    <row r="1014" spans="1:7" x14ac:dyDescent="0.3">
      <c r="A1014" s="17"/>
      <c r="B1014" s="18"/>
      <c r="C1014" s="18"/>
      <c r="D1014" s="18"/>
      <c r="E1014" s="10" t="str">
        <f>IF(B1014="","",IFERROR(INDEX(Harytlar!$C$5:$C$44,MATCH(B1014,Harytlar!$A$5:$A$44,0)),""))</f>
        <v/>
      </c>
      <c r="F1014" s="10" t="str">
        <f t="shared" si="15"/>
        <v/>
      </c>
      <c r="G1014" s="10" t="str">
        <f>IF(OR(C1014="",B1014=""),"",IFERROR(C1014*INDEX(Harytlar!$D$5:$D$44,MATCH(B1014,Harytlar!$A$5:$A$44,0)),""))</f>
        <v/>
      </c>
    </row>
    <row r="1015" spans="1:7" x14ac:dyDescent="0.3">
      <c r="A1015" s="17"/>
      <c r="B1015" s="18"/>
      <c r="C1015" s="18"/>
      <c r="D1015" s="18"/>
      <c r="E1015" s="10" t="str">
        <f>IF(B1015="","",IFERROR(INDEX(Harytlar!$C$5:$C$44,MATCH(B1015,Harytlar!$A$5:$A$44,0)),""))</f>
        <v/>
      </c>
      <c r="F1015" s="10" t="str">
        <f t="shared" si="15"/>
        <v/>
      </c>
      <c r="G1015" s="10" t="str">
        <f>IF(OR(C1015="",B1015=""),"",IFERROR(C1015*INDEX(Harytlar!$D$5:$D$44,MATCH(B1015,Harytlar!$A$5:$A$44,0)),""))</f>
        <v/>
      </c>
    </row>
    <row r="1016" spans="1:7" x14ac:dyDescent="0.3">
      <c r="A1016" s="17"/>
      <c r="B1016" s="18"/>
      <c r="C1016" s="18"/>
      <c r="D1016" s="18"/>
      <c r="E1016" s="10" t="str">
        <f>IF(B1016="","",IFERROR(INDEX(Harytlar!$C$5:$C$44,MATCH(B1016,Harytlar!$A$5:$A$44,0)),""))</f>
        <v/>
      </c>
      <c r="F1016" s="10" t="str">
        <f t="shared" si="15"/>
        <v/>
      </c>
      <c r="G1016" s="10" t="str">
        <f>IF(OR(C1016="",B1016=""),"",IFERROR(C1016*INDEX(Harytlar!$D$5:$D$44,MATCH(B1016,Harytlar!$A$5:$A$44,0)),""))</f>
        <v/>
      </c>
    </row>
    <row r="1017" spans="1:7" x14ac:dyDescent="0.3">
      <c r="A1017" s="17"/>
      <c r="B1017" s="18"/>
      <c r="C1017" s="18"/>
      <c r="D1017" s="18"/>
      <c r="E1017" s="10" t="str">
        <f>IF(B1017="","",IFERROR(INDEX(Harytlar!$C$5:$C$44,MATCH(B1017,Harytlar!$A$5:$A$44,0)),""))</f>
        <v/>
      </c>
      <c r="F1017" s="10" t="str">
        <f t="shared" si="15"/>
        <v/>
      </c>
      <c r="G1017" s="10" t="str">
        <f>IF(OR(C1017="",B1017=""),"",IFERROR(C1017*INDEX(Harytlar!$D$5:$D$44,MATCH(B1017,Harytlar!$A$5:$A$44,0)),""))</f>
        <v/>
      </c>
    </row>
    <row r="1018" spans="1:7" x14ac:dyDescent="0.3">
      <c r="A1018" s="17"/>
      <c r="B1018" s="18"/>
      <c r="C1018" s="18"/>
      <c r="D1018" s="18"/>
      <c r="E1018" s="10" t="str">
        <f>IF(B1018="","",IFERROR(INDEX(Harytlar!$C$5:$C$44,MATCH(B1018,Harytlar!$A$5:$A$44,0)),""))</f>
        <v/>
      </c>
      <c r="F1018" s="10" t="str">
        <f t="shared" si="15"/>
        <v/>
      </c>
      <c r="G1018" s="10" t="str">
        <f>IF(OR(C1018="",B1018=""),"",IFERROR(C1018*INDEX(Harytlar!$D$5:$D$44,MATCH(B1018,Harytlar!$A$5:$A$44,0)),""))</f>
        <v/>
      </c>
    </row>
    <row r="1019" spans="1:7" x14ac:dyDescent="0.3">
      <c r="A1019" s="17"/>
      <c r="B1019" s="18"/>
      <c r="C1019" s="18"/>
      <c r="D1019" s="18"/>
      <c r="E1019" s="10" t="str">
        <f>IF(B1019="","",IFERROR(INDEX(Harytlar!$C$5:$C$44,MATCH(B1019,Harytlar!$A$5:$A$44,0)),""))</f>
        <v/>
      </c>
      <c r="F1019" s="10" t="str">
        <f t="shared" si="15"/>
        <v/>
      </c>
      <c r="G1019" s="10" t="str">
        <f>IF(OR(C1019="",B1019=""),"",IFERROR(C1019*INDEX(Harytlar!$D$5:$D$44,MATCH(B1019,Harytlar!$A$5:$A$44,0)),""))</f>
        <v/>
      </c>
    </row>
    <row r="1020" spans="1:7" x14ac:dyDescent="0.3">
      <c r="A1020" s="17"/>
      <c r="B1020" s="18"/>
      <c r="C1020" s="18"/>
      <c r="D1020" s="18"/>
      <c r="E1020" s="10" t="str">
        <f>IF(B1020="","",IFERROR(INDEX(Harytlar!$C$5:$C$44,MATCH(B1020,Harytlar!$A$5:$A$44,0)),""))</f>
        <v/>
      </c>
      <c r="F1020" s="10" t="str">
        <f t="shared" si="15"/>
        <v/>
      </c>
      <c r="G1020" s="10" t="str">
        <f>IF(OR(C1020="",B1020=""),"",IFERROR(C1020*INDEX(Harytlar!$D$5:$D$44,MATCH(B1020,Harytlar!$A$5:$A$44,0)),""))</f>
        <v/>
      </c>
    </row>
    <row r="1021" spans="1:7" x14ac:dyDescent="0.3">
      <c r="A1021" s="17"/>
      <c r="B1021" s="18"/>
      <c r="C1021" s="18"/>
      <c r="D1021" s="18"/>
      <c r="E1021" s="10" t="str">
        <f>IF(B1021="","",IFERROR(INDEX(Harytlar!$C$5:$C$44,MATCH(B1021,Harytlar!$A$5:$A$44,0)),""))</f>
        <v/>
      </c>
      <c r="F1021" s="10" t="str">
        <f t="shared" si="15"/>
        <v/>
      </c>
      <c r="G1021" s="10" t="str">
        <f>IF(OR(C1021="",B1021=""),"",IFERROR(C1021*INDEX(Harytlar!$D$5:$D$44,MATCH(B1021,Harytlar!$A$5:$A$44,0)),""))</f>
        <v/>
      </c>
    </row>
    <row r="1022" spans="1:7" x14ac:dyDescent="0.3">
      <c r="A1022" s="17"/>
      <c r="B1022" s="18"/>
      <c r="C1022" s="18"/>
      <c r="D1022" s="18"/>
      <c r="E1022" s="10" t="str">
        <f>IF(B1022="","",IFERROR(INDEX(Harytlar!$C$5:$C$44,MATCH(B1022,Harytlar!$A$5:$A$44,0)),""))</f>
        <v/>
      </c>
      <c r="F1022" s="10" t="str">
        <f t="shared" si="15"/>
        <v/>
      </c>
      <c r="G1022" s="10" t="str">
        <f>IF(OR(C1022="",B1022=""),"",IFERROR(C1022*INDEX(Harytlar!$D$5:$D$44,MATCH(B1022,Harytlar!$A$5:$A$44,0)),""))</f>
        <v/>
      </c>
    </row>
    <row r="1023" spans="1:7" x14ac:dyDescent="0.3">
      <c r="A1023" s="17"/>
      <c r="B1023" s="18"/>
      <c r="C1023" s="18"/>
      <c r="D1023" s="18"/>
      <c r="E1023" s="10" t="str">
        <f>IF(B1023="","",IFERROR(INDEX(Harytlar!$C$5:$C$44,MATCH(B1023,Harytlar!$A$5:$A$44,0)),""))</f>
        <v/>
      </c>
      <c r="F1023" s="10" t="str">
        <f t="shared" si="15"/>
        <v/>
      </c>
      <c r="G1023" s="10" t="str">
        <f>IF(OR(C1023="",B1023=""),"",IFERROR(C1023*INDEX(Harytlar!$D$5:$D$44,MATCH(B1023,Harytlar!$A$5:$A$44,0)),""))</f>
        <v/>
      </c>
    </row>
    <row r="1024" spans="1:7" x14ac:dyDescent="0.3">
      <c r="A1024" s="17"/>
      <c r="B1024" s="18"/>
      <c r="C1024" s="18"/>
      <c r="D1024" s="18"/>
      <c r="E1024" s="10" t="str">
        <f>IF(B1024="","",IFERROR(INDEX(Harytlar!$C$5:$C$44,MATCH(B1024,Harytlar!$A$5:$A$44,0)),""))</f>
        <v/>
      </c>
      <c r="F1024" s="10" t="str">
        <f t="shared" si="15"/>
        <v/>
      </c>
      <c r="G1024" s="10" t="str">
        <f>IF(OR(C1024="",B1024=""),"",IFERROR(C1024*INDEX(Harytlar!$D$5:$D$44,MATCH(B1024,Harytlar!$A$5:$A$44,0)),""))</f>
        <v/>
      </c>
    </row>
    <row r="1025" spans="1:7" x14ac:dyDescent="0.3">
      <c r="A1025" s="17"/>
      <c r="B1025" s="18"/>
      <c r="C1025" s="18"/>
      <c r="D1025" s="18"/>
      <c r="E1025" s="10" t="str">
        <f>IF(B1025="","",IFERROR(INDEX(Harytlar!$C$5:$C$44,MATCH(B1025,Harytlar!$A$5:$A$44,0)),""))</f>
        <v/>
      </c>
      <c r="F1025" s="10" t="str">
        <f t="shared" si="15"/>
        <v/>
      </c>
      <c r="G1025" s="10" t="str">
        <f>IF(OR(C1025="",B1025=""),"",IFERROR(C1025*INDEX(Harytlar!$D$5:$D$44,MATCH(B1025,Harytlar!$A$5:$A$44,0)),""))</f>
        <v/>
      </c>
    </row>
    <row r="1026" spans="1:7" x14ac:dyDescent="0.3">
      <c r="A1026" s="17"/>
      <c r="B1026" s="18"/>
      <c r="C1026" s="18"/>
      <c r="D1026" s="18"/>
      <c r="E1026" s="10" t="str">
        <f>IF(B1026="","",IFERROR(INDEX(Harytlar!$C$5:$C$44,MATCH(B1026,Harytlar!$A$5:$A$44,0)),""))</f>
        <v/>
      </c>
      <c r="F1026" s="10" t="str">
        <f t="shared" si="15"/>
        <v/>
      </c>
      <c r="G1026" s="10" t="str">
        <f>IF(OR(C1026="",B1026=""),"",IFERROR(C1026*INDEX(Harytlar!$D$5:$D$44,MATCH(B1026,Harytlar!$A$5:$A$44,0)),""))</f>
        <v/>
      </c>
    </row>
    <row r="1027" spans="1:7" x14ac:dyDescent="0.3">
      <c r="A1027" s="17"/>
      <c r="B1027" s="18"/>
      <c r="C1027" s="18"/>
      <c r="D1027" s="18"/>
      <c r="E1027" s="10" t="str">
        <f>IF(B1027="","",IFERROR(INDEX(Harytlar!$C$5:$C$44,MATCH(B1027,Harytlar!$A$5:$A$44,0)),""))</f>
        <v/>
      </c>
      <c r="F1027" s="10" t="str">
        <f t="shared" si="15"/>
        <v/>
      </c>
      <c r="G1027" s="10" t="str">
        <f>IF(OR(C1027="",B1027=""),"",IFERROR(C1027*INDEX(Harytlar!$D$5:$D$44,MATCH(B1027,Harytlar!$A$5:$A$44,0)),""))</f>
        <v/>
      </c>
    </row>
    <row r="1028" spans="1:7" x14ac:dyDescent="0.3">
      <c r="A1028" s="17"/>
      <c r="B1028" s="18"/>
      <c r="C1028" s="18"/>
      <c r="D1028" s="18"/>
      <c r="E1028" s="10" t="str">
        <f>IF(B1028="","",IFERROR(INDEX(Harytlar!$C$5:$C$44,MATCH(B1028,Harytlar!$A$5:$A$44,0)),""))</f>
        <v/>
      </c>
      <c r="F1028" s="10" t="str">
        <f t="shared" si="15"/>
        <v/>
      </c>
      <c r="G1028" s="10" t="str">
        <f>IF(OR(C1028="",B1028=""),"",IFERROR(C1028*INDEX(Harytlar!$D$5:$D$44,MATCH(B1028,Harytlar!$A$5:$A$44,0)),""))</f>
        <v/>
      </c>
    </row>
    <row r="1029" spans="1:7" x14ac:dyDescent="0.3">
      <c r="A1029" s="17"/>
      <c r="B1029" s="18"/>
      <c r="C1029" s="18"/>
      <c r="D1029" s="18"/>
      <c r="E1029" s="10" t="str">
        <f>IF(B1029="","",IFERROR(INDEX(Harytlar!$C$5:$C$44,MATCH(B1029,Harytlar!$A$5:$A$44,0)),""))</f>
        <v/>
      </c>
      <c r="F1029" s="10" t="str">
        <f t="shared" si="15"/>
        <v/>
      </c>
      <c r="G1029" s="10" t="str">
        <f>IF(OR(C1029="",B1029=""),"",IFERROR(C1029*INDEX(Harytlar!$D$5:$D$44,MATCH(B1029,Harytlar!$A$5:$A$44,0)),""))</f>
        <v/>
      </c>
    </row>
    <row r="1030" spans="1:7" x14ac:dyDescent="0.3">
      <c r="A1030" s="17"/>
      <c r="B1030" s="18"/>
      <c r="C1030" s="18"/>
      <c r="D1030" s="18"/>
      <c r="E1030" s="10" t="str">
        <f>IF(B1030="","",IFERROR(INDEX(Harytlar!$C$5:$C$44,MATCH(B1030,Harytlar!$A$5:$A$44,0)),""))</f>
        <v/>
      </c>
      <c r="F1030" s="10" t="str">
        <f t="shared" ref="F1030:F1093" si="16">IF(OR(C1030="",E1030=""),"",C1030*E1030)</f>
        <v/>
      </c>
      <c r="G1030" s="10" t="str">
        <f>IF(OR(C1030="",B1030=""),"",IFERROR(C1030*INDEX(Harytlar!$D$5:$D$44,MATCH(B1030,Harytlar!$A$5:$A$44,0)),""))</f>
        <v/>
      </c>
    </row>
    <row r="1031" spans="1:7" x14ac:dyDescent="0.3">
      <c r="A1031" s="17"/>
      <c r="B1031" s="18"/>
      <c r="C1031" s="18"/>
      <c r="D1031" s="18"/>
      <c r="E1031" s="10" t="str">
        <f>IF(B1031="","",IFERROR(INDEX(Harytlar!$C$5:$C$44,MATCH(B1031,Harytlar!$A$5:$A$44,0)),""))</f>
        <v/>
      </c>
      <c r="F1031" s="10" t="str">
        <f t="shared" si="16"/>
        <v/>
      </c>
      <c r="G1031" s="10" t="str">
        <f>IF(OR(C1031="",B1031=""),"",IFERROR(C1031*INDEX(Harytlar!$D$5:$D$44,MATCH(B1031,Harytlar!$A$5:$A$44,0)),""))</f>
        <v/>
      </c>
    </row>
    <row r="1032" spans="1:7" x14ac:dyDescent="0.3">
      <c r="A1032" s="17"/>
      <c r="B1032" s="18"/>
      <c r="C1032" s="18"/>
      <c r="D1032" s="18"/>
      <c r="E1032" s="10" t="str">
        <f>IF(B1032="","",IFERROR(INDEX(Harytlar!$C$5:$C$44,MATCH(B1032,Harytlar!$A$5:$A$44,0)),""))</f>
        <v/>
      </c>
      <c r="F1032" s="10" t="str">
        <f t="shared" si="16"/>
        <v/>
      </c>
      <c r="G1032" s="10" t="str">
        <f>IF(OR(C1032="",B1032=""),"",IFERROR(C1032*INDEX(Harytlar!$D$5:$D$44,MATCH(B1032,Harytlar!$A$5:$A$44,0)),""))</f>
        <v/>
      </c>
    </row>
    <row r="1033" spans="1:7" x14ac:dyDescent="0.3">
      <c r="A1033" s="17"/>
      <c r="B1033" s="18"/>
      <c r="C1033" s="18"/>
      <c r="D1033" s="18"/>
      <c r="E1033" s="10" t="str">
        <f>IF(B1033="","",IFERROR(INDEX(Harytlar!$C$5:$C$44,MATCH(B1033,Harytlar!$A$5:$A$44,0)),""))</f>
        <v/>
      </c>
      <c r="F1033" s="10" t="str">
        <f t="shared" si="16"/>
        <v/>
      </c>
      <c r="G1033" s="10" t="str">
        <f>IF(OR(C1033="",B1033=""),"",IFERROR(C1033*INDEX(Harytlar!$D$5:$D$44,MATCH(B1033,Harytlar!$A$5:$A$44,0)),""))</f>
        <v/>
      </c>
    </row>
    <row r="1034" spans="1:7" x14ac:dyDescent="0.3">
      <c r="A1034" s="17"/>
      <c r="B1034" s="18"/>
      <c r="C1034" s="18"/>
      <c r="D1034" s="18"/>
      <c r="E1034" s="10" t="str">
        <f>IF(B1034="","",IFERROR(INDEX(Harytlar!$C$5:$C$44,MATCH(B1034,Harytlar!$A$5:$A$44,0)),""))</f>
        <v/>
      </c>
      <c r="F1034" s="10" t="str">
        <f t="shared" si="16"/>
        <v/>
      </c>
      <c r="G1034" s="10" t="str">
        <f>IF(OR(C1034="",B1034=""),"",IFERROR(C1034*INDEX(Harytlar!$D$5:$D$44,MATCH(B1034,Harytlar!$A$5:$A$44,0)),""))</f>
        <v/>
      </c>
    </row>
    <row r="1035" spans="1:7" x14ac:dyDescent="0.3">
      <c r="A1035" s="17"/>
      <c r="B1035" s="18"/>
      <c r="C1035" s="18"/>
      <c r="D1035" s="18"/>
      <c r="E1035" s="10" t="str">
        <f>IF(B1035="","",IFERROR(INDEX(Harytlar!$C$5:$C$44,MATCH(B1035,Harytlar!$A$5:$A$44,0)),""))</f>
        <v/>
      </c>
      <c r="F1035" s="10" t="str">
        <f t="shared" si="16"/>
        <v/>
      </c>
      <c r="G1035" s="10" t="str">
        <f>IF(OR(C1035="",B1035=""),"",IFERROR(C1035*INDEX(Harytlar!$D$5:$D$44,MATCH(B1035,Harytlar!$A$5:$A$44,0)),""))</f>
        <v/>
      </c>
    </row>
    <row r="1036" spans="1:7" x14ac:dyDescent="0.3">
      <c r="A1036" s="17"/>
      <c r="B1036" s="18"/>
      <c r="C1036" s="18"/>
      <c r="D1036" s="18"/>
      <c r="E1036" s="10" t="str">
        <f>IF(B1036="","",IFERROR(INDEX(Harytlar!$C$5:$C$44,MATCH(B1036,Harytlar!$A$5:$A$44,0)),""))</f>
        <v/>
      </c>
      <c r="F1036" s="10" t="str">
        <f t="shared" si="16"/>
        <v/>
      </c>
      <c r="G1036" s="10" t="str">
        <f>IF(OR(C1036="",B1036=""),"",IFERROR(C1036*INDEX(Harytlar!$D$5:$D$44,MATCH(B1036,Harytlar!$A$5:$A$44,0)),""))</f>
        <v/>
      </c>
    </row>
    <row r="1037" spans="1:7" x14ac:dyDescent="0.3">
      <c r="A1037" s="17"/>
      <c r="B1037" s="18"/>
      <c r="C1037" s="18"/>
      <c r="D1037" s="18"/>
      <c r="E1037" s="10" t="str">
        <f>IF(B1037="","",IFERROR(INDEX(Harytlar!$C$5:$C$44,MATCH(B1037,Harytlar!$A$5:$A$44,0)),""))</f>
        <v/>
      </c>
      <c r="F1037" s="10" t="str">
        <f t="shared" si="16"/>
        <v/>
      </c>
      <c r="G1037" s="10" t="str">
        <f>IF(OR(C1037="",B1037=""),"",IFERROR(C1037*INDEX(Harytlar!$D$5:$D$44,MATCH(B1037,Harytlar!$A$5:$A$44,0)),""))</f>
        <v/>
      </c>
    </row>
    <row r="1038" spans="1:7" x14ac:dyDescent="0.3">
      <c r="A1038" s="17"/>
      <c r="B1038" s="18"/>
      <c r="C1038" s="18"/>
      <c r="D1038" s="18"/>
      <c r="E1038" s="10" t="str">
        <f>IF(B1038="","",IFERROR(INDEX(Harytlar!$C$5:$C$44,MATCH(B1038,Harytlar!$A$5:$A$44,0)),""))</f>
        <v/>
      </c>
      <c r="F1038" s="10" t="str">
        <f t="shared" si="16"/>
        <v/>
      </c>
      <c r="G1038" s="10" t="str">
        <f>IF(OR(C1038="",B1038=""),"",IFERROR(C1038*INDEX(Harytlar!$D$5:$D$44,MATCH(B1038,Harytlar!$A$5:$A$44,0)),""))</f>
        <v/>
      </c>
    </row>
    <row r="1039" spans="1:7" x14ac:dyDescent="0.3">
      <c r="A1039" s="17"/>
      <c r="B1039" s="18"/>
      <c r="C1039" s="18"/>
      <c r="D1039" s="18"/>
      <c r="E1039" s="10" t="str">
        <f>IF(B1039="","",IFERROR(INDEX(Harytlar!$C$5:$C$44,MATCH(B1039,Harytlar!$A$5:$A$44,0)),""))</f>
        <v/>
      </c>
      <c r="F1039" s="10" t="str">
        <f t="shared" si="16"/>
        <v/>
      </c>
      <c r="G1039" s="10" t="str">
        <f>IF(OR(C1039="",B1039=""),"",IFERROR(C1039*INDEX(Harytlar!$D$5:$D$44,MATCH(B1039,Harytlar!$A$5:$A$44,0)),""))</f>
        <v/>
      </c>
    </row>
    <row r="1040" spans="1:7" x14ac:dyDescent="0.3">
      <c r="A1040" s="17"/>
      <c r="B1040" s="18"/>
      <c r="C1040" s="18"/>
      <c r="D1040" s="18"/>
      <c r="E1040" s="10" t="str">
        <f>IF(B1040="","",IFERROR(INDEX(Harytlar!$C$5:$C$44,MATCH(B1040,Harytlar!$A$5:$A$44,0)),""))</f>
        <v/>
      </c>
      <c r="F1040" s="10" t="str">
        <f t="shared" si="16"/>
        <v/>
      </c>
      <c r="G1040" s="10" t="str">
        <f>IF(OR(C1040="",B1040=""),"",IFERROR(C1040*INDEX(Harytlar!$D$5:$D$44,MATCH(B1040,Harytlar!$A$5:$A$44,0)),""))</f>
        <v/>
      </c>
    </row>
    <row r="1041" spans="1:7" x14ac:dyDescent="0.3">
      <c r="A1041" s="17"/>
      <c r="B1041" s="18"/>
      <c r="C1041" s="18"/>
      <c r="D1041" s="18"/>
      <c r="E1041" s="10" t="str">
        <f>IF(B1041="","",IFERROR(INDEX(Harytlar!$C$5:$C$44,MATCH(B1041,Harytlar!$A$5:$A$44,0)),""))</f>
        <v/>
      </c>
      <c r="F1041" s="10" t="str">
        <f t="shared" si="16"/>
        <v/>
      </c>
      <c r="G1041" s="10" t="str">
        <f>IF(OR(C1041="",B1041=""),"",IFERROR(C1041*INDEX(Harytlar!$D$5:$D$44,MATCH(B1041,Harytlar!$A$5:$A$44,0)),""))</f>
        <v/>
      </c>
    </row>
    <row r="1042" spans="1:7" x14ac:dyDescent="0.3">
      <c r="A1042" s="17"/>
      <c r="B1042" s="18"/>
      <c r="C1042" s="18"/>
      <c r="D1042" s="18"/>
      <c r="E1042" s="10" t="str">
        <f>IF(B1042="","",IFERROR(INDEX(Harytlar!$C$5:$C$44,MATCH(B1042,Harytlar!$A$5:$A$44,0)),""))</f>
        <v/>
      </c>
      <c r="F1042" s="10" t="str">
        <f t="shared" si="16"/>
        <v/>
      </c>
      <c r="G1042" s="10" t="str">
        <f>IF(OR(C1042="",B1042=""),"",IFERROR(C1042*INDEX(Harytlar!$D$5:$D$44,MATCH(B1042,Harytlar!$A$5:$A$44,0)),""))</f>
        <v/>
      </c>
    </row>
    <row r="1043" spans="1:7" x14ac:dyDescent="0.3">
      <c r="A1043" s="17"/>
      <c r="B1043" s="18"/>
      <c r="C1043" s="18"/>
      <c r="D1043" s="18"/>
      <c r="E1043" s="10" t="str">
        <f>IF(B1043="","",IFERROR(INDEX(Harytlar!$C$5:$C$44,MATCH(B1043,Harytlar!$A$5:$A$44,0)),""))</f>
        <v/>
      </c>
      <c r="F1043" s="10" t="str">
        <f t="shared" si="16"/>
        <v/>
      </c>
      <c r="G1043" s="10" t="str">
        <f>IF(OR(C1043="",B1043=""),"",IFERROR(C1043*INDEX(Harytlar!$D$5:$D$44,MATCH(B1043,Harytlar!$A$5:$A$44,0)),""))</f>
        <v/>
      </c>
    </row>
    <row r="1044" spans="1:7" x14ac:dyDescent="0.3">
      <c r="A1044" s="17"/>
      <c r="B1044" s="18"/>
      <c r="C1044" s="18"/>
      <c r="D1044" s="18"/>
      <c r="E1044" s="10" t="str">
        <f>IF(B1044="","",IFERROR(INDEX(Harytlar!$C$5:$C$44,MATCH(B1044,Harytlar!$A$5:$A$44,0)),""))</f>
        <v/>
      </c>
      <c r="F1044" s="10" t="str">
        <f t="shared" si="16"/>
        <v/>
      </c>
      <c r="G1044" s="10" t="str">
        <f>IF(OR(C1044="",B1044=""),"",IFERROR(C1044*INDEX(Harytlar!$D$5:$D$44,MATCH(B1044,Harytlar!$A$5:$A$44,0)),""))</f>
        <v/>
      </c>
    </row>
    <row r="1045" spans="1:7" x14ac:dyDescent="0.3">
      <c r="A1045" s="17"/>
      <c r="B1045" s="18"/>
      <c r="C1045" s="18"/>
      <c r="D1045" s="18"/>
      <c r="E1045" s="10" t="str">
        <f>IF(B1045="","",IFERROR(INDEX(Harytlar!$C$5:$C$44,MATCH(B1045,Harytlar!$A$5:$A$44,0)),""))</f>
        <v/>
      </c>
      <c r="F1045" s="10" t="str">
        <f t="shared" si="16"/>
        <v/>
      </c>
      <c r="G1045" s="10" t="str">
        <f>IF(OR(C1045="",B1045=""),"",IFERROR(C1045*INDEX(Harytlar!$D$5:$D$44,MATCH(B1045,Harytlar!$A$5:$A$44,0)),""))</f>
        <v/>
      </c>
    </row>
    <row r="1046" spans="1:7" x14ac:dyDescent="0.3">
      <c r="A1046" s="17"/>
      <c r="B1046" s="18"/>
      <c r="C1046" s="18"/>
      <c r="D1046" s="18"/>
      <c r="E1046" s="10" t="str">
        <f>IF(B1046="","",IFERROR(INDEX(Harytlar!$C$5:$C$44,MATCH(B1046,Harytlar!$A$5:$A$44,0)),""))</f>
        <v/>
      </c>
      <c r="F1046" s="10" t="str">
        <f t="shared" si="16"/>
        <v/>
      </c>
      <c r="G1046" s="10" t="str">
        <f>IF(OR(C1046="",B1046=""),"",IFERROR(C1046*INDEX(Harytlar!$D$5:$D$44,MATCH(B1046,Harytlar!$A$5:$A$44,0)),""))</f>
        <v/>
      </c>
    </row>
    <row r="1047" spans="1:7" x14ac:dyDescent="0.3">
      <c r="A1047" s="17"/>
      <c r="B1047" s="18"/>
      <c r="C1047" s="18"/>
      <c r="D1047" s="18"/>
      <c r="E1047" s="10" t="str">
        <f>IF(B1047="","",IFERROR(INDEX(Harytlar!$C$5:$C$44,MATCH(B1047,Harytlar!$A$5:$A$44,0)),""))</f>
        <v/>
      </c>
      <c r="F1047" s="10" t="str">
        <f t="shared" si="16"/>
        <v/>
      </c>
      <c r="G1047" s="10" t="str">
        <f>IF(OR(C1047="",B1047=""),"",IFERROR(C1047*INDEX(Harytlar!$D$5:$D$44,MATCH(B1047,Harytlar!$A$5:$A$44,0)),""))</f>
        <v/>
      </c>
    </row>
    <row r="1048" spans="1:7" x14ac:dyDescent="0.3">
      <c r="A1048" s="17"/>
      <c r="B1048" s="18"/>
      <c r="C1048" s="18"/>
      <c r="D1048" s="18"/>
      <c r="E1048" s="10" t="str">
        <f>IF(B1048="","",IFERROR(INDEX(Harytlar!$C$5:$C$44,MATCH(B1048,Harytlar!$A$5:$A$44,0)),""))</f>
        <v/>
      </c>
      <c r="F1048" s="10" t="str">
        <f t="shared" si="16"/>
        <v/>
      </c>
      <c r="G1048" s="10" t="str">
        <f>IF(OR(C1048="",B1048=""),"",IFERROR(C1048*INDEX(Harytlar!$D$5:$D$44,MATCH(B1048,Harytlar!$A$5:$A$44,0)),""))</f>
        <v/>
      </c>
    </row>
    <row r="1049" spans="1:7" x14ac:dyDescent="0.3">
      <c r="A1049" s="17"/>
      <c r="B1049" s="18"/>
      <c r="C1049" s="18"/>
      <c r="D1049" s="18"/>
      <c r="E1049" s="10" t="str">
        <f>IF(B1049="","",IFERROR(INDEX(Harytlar!$C$5:$C$44,MATCH(B1049,Harytlar!$A$5:$A$44,0)),""))</f>
        <v/>
      </c>
      <c r="F1049" s="10" t="str">
        <f t="shared" si="16"/>
        <v/>
      </c>
      <c r="G1049" s="10" t="str">
        <f>IF(OR(C1049="",B1049=""),"",IFERROR(C1049*INDEX(Harytlar!$D$5:$D$44,MATCH(B1049,Harytlar!$A$5:$A$44,0)),""))</f>
        <v/>
      </c>
    </row>
    <row r="1050" spans="1:7" x14ac:dyDescent="0.3">
      <c r="A1050" s="17"/>
      <c r="B1050" s="18"/>
      <c r="C1050" s="18"/>
      <c r="D1050" s="18"/>
      <c r="E1050" s="10" t="str">
        <f>IF(B1050="","",IFERROR(INDEX(Harytlar!$C$5:$C$44,MATCH(B1050,Harytlar!$A$5:$A$44,0)),""))</f>
        <v/>
      </c>
      <c r="F1050" s="10" t="str">
        <f t="shared" si="16"/>
        <v/>
      </c>
      <c r="G1050" s="10" t="str">
        <f>IF(OR(C1050="",B1050=""),"",IFERROR(C1050*INDEX(Harytlar!$D$5:$D$44,MATCH(B1050,Harytlar!$A$5:$A$44,0)),""))</f>
        <v/>
      </c>
    </row>
    <row r="1051" spans="1:7" x14ac:dyDescent="0.3">
      <c r="A1051" s="17"/>
      <c r="B1051" s="18"/>
      <c r="C1051" s="18"/>
      <c r="D1051" s="18"/>
      <c r="E1051" s="10" t="str">
        <f>IF(B1051="","",IFERROR(INDEX(Harytlar!$C$5:$C$44,MATCH(B1051,Harytlar!$A$5:$A$44,0)),""))</f>
        <v/>
      </c>
      <c r="F1051" s="10" t="str">
        <f t="shared" si="16"/>
        <v/>
      </c>
      <c r="G1051" s="10" t="str">
        <f>IF(OR(C1051="",B1051=""),"",IFERROR(C1051*INDEX(Harytlar!$D$5:$D$44,MATCH(B1051,Harytlar!$A$5:$A$44,0)),""))</f>
        <v/>
      </c>
    </row>
    <row r="1052" spans="1:7" x14ac:dyDescent="0.3">
      <c r="A1052" s="17"/>
      <c r="B1052" s="18"/>
      <c r="C1052" s="18"/>
      <c r="D1052" s="18"/>
      <c r="E1052" s="10" t="str">
        <f>IF(B1052="","",IFERROR(INDEX(Harytlar!$C$5:$C$44,MATCH(B1052,Harytlar!$A$5:$A$44,0)),""))</f>
        <v/>
      </c>
      <c r="F1052" s="10" t="str">
        <f t="shared" si="16"/>
        <v/>
      </c>
      <c r="G1052" s="10" t="str">
        <f>IF(OR(C1052="",B1052=""),"",IFERROR(C1052*INDEX(Harytlar!$D$5:$D$44,MATCH(B1052,Harytlar!$A$5:$A$44,0)),""))</f>
        <v/>
      </c>
    </row>
    <row r="1053" spans="1:7" x14ac:dyDescent="0.3">
      <c r="A1053" s="17"/>
      <c r="B1053" s="18"/>
      <c r="C1053" s="18"/>
      <c r="D1053" s="18"/>
      <c r="E1053" s="10" t="str">
        <f>IF(B1053="","",IFERROR(INDEX(Harytlar!$C$5:$C$44,MATCH(B1053,Harytlar!$A$5:$A$44,0)),""))</f>
        <v/>
      </c>
      <c r="F1053" s="10" t="str">
        <f t="shared" si="16"/>
        <v/>
      </c>
      <c r="G1053" s="10" t="str">
        <f>IF(OR(C1053="",B1053=""),"",IFERROR(C1053*INDEX(Harytlar!$D$5:$D$44,MATCH(B1053,Harytlar!$A$5:$A$44,0)),""))</f>
        <v/>
      </c>
    </row>
    <row r="1054" spans="1:7" x14ac:dyDescent="0.3">
      <c r="A1054" s="17"/>
      <c r="B1054" s="18"/>
      <c r="C1054" s="18"/>
      <c r="D1054" s="18"/>
      <c r="E1054" s="10" t="str">
        <f>IF(B1054="","",IFERROR(INDEX(Harytlar!$C$5:$C$44,MATCH(B1054,Harytlar!$A$5:$A$44,0)),""))</f>
        <v/>
      </c>
      <c r="F1054" s="10" t="str">
        <f t="shared" si="16"/>
        <v/>
      </c>
      <c r="G1054" s="10" t="str">
        <f>IF(OR(C1054="",B1054=""),"",IFERROR(C1054*INDEX(Harytlar!$D$5:$D$44,MATCH(B1054,Harytlar!$A$5:$A$44,0)),""))</f>
        <v/>
      </c>
    </row>
    <row r="1055" spans="1:7" x14ac:dyDescent="0.3">
      <c r="A1055" s="17"/>
      <c r="B1055" s="18"/>
      <c r="C1055" s="18"/>
      <c r="D1055" s="18"/>
      <c r="E1055" s="10" t="str">
        <f>IF(B1055="","",IFERROR(INDEX(Harytlar!$C$5:$C$44,MATCH(B1055,Harytlar!$A$5:$A$44,0)),""))</f>
        <v/>
      </c>
      <c r="F1055" s="10" t="str">
        <f t="shared" si="16"/>
        <v/>
      </c>
      <c r="G1055" s="10" t="str">
        <f>IF(OR(C1055="",B1055=""),"",IFERROR(C1055*INDEX(Harytlar!$D$5:$D$44,MATCH(B1055,Harytlar!$A$5:$A$44,0)),""))</f>
        <v/>
      </c>
    </row>
    <row r="1056" spans="1:7" x14ac:dyDescent="0.3">
      <c r="A1056" s="17"/>
      <c r="B1056" s="18"/>
      <c r="C1056" s="18"/>
      <c r="D1056" s="18"/>
      <c r="E1056" s="10" t="str">
        <f>IF(B1056="","",IFERROR(INDEX(Harytlar!$C$5:$C$44,MATCH(B1056,Harytlar!$A$5:$A$44,0)),""))</f>
        <v/>
      </c>
      <c r="F1056" s="10" t="str">
        <f t="shared" si="16"/>
        <v/>
      </c>
      <c r="G1056" s="10" t="str">
        <f>IF(OR(C1056="",B1056=""),"",IFERROR(C1056*INDEX(Harytlar!$D$5:$D$44,MATCH(B1056,Harytlar!$A$5:$A$44,0)),""))</f>
        <v/>
      </c>
    </row>
    <row r="1057" spans="1:7" x14ac:dyDescent="0.3">
      <c r="A1057" s="17"/>
      <c r="B1057" s="18"/>
      <c r="C1057" s="18"/>
      <c r="D1057" s="18"/>
      <c r="E1057" s="10" t="str">
        <f>IF(B1057="","",IFERROR(INDEX(Harytlar!$C$5:$C$44,MATCH(B1057,Harytlar!$A$5:$A$44,0)),""))</f>
        <v/>
      </c>
      <c r="F1057" s="10" t="str">
        <f t="shared" si="16"/>
        <v/>
      </c>
      <c r="G1057" s="10" t="str">
        <f>IF(OR(C1057="",B1057=""),"",IFERROR(C1057*INDEX(Harytlar!$D$5:$D$44,MATCH(B1057,Harytlar!$A$5:$A$44,0)),""))</f>
        <v/>
      </c>
    </row>
    <row r="1058" spans="1:7" x14ac:dyDescent="0.3">
      <c r="A1058" s="17"/>
      <c r="B1058" s="18"/>
      <c r="C1058" s="18"/>
      <c r="D1058" s="18"/>
      <c r="E1058" s="10" t="str">
        <f>IF(B1058="","",IFERROR(INDEX(Harytlar!$C$5:$C$44,MATCH(B1058,Harytlar!$A$5:$A$44,0)),""))</f>
        <v/>
      </c>
      <c r="F1058" s="10" t="str">
        <f t="shared" si="16"/>
        <v/>
      </c>
      <c r="G1058" s="10" t="str">
        <f>IF(OR(C1058="",B1058=""),"",IFERROR(C1058*INDEX(Harytlar!$D$5:$D$44,MATCH(B1058,Harytlar!$A$5:$A$44,0)),""))</f>
        <v/>
      </c>
    </row>
    <row r="1059" spans="1:7" x14ac:dyDescent="0.3">
      <c r="A1059" s="17"/>
      <c r="B1059" s="18"/>
      <c r="C1059" s="18"/>
      <c r="D1059" s="18"/>
      <c r="E1059" s="10" t="str">
        <f>IF(B1059="","",IFERROR(INDEX(Harytlar!$C$5:$C$44,MATCH(B1059,Harytlar!$A$5:$A$44,0)),""))</f>
        <v/>
      </c>
      <c r="F1059" s="10" t="str">
        <f t="shared" si="16"/>
        <v/>
      </c>
      <c r="G1059" s="10" t="str">
        <f>IF(OR(C1059="",B1059=""),"",IFERROR(C1059*INDEX(Harytlar!$D$5:$D$44,MATCH(B1059,Harytlar!$A$5:$A$44,0)),""))</f>
        <v/>
      </c>
    </row>
    <row r="1060" spans="1:7" x14ac:dyDescent="0.3">
      <c r="A1060" s="17"/>
      <c r="B1060" s="18"/>
      <c r="C1060" s="18"/>
      <c r="D1060" s="18"/>
      <c r="E1060" s="10" t="str">
        <f>IF(B1060="","",IFERROR(INDEX(Harytlar!$C$5:$C$44,MATCH(B1060,Harytlar!$A$5:$A$44,0)),""))</f>
        <v/>
      </c>
      <c r="F1060" s="10" t="str">
        <f t="shared" si="16"/>
        <v/>
      </c>
      <c r="G1060" s="10" t="str">
        <f>IF(OR(C1060="",B1060=""),"",IFERROR(C1060*INDEX(Harytlar!$D$5:$D$44,MATCH(B1060,Harytlar!$A$5:$A$44,0)),""))</f>
        <v/>
      </c>
    </row>
    <row r="1061" spans="1:7" x14ac:dyDescent="0.3">
      <c r="A1061" s="17"/>
      <c r="B1061" s="18"/>
      <c r="C1061" s="18"/>
      <c r="D1061" s="18"/>
      <c r="E1061" s="10" t="str">
        <f>IF(B1061="","",IFERROR(INDEX(Harytlar!$C$5:$C$44,MATCH(B1061,Harytlar!$A$5:$A$44,0)),""))</f>
        <v/>
      </c>
      <c r="F1061" s="10" t="str">
        <f t="shared" si="16"/>
        <v/>
      </c>
      <c r="G1061" s="10" t="str">
        <f>IF(OR(C1061="",B1061=""),"",IFERROR(C1061*INDEX(Harytlar!$D$5:$D$44,MATCH(B1061,Harytlar!$A$5:$A$44,0)),""))</f>
        <v/>
      </c>
    </row>
    <row r="1062" spans="1:7" x14ac:dyDescent="0.3">
      <c r="A1062" s="17"/>
      <c r="B1062" s="18"/>
      <c r="C1062" s="18"/>
      <c r="D1062" s="18"/>
      <c r="E1062" s="10" t="str">
        <f>IF(B1062="","",IFERROR(INDEX(Harytlar!$C$5:$C$44,MATCH(B1062,Harytlar!$A$5:$A$44,0)),""))</f>
        <v/>
      </c>
      <c r="F1062" s="10" t="str">
        <f t="shared" si="16"/>
        <v/>
      </c>
      <c r="G1062" s="10" t="str">
        <f>IF(OR(C1062="",B1062=""),"",IFERROR(C1062*INDEX(Harytlar!$D$5:$D$44,MATCH(B1062,Harytlar!$A$5:$A$44,0)),""))</f>
        <v/>
      </c>
    </row>
    <row r="1063" spans="1:7" x14ac:dyDescent="0.3">
      <c r="A1063" s="17"/>
      <c r="B1063" s="18"/>
      <c r="C1063" s="18"/>
      <c r="D1063" s="18"/>
      <c r="E1063" s="10" t="str">
        <f>IF(B1063="","",IFERROR(INDEX(Harytlar!$C$5:$C$44,MATCH(B1063,Harytlar!$A$5:$A$44,0)),""))</f>
        <v/>
      </c>
      <c r="F1063" s="10" t="str">
        <f t="shared" si="16"/>
        <v/>
      </c>
      <c r="G1063" s="10" t="str">
        <f>IF(OR(C1063="",B1063=""),"",IFERROR(C1063*INDEX(Harytlar!$D$5:$D$44,MATCH(B1063,Harytlar!$A$5:$A$44,0)),""))</f>
        <v/>
      </c>
    </row>
    <row r="1064" spans="1:7" x14ac:dyDescent="0.3">
      <c r="A1064" s="17"/>
      <c r="B1064" s="18"/>
      <c r="C1064" s="18"/>
      <c r="D1064" s="18"/>
      <c r="E1064" s="10" t="str">
        <f>IF(B1064="","",IFERROR(INDEX(Harytlar!$C$5:$C$44,MATCH(B1064,Harytlar!$A$5:$A$44,0)),""))</f>
        <v/>
      </c>
      <c r="F1064" s="10" t="str">
        <f t="shared" si="16"/>
        <v/>
      </c>
      <c r="G1064" s="10" t="str">
        <f>IF(OR(C1064="",B1064=""),"",IFERROR(C1064*INDEX(Harytlar!$D$5:$D$44,MATCH(B1064,Harytlar!$A$5:$A$44,0)),""))</f>
        <v/>
      </c>
    </row>
    <row r="1065" spans="1:7" x14ac:dyDescent="0.3">
      <c r="A1065" s="17"/>
      <c r="B1065" s="18"/>
      <c r="C1065" s="18"/>
      <c r="D1065" s="18"/>
      <c r="E1065" s="10" t="str">
        <f>IF(B1065="","",IFERROR(INDEX(Harytlar!$C$5:$C$44,MATCH(B1065,Harytlar!$A$5:$A$44,0)),""))</f>
        <v/>
      </c>
      <c r="F1065" s="10" t="str">
        <f t="shared" si="16"/>
        <v/>
      </c>
      <c r="G1065" s="10" t="str">
        <f>IF(OR(C1065="",B1065=""),"",IFERROR(C1065*INDEX(Harytlar!$D$5:$D$44,MATCH(B1065,Harytlar!$A$5:$A$44,0)),""))</f>
        <v/>
      </c>
    </row>
    <row r="1066" spans="1:7" x14ac:dyDescent="0.3">
      <c r="A1066" s="17"/>
      <c r="B1066" s="18"/>
      <c r="C1066" s="18"/>
      <c r="D1066" s="18"/>
      <c r="E1066" s="10" t="str">
        <f>IF(B1066="","",IFERROR(INDEX(Harytlar!$C$5:$C$44,MATCH(B1066,Harytlar!$A$5:$A$44,0)),""))</f>
        <v/>
      </c>
      <c r="F1066" s="10" t="str">
        <f t="shared" si="16"/>
        <v/>
      </c>
      <c r="G1066" s="10" t="str">
        <f>IF(OR(C1066="",B1066=""),"",IFERROR(C1066*INDEX(Harytlar!$D$5:$D$44,MATCH(B1066,Harytlar!$A$5:$A$44,0)),""))</f>
        <v/>
      </c>
    </row>
    <row r="1067" spans="1:7" x14ac:dyDescent="0.3">
      <c r="A1067" s="17"/>
      <c r="B1067" s="18"/>
      <c r="C1067" s="18"/>
      <c r="D1067" s="18"/>
      <c r="E1067" s="10" t="str">
        <f>IF(B1067="","",IFERROR(INDEX(Harytlar!$C$5:$C$44,MATCH(B1067,Harytlar!$A$5:$A$44,0)),""))</f>
        <v/>
      </c>
      <c r="F1067" s="10" t="str">
        <f t="shared" si="16"/>
        <v/>
      </c>
      <c r="G1067" s="10" t="str">
        <f>IF(OR(C1067="",B1067=""),"",IFERROR(C1067*INDEX(Harytlar!$D$5:$D$44,MATCH(B1067,Harytlar!$A$5:$A$44,0)),""))</f>
        <v/>
      </c>
    </row>
    <row r="1068" spans="1:7" x14ac:dyDescent="0.3">
      <c r="A1068" s="17"/>
      <c r="B1068" s="18"/>
      <c r="C1068" s="18"/>
      <c r="D1068" s="18"/>
      <c r="E1068" s="10" t="str">
        <f>IF(B1068="","",IFERROR(INDEX(Harytlar!$C$5:$C$44,MATCH(B1068,Harytlar!$A$5:$A$44,0)),""))</f>
        <v/>
      </c>
      <c r="F1068" s="10" t="str">
        <f t="shared" si="16"/>
        <v/>
      </c>
      <c r="G1068" s="10" t="str">
        <f>IF(OR(C1068="",B1068=""),"",IFERROR(C1068*INDEX(Harytlar!$D$5:$D$44,MATCH(B1068,Harytlar!$A$5:$A$44,0)),""))</f>
        <v/>
      </c>
    </row>
    <row r="1069" spans="1:7" x14ac:dyDescent="0.3">
      <c r="A1069" s="17"/>
      <c r="B1069" s="18"/>
      <c r="C1069" s="18"/>
      <c r="D1069" s="18"/>
      <c r="E1069" s="10" t="str">
        <f>IF(B1069="","",IFERROR(INDEX(Harytlar!$C$5:$C$44,MATCH(B1069,Harytlar!$A$5:$A$44,0)),""))</f>
        <v/>
      </c>
      <c r="F1069" s="10" t="str">
        <f t="shared" si="16"/>
        <v/>
      </c>
      <c r="G1069" s="10" t="str">
        <f>IF(OR(C1069="",B1069=""),"",IFERROR(C1069*INDEX(Harytlar!$D$5:$D$44,MATCH(B1069,Harytlar!$A$5:$A$44,0)),""))</f>
        <v/>
      </c>
    </row>
    <row r="1070" spans="1:7" x14ac:dyDescent="0.3">
      <c r="A1070" s="17"/>
      <c r="B1070" s="18"/>
      <c r="C1070" s="18"/>
      <c r="D1070" s="18"/>
      <c r="E1070" s="10" t="str">
        <f>IF(B1070="","",IFERROR(INDEX(Harytlar!$C$5:$C$44,MATCH(B1070,Harytlar!$A$5:$A$44,0)),""))</f>
        <v/>
      </c>
      <c r="F1070" s="10" t="str">
        <f t="shared" si="16"/>
        <v/>
      </c>
      <c r="G1070" s="10" t="str">
        <f>IF(OR(C1070="",B1070=""),"",IFERROR(C1070*INDEX(Harytlar!$D$5:$D$44,MATCH(B1070,Harytlar!$A$5:$A$44,0)),""))</f>
        <v/>
      </c>
    </row>
    <row r="1071" spans="1:7" x14ac:dyDescent="0.3">
      <c r="A1071" s="17"/>
      <c r="B1071" s="18"/>
      <c r="C1071" s="18"/>
      <c r="D1071" s="18"/>
      <c r="E1071" s="10" t="str">
        <f>IF(B1071="","",IFERROR(INDEX(Harytlar!$C$5:$C$44,MATCH(B1071,Harytlar!$A$5:$A$44,0)),""))</f>
        <v/>
      </c>
      <c r="F1071" s="10" t="str">
        <f t="shared" si="16"/>
        <v/>
      </c>
      <c r="G1071" s="10" t="str">
        <f>IF(OR(C1071="",B1071=""),"",IFERROR(C1071*INDEX(Harytlar!$D$5:$D$44,MATCH(B1071,Harytlar!$A$5:$A$44,0)),""))</f>
        <v/>
      </c>
    </row>
    <row r="1072" spans="1:7" x14ac:dyDescent="0.3">
      <c r="A1072" s="17"/>
      <c r="B1072" s="18"/>
      <c r="C1072" s="18"/>
      <c r="D1072" s="18"/>
      <c r="E1072" s="10" t="str">
        <f>IF(B1072="","",IFERROR(INDEX(Harytlar!$C$5:$C$44,MATCH(B1072,Harytlar!$A$5:$A$44,0)),""))</f>
        <v/>
      </c>
      <c r="F1072" s="10" t="str">
        <f t="shared" si="16"/>
        <v/>
      </c>
      <c r="G1072" s="10" t="str">
        <f>IF(OR(C1072="",B1072=""),"",IFERROR(C1072*INDEX(Harytlar!$D$5:$D$44,MATCH(B1072,Harytlar!$A$5:$A$44,0)),""))</f>
        <v/>
      </c>
    </row>
    <row r="1073" spans="1:7" x14ac:dyDescent="0.3">
      <c r="A1073" s="17"/>
      <c r="B1073" s="18"/>
      <c r="C1073" s="18"/>
      <c r="D1073" s="18"/>
      <c r="E1073" s="10" t="str">
        <f>IF(B1073="","",IFERROR(INDEX(Harytlar!$C$5:$C$44,MATCH(B1073,Harytlar!$A$5:$A$44,0)),""))</f>
        <v/>
      </c>
      <c r="F1073" s="10" t="str">
        <f t="shared" si="16"/>
        <v/>
      </c>
      <c r="G1073" s="10" t="str">
        <f>IF(OR(C1073="",B1073=""),"",IFERROR(C1073*INDEX(Harytlar!$D$5:$D$44,MATCH(B1073,Harytlar!$A$5:$A$44,0)),""))</f>
        <v/>
      </c>
    </row>
    <row r="1074" spans="1:7" x14ac:dyDescent="0.3">
      <c r="A1074" s="17"/>
      <c r="B1074" s="18"/>
      <c r="C1074" s="18"/>
      <c r="D1074" s="18"/>
      <c r="E1074" s="10" t="str">
        <f>IF(B1074="","",IFERROR(INDEX(Harytlar!$C$5:$C$44,MATCH(B1074,Harytlar!$A$5:$A$44,0)),""))</f>
        <v/>
      </c>
      <c r="F1074" s="10" t="str">
        <f t="shared" si="16"/>
        <v/>
      </c>
      <c r="G1074" s="10" t="str">
        <f>IF(OR(C1074="",B1074=""),"",IFERROR(C1074*INDEX(Harytlar!$D$5:$D$44,MATCH(B1074,Harytlar!$A$5:$A$44,0)),""))</f>
        <v/>
      </c>
    </row>
    <row r="1075" spans="1:7" x14ac:dyDescent="0.3">
      <c r="A1075" s="17"/>
      <c r="B1075" s="18"/>
      <c r="C1075" s="18"/>
      <c r="D1075" s="18"/>
      <c r="E1075" s="10" t="str">
        <f>IF(B1075="","",IFERROR(INDEX(Harytlar!$C$5:$C$44,MATCH(B1075,Harytlar!$A$5:$A$44,0)),""))</f>
        <v/>
      </c>
      <c r="F1075" s="10" t="str">
        <f t="shared" si="16"/>
        <v/>
      </c>
      <c r="G1075" s="10" t="str">
        <f>IF(OR(C1075="",B1075=""),"",IFERROR(C1075*INDEX(Harytlar!$D$5:$D$44,MATCH(B1075,Harytlar!$A$5:$A$44,0)),""))</f>
        <v/>
      </c>
    </row>
    <row r="1076" spans="1:7" x14ac:dyDescent="0.3">
      <c r="A1076" s="17"/>
      <c r="B1076" s="18"/>
      <c r="C1076" s="18"/>
      <c r="D1076" s="18"/>
      <c r="E1076" s="10" t="str">
        <f>IF(B1076="","",IFERROR(INDEX(Harytlar!$C$5:$C$44,MATCH(B1076,Harytlar!$A$5:$A$44,0)),""))</f>
        <v/>
      </c>
      <c r="F1076" s="10" t="str">
        <f t="shared" si="16"/>
        <v/>
      </c>
      <c r="G1076" s="10" t="str">
        <f>IF(OR(C1076="",B1076=""),"",IFERROR(C1076*INDEX(Harytlar!$D$5:$D$44,MATCH(B1076,Harytlar!$A$5:$A$44,0)),""))</f>
        <v/>
      </c>
    </row>
    <row r="1077" spans="1:7" x14ac:dyDescent="0.3">
      <c r="A1077" s="17"/>
      <c r="B1077" s="18"/>
      <c r="C1077" s="18"/>
      <c r="D1077" s="18"/>
      <c r="E1077" s="10" t="str">
        <f>IF(B1077="","",IFERROR(INDEX(Harytlar!$C$5:$C$44,MATCH(B1077,Harytlar!$A$5:$A$44,0)),""))</f>
        <v/>
      </c>
      <c r="F1077" s="10" t="str">
        <f t="shared" si="16"/>
        <v/>
      </c>
      <c r="G1077" s="10" t="str">
        <f>IF(OR(C1077="",B1077=""),"",IFERROR(C1077*INDEX(Harytlar!$D$5:$D$44,MATCH(B1077,Harytlar!$A$5:$A$44,0)),""))</f>
        <v/>
      </c>
    </row>
    <row r="1078" spans="1:7" x14ac:dyDescent="0.3">
      <c r="A1078" s="17"/>
      <c r="B1078" s="18"/>
      <c r="C1078" s="18"/>
      <c r="D1078" s="18"/>
      <c r="E1078" s="10" t="str">
        <f>IF(B1078="","",IFERROR(INDEX(Harytlar!$C$5:$C$44,MATCH(B1078,Harytlar!$A$5:$A$44,0)),""))</f>
        <v/>
      </c>
      <c r="F1078" s="10" t="str">
        <f t="shared" si="16"/>
        <v/>
      </c>
      <c r="G1078" s="10" t="str">
        <f>IF(OR(C1078="",B1078=""),"",IFERROR(C1078*INDEX(Harytlar!$D$5:$D$44,MATCH(B1078,Harytlar!$A$5:$A$44,0)),""))</f>
        <v/>
      </c>
    </row>
    <row r="1079" spans="1:7" x14ac:dyDescent="0.3">
      <c r="A1079" s="17"/>
      <c r="B1079" s="18"/>
      <c r="C1079" s="18"/>
      <c r="D1079" s="18"/>
      <c r="E1079" s="10" t="str">
        <f>IF(B1079="","",IFERROR(INDEX(Harytlar!$C$5:$C$44,MATCH(B1079,Harytlar!$A$5:$A$44,0)),""))</f>
        <v/>
      </c>
      <c r="F1079" s="10" t="str">
        <f t="shared" si="16"/>
        <v/>
      </c>
      <c r="G1079" s="10" t="str">
        <f>IF(OR(C1079="",B1079=""),"",IFERROR(C1079*INDEX(Harytlar!$D$5:$D$44,MATCH(B1079,Harytlar!$A$5:$A$44,0)),""))</f>
        <v/>
      </c>
    </row>
    <row r="1080" spans="1:7" x14ac:dyDescent="0.3">
      <c r="A1080" s="17"/>
      <c r="B1080" s="18"/>
      <c r="C1080" s="18"/>
      <c r="D1080" s="18"/>
      <c r="E1080" s="10" t="str">
        <f>IF(B1080="","",IFERROR(INDEX(Harytlar!$C$5:$C$44,MATCH(B1080,Harytlar!$A$5:$A$44,0)),""))</f>
        <v/>
      </c>
      <c r="F1080" s="10" t="str">
        <f t="shared" si="16"/>
        <v/>
      </c>
      <c r="G1080" s="10" t="str">
        <f>IF(OR(C1080="",B1080=""),"",IFERROR(C1080*INDEX(Harytlar!$D$5:$D$44,MATCH(B1080,Harytlar!$A$5:$A$44,0)),""))</f>
        <v/>
      </c>
    </row>
    <row r="1081" spans="1:7" x14ac:dyDescent="0.3">
      <c r="A1081" s="17"/>
      <c r="B1081" s="18"/>
      <c r="C1081" s="18"/>
      <c r="D1081" s="18"/>
      <c r="E1081" s="10" t="str">
        <f>IF(B1081="","",IFERROR(INDEX(Harytlar!$C$5:$C$44,MATCH(B1081,Harytlar!$A$5:$A$44,0)),""))</f>
        <v/>
      </c>
      <c r="F1081" s="10" t="str">
        <f t="shared" si="16"/>
        <v/>
      </c>
      <c r="G1081" s="10" t="str">
        <f>IF(OR(C1081="",B1081=""),"",IFERROR(C1081*INDEX(Harytlar!$D$5:$D$44,MATCH(B1081,Harytlar!$A$5:$A$44,0)),""))</f>
        <v/>
      </c>
    </row>
    <row r="1082" spans="1:7" x14ac:dyDescent="0.3">
      <c r="A1082" s="17"/>
      <c r="B1082" s="18"/>
      <c r="C1082" s="18"/>
      <c r="D1082" s="18"/>
      <c r="E1082" s="10" t="str">
        <f>IF(B1082="","",IFERROR(INDEX(Harytlar!$C$5:$C$44,MATCH(B1082,Harytlar!$A$5:$A$44,0)),""))</f>
        <v/>
      </c>
      <c r="F1082" s="10" t="str">
        <f t="shared" si="16"/>
        <v/>
      </c>
      <c r="G1082" s="10" t="str">
        <f>IF(OR(C1082="",B1082=""),"",IFERROR(C1082*INDEX(Harytlar!$D$5:$D$44,MATCH(B1082,Harytlar!$A$5:$A$44,0)),""))</f>
        <v/>
      </c>
    </row>
    <row r="1083" spans="1:7" x14ac:dyDescent="0.3">
      <c r="A1083" s="17"/>
      <c r="B1083" s="18"/>
      <c r="C1083" s="18"/>
      <c r="D1083" s="18"/>
      <c r="E1083" s="10" t="str">
        <f>IF(B1083="","",IFERROR(INDEX(Harytlar!$C$5:$C$44,MATCH(B1083,Harytlar!$A$5:$A$44,0)),""))</f>
        <v/>
      </c>
      <c r="F1083" s="10" t="str">
        <f t="shared" si="16"/>
        <v/>
      </c>
      <c r="G1083" s="10" t="str">
        <f>IF(OR(C1083="",B1083=""),"",IFERROR(C1083*INDEX(Harytlar!$D$5:$D$44,MATCH(B1083,Harytlar!$A$5:$A$44,0)),""))</f>
        <v/>
      </c>
    </row>
    <row r="1084" spans="1:7" x14ac:dyDescent="0.3">
      <c r="A1084" s="17"/>
      <c r="B1084" s="18"/>
      <c r="C1084" s="18"/>
      <c r="D1084" s="18"/>
      <c r="E1084" s="10" t="str">
        <f>IF(B1084="","",IFERROR(INDEX(Harytlar!$C$5:$C$44,MATCH(B1084,Harytlar!$A$5:$A$44,0)),""))</f>
        <v/>
      </c>
      <c r="F1084" s="10" t="str">
        <f t="shared" si="16"/>
        <v/>
      </c>
      <c r="G1084" s="10" t="str">
        <f>IF(OR(C1084="",B1084=""),"",IFERROR(C1084*INDEX(Harytlar!$D$5:$D$44,MATCH(B1084,Harytlar!$A$5:$A$44,0)),""))</f>
        <v/>
      </c>
    </row>
    <row r="1085" spans="1:7" x14ac:dyDescent="0.3">
      <c r="A1085" s="17"/>
      <c r="B1085" s="18"/>
      <c r="C1085" s="18"/>
      <c r="D1085" s="18"/>
      <c r="E1085" s="10" t="str">
        <f>IF(B1085="","",IFERROR(INDEX(Harytlar!$C$5:$C$44,MATCH(B1085,Harytlar!$A$5:$A$44,0)),""))</f>
        <v/>
      </c>
      <c r="F1085" s="10" t="str">
        <f t="shared" si="16"/>
        <v/>
      </c>
      <c r="G1085" s="10" t="str">
        <f>IF(OR(C1085="",B1085=""),"",IFERROR(C1085*INDEX(Harytlar!$D$5:$D$44,MATCH(B1085,Harytlar!$A$5:$A$44,0)),""))</f>
        <v/>
      </c>
    </row>
    <row r="1086" spans="1:7" x14ac:dyDescent="0.3">
      <c r="A1086" s="17"/>
      <c r="B1086" s="18"/>
      <c r="C1086" s="18"/>
      <c r="D1086" s="18"/>
      <c r="E1086" s="10" t="str">
        <f>IF(B1086="","",IFERROR(INDEX(Harytlar!$C$5:$C$44,MATCH(B1086,Harytlar!$A$5:$A$44,0)),""))</f>
        <v/>
      </c>
      <c r="F1086" s="10" t="str">
        <f t="shared" si="16"/>
        <v/>
      </c>
      <c r="G1086" s="10" t="str">
        <f>IF(OR(C1086="",B1086=""),"",IFERROR(C1086*INDEX(Harytlar!$D$5:$D$44,MATCH(B1086,Harytlar!$A$5:$A$44,0)),""))</f>
        <v/>
      </c>
    </row>
    <row r="1087" spans="1:7" x14ac:dyDescent="0.3">
      <c r="A1087" s="17"/>
      <c r="B1087" s="18"/>
      <c r="C1087" s="18"/>
      <c r="D1087" s="18"/>
      <c r="E1087" s="10" t="str">
        <f>IF(B1087="","",IFERROR(INDEX(Harytlar!$C$5:$C$44,MATCH(B1087,Harytlar!$A$5:$A$44,0)),""))</f>
        <v/>
      </c>
      <c r="F1087" s="10" t="str">
        <f t="shared" si="16"/>
        <v/>
      </c>
      <c r="G1087" s="10" t="str">
        <f>IF(OR(C1087="",B1087=""),"",IFERROR(C1087*INDEX(Harytlar!$D$5:$D$44,MATCH(B1087,Harytlar!$A$5:$A$44,0)),""))</f>
        <v/>
      </c>
    </row>
    <row r="1088" spans="1:7" x14ac:dyDescent="0.3">
      <c r="A1088" s="17"/>
      <c r="B1088" s="18"/>
      <c r="C1088" s="18"/>
      <c r="D1088" s="18"/>
      <c r="E1088" s="10" t="str">
        <f>IF(B1088="","",IFERROR(INDEX(Harytlar!$C$5:$C$44,MATCH(B1088,Harytlar!$A$5:$A$44,0)),""))</f>
        <v/>
      </c>
      <c r="F1088" s="10" t="str">
        <f t="shared" si="16"/>
        <v/>
      </c>
      <c r="G1088" s="10" t="str">
        <f>IF(OR(C1088="",B1088=""),"",IFERROR(C1088*INDEX(Harytlar!$D$5:$D$44,MATCH(B1088,Harytlar!$A$5:$A$44,0)),""))</f>
        <v/>
      </c>
    </row>
    <row r="1089" spans="1:7" x14ac:dyDescent="0.3">
      <c r="A1089" s="17"/>
      <c r="B1089" s="18"/>
      <c r="C1089" s="18"/>
      <c r="D1089" s="18"/>
      <c r="E1089" s="10" t="str">
        <f>IF(B1089="","",IFERROR(INDEX(Harytlar!$C$5:$C$44,MATCH(B1089,Harytlar!$A$5:$A$44,0)),""))</f>
        <v/>
      </c>
      <c r="F1089" s="10" t="str">
        <f t="shared" si="16"/>
        <v/>
      </c>
      <c r="G1089" s="10" t="str">
        <f>IF(OR(C1089="",B1089=""),"",IFERROR(C1089*INDEX(Harytlar!$D$5:$D$44,MATCH(B1089,Harytlar!$A$5:$A$44,0)),""))</f>
        <v/>
      </c>
    </row>
    <row r="1090" spans="1:7" x14ac:dyDescent="0.3">
      <c r="A1090" s="17"/>
      <c r="B1090" s="18"/>
      <c r="C1090" s="18"/>
      <c r="D1090" s="18"/>
      <c r="E1090" s="10" t="str">
        <f>IF(B1090="","",IFERROR(INDEX(Harytlar!$C$5:$C$44,MATCH(B1090,Harytlar!$A$5:$A$44,0)),""))</f>
        <v/>
      </c>
      <c r="F1090" s="10" t="str">
        <f t="shared" si="16"/>
        <v/>
      </c>
      <c r="G1090" s="10" t="str">
        <f>IF(OR(C1090="",B1090=""),"",IFERROR(C1090*INDEX(Harytlar!$D$5:$D$44,MATCH(B1090,Harytlar!$A$5:$A$44,0)),""))</f>
        <v/>
      </c>
    </row>
    <row r="1091" spans="1:7" x14ac:dyDescent="0.3">
      <c r="A1091" s="17"/>
      <c r="B1091" s="18"/>
      <c r="C1091" s="18"/>
      <c r="D1091" s="18"/>
      <c r="E1091" s="10" t="str">
        <f>IF(B1091="","",IFERROR(INDEX(Harytlar!$C$5:$C$44,MATCH(B1091,Harytlar!$A$5:$A$44,0)),""))</f>
        <v/>
      </c>
      <c r="F1091" s="10" t="str">
        <f t="shared" si="16"/>
        <v/>
      </c>
      <c r="G1091" s="10" t="str">
        <f>IF(OR(C1091="",B1091=""),"",IFERROR(C1091*INDEX(Harytlar!$D$5:$D$44,MATCH(B1091,Harytlar!$A$5:$A$44,0)),""))</f>
        <v/>
      </c>
    </row>
    <row r="1092" spans="1:7" x14ac:dyDescent="0.3">
      <c r="A1092" s="17"/>
      <c r="B1092" s="18"/>
      <c r="C1092" s="18"/>
      <c r="D1092" s="18"/>
      <c r="E1092" s="10" t="str">
        <f>IF(B1092="","",IFERROR(INDEX(Harytlar!$C$5:$C$44,MATCH(B1092,Harytlar!$A$5:$A$44,0)),""))</f>
        <v/>
      </c>
      <c r="F1092" s="10" t="str">
        <f t="shared" si="16"/>
        <v/>
      </c>
      <c r="G1092" s="10" t="str">
        <f>IF(OR(C1092="",B1092=""),"",IFERROR(C1092*INDEX(Harytlar!$D$5:$D$44,MATCH(B1092,Harytlar!$A$5:$A$44,0)),""))</f>
        <v/>
      </c>
    </row>
    <row r="1093" spans="1:7" x14ac:dyDescent="0.3">
      <c r="A1093" s="17"/>
      <c r="B1093" s="18"/>
      <c r="C1093" s="18"/>
      <c r="D1093" s="18"/>
      <c r="E1093" s="10" t="str">
        <f>IF(B1093="","",IFERROR(INDEX(Harytlar!$C$5:$C$44,MATCH(B1093,Harytlar!$A$5:$A$44,0)),""))</f>
        <v/>
      </c>
      <c r="F1093" s="10" t="str">
        <f t="shared" si="16"/>
        <v/>
      </c>
      <c r="G1093" s="10" t="str">
        <f>IF(OR(C1093="",B1093=""),"",IFERROR(C1093*INDEX(Harytlar!$D$5:$D$44,MATCH(B1093,Harytlar!$A$5:$A$44,0)),""))</f>
        <v/>
      </c>
    </row>
    <row r="1094" spans="1:7" x14ac:dyDescent="0.3">
      <c r="A1094" s="17"/>
      <c r="B1094" s="18"/>
      <c r="C1094" s="18"/>
      <c r="D1094" s="18"/>
      <c r="E1094" s="10" t="str">
        <f>IF(B1094="","",IFERROR(INDEX(Harytlar!$C$5:$C$44,MATCH(B1094,Harytlar!$A$5:$A$44,0)),""))</f>
        <v/>
      </c>
      <c r="F1094" s="10" t="str">
        <f t="shared" ref="F1094:F1157" si="17">IF(OR(C1094="",E1094=""),"",C1094*E1094)</f>
        <v/>
      </c>
      <c r="G1094" s="10" t="str">
        <f>IF(OR(C1094="",B1094=""),"",IFERROR(C1094*INDEX(Harytlar!$D$5:$D$44,MATCH(B1094,Harytlar!$A$5:$A$44,0)),""))</f>
        <v/>
      </c>
    </row>
    <row r="1095" spans="1:7" x14ac:dyDescent="0.3">
      <c r="A1095" s="17"/>
      <c r="B1095" s="18"/>
      <c r="C1095" s="18"/>
      <c r="D1095" s="18"/>
      <c r="E1095" s="10" t="str">
        <f>IF(B1095="","",IFERROR(INDEX(Harytlar!$C$5:$C$44,MATCH(B1095,Harytlar!$A$5:$A$44,0)),""))</f>
        <v/>
      </c>
      <c r="F1095" s="10" t="str">
        <f t="shared" si="17"/>
        <v/>
      </c>
      <c r="G1095" s="10" t="str">
        <f>IF(OR(C1095="",B1095=""),"",IFERROR(C1095*INDEX(Harytlar!$D$5:$D$44,MATCH(B1095,Harytlar!$A$5:$A$44,0)),""))</f>
        <v/>
      </c>
    </row>
    <row r="1096" spans="1:7" x14ac:dyDescent="0.3">
      <c r="A1096" s="17"/>
      <c r="B1096" s="18"/>
      <c r="C1096" s="18"/>
      <c r="D1096" s="18"/>
      <c r="E1096" s="10" t="str">
        <f>IF(B1096="","",IFERROR(INDEX(Harytlar!$C$5:$C$44,MATCH(B1096,Harytlar!$A$5:$A$44,0)),""))</f>
        <v/>
      </c>
      <c r="F1096" s="10" t="str">
        <f t="shared" si="17"/>
        <v/>
      </c>
      <c r="G1096" s="10" t="str">
        <f>IF(OR(C1096="",B1096=""),"",IFERROR(C1096*INDEX(Harytlar!$D$5:$D$44,MATCH(B1096,Harytlar!$A$5:$A$44,0)),""))</f>
        <v/>
      </c>
    </row>
    <row r="1097" spans="1:7" x14ac:dyDescent="0.3">
      <c r="A1097" s="17"/>
      <c r="B1097" s="18"/>
      <c r="C1097" s="18"/>
      <c r="D1097" s="18"/>
      <c r="E1097" s="10" t="str">
        <f>IF(B1097="","",IFERROR(INDEX(Harytlar!$C$5:$C$44,MATCH(B1097,Harytlar!$A$5:$A$44,0)),""))</f>
        <v/>
      </c>
      <c r="F1097" s="10" t="str">
        <f t="shared" si="17"/>
        <v/>
      </c>
      <c r="G1097" s="10" t="str">
        <f>IF(OR(C1097="",B1097=""),"",IFERROR(C1097*INDEX(Harytlar!$D$5:$D$44,MATCH(B1097,Harytlar!$A$5:$A$44,0)),""))</f>
        <v/>
      </c>
    </row>
    <row r="1098" spans="1:7" x14ac:dyDescent="0.3">
      <c r="A1098" s="17"/>
      <c r="B1098" s="18"/>
      <c r="C1098" s="18"/>
      <c r="D1098" s="18"/>
      <c r="E1098" s="10" t="str">
        <f>IF(B1098="","",IFERROR(INDEX(Harytlar!$C$5:$C$44,MATCH(B1098,Harytlar!$A$5:$A$44,0)),""))</f>
        <v/>
      </c>
      <c r="F1098" s="10" t="str">
        <f t="shared" si="17"/>
        <v/>
      </c>
      <c r="G1098" s="10" t="str">
        <f>IF(OR(C1098="",B1098=""),"",IFERROR(C1098*INDEX(Harytlar!$D$5:$D$44,MATCH(B1098,Harytlar!$A$5:$A$44,0)),""))</f>
        <v/>
      </c>
    </row>
    <row r="1099" spans="1:7" x14ac:dyDescent="0.3">
      <c r="A1099" s="17"/>
      <c r="B1099" s="18"/>
      <c r="C1099" s="18"/>
      <c r="D1099" s="18"/>
      <c r="E1099" s="10" t="str">
        <f>IF(B1099="","",IFERROR(INDEX(Harytlar!$C$5:$C$44,MATCH(B1099,Harytlar!$A$5:$A$44,0)),""))</f>
        <v/>
      </c>
      <c r="F1099" s="10" t="str">
        <f t="shared" si="17"/>
        <v/>
      </c>
      <c r="G1099" s="10" t="str">
        <f>IF(OR(C1099="",B1099=""),"",IFERROR(C1099*INDEX(Harytlar!$D$5:$D$44,MATCH(B1099,Harytlar!$A$5:$A$44,0)),""))</f>
        <v/>
      </c>
    </row>
    <row r="1100" spans="1:7" x14ac:dyDescent="0.3">
      <c r="A1100" s="17"/>
      <c r="B1100" s="18"/>
      <c r="C1100" s="18"/>
      <c r="D1100" s="18"/>
      <c r="E1100" s="10" t="str">
        <f>IF(B1100="","",IFERROR(INDEX(Harytlar!$C$5:$C$44,MATCH(B1100,Harytlar!$A$5:$A$44,0)),""))</f>
        <v/>
      </c>
      <c r="F1100" s="10" t="str">
        <f t="shared" si="17"/>
        <v/>
      </c>
      <c r="G1100" s="10" t="str">
        <f>IF(OR(C1100="",B1100=""),"",IFERROR(C1100*INDEX(Harytlar!$D$5:$D$44,MATCH(B1100,Harytlar!$A$5:$A$44,0)),""))</f>
        <v/>
      </c>
    </row>
    <row r="1101" spans="1:7" x14ac:dyDescent="0.3">
      <c r="A1101" s="17"/>
      <c r="B1101" s="18"/>
      <c r="C1101" s="18"/>
      <c r="D1101" s="18"/>
      <c r="E1101" s="10" t="str">
        <f>IF(B1101="","",IFERROR(INDEX(Harytlar!$C$5:$C$44,MATCH(B1101,Harytlar!$A$5:$A$44,0)),""))</f>
        <v/>
      </c>
      <c r="F1101" s="10" t="str">
        <f t="shared" si="17"/>
        <v/>
      </c>
      <c r="G1101" s="10" t="str">
        <f>IF(OR(C1101="",B1101=""),"",IFERROR(C1101*INDEX(Harytlar!$D$5:$D$44,MATCH(B1101,Harytlar!$A$5:$A$44,0)),""))</f>
        <v/>
      </c>
    </row>
    <row r="1102" spans="1:7" x14ac:dyDescent="0.3">
      <c r="A1102" s="17"/>
      <c r="B1102" s="18"/>
      <c r="C1102" s="18"/>
      <c r="D1102" s="18"/>
      <c r="E1102" s="10" t="str">
        <f>IF(B1102="","",IFERROR(INDEX(Harytlar!$C$5:$C$44,MATCH(B1102,Harytlar!$A$5:$A$44,0)),""))</f>
        <v/>
      </c>
      <c r="F1102" s="10" t="str">
        <f t="shared" si="17"/>
        <v/>
      </c>
      <c r="G1102" s="10" t="str">
        <f>IF(OR(C1102="",B1102=""),"",IFERROR(C1102*INDEX(Harytlar!$D$5:$D$44,MATCH(B1102,Harytlar!$A$5:$A$44,0)),""))</f>
        <v/>
      </c>
    </row>
    <row r="1103" spans="1:7" x14ac:dyDescent="0.3">
      <c r="A1103" s="17"/>
      <c r="B1103" s="18"/>
      <c r="C1103" s="18"/>
      <c r="D1103" s="18"/>
      <c r="E1103" s="10" t="str">
        <f>IF(B1103="","",IFERROR(INDEX(Harytlar!$C$5:$C$44,MATCH(B1103,Harytlar!$A$5:$A$44,0)),""))</f>
        <v/>
      </c>
      <c r="F1103" s="10" t="str">
        <f t="shared" si="17"/>
        <v/>
      </c>
      <c r="G1103" s="10" t="str">
        <f>IF(OR(C1103="",B1103=""),"",IFERROR(C1103*INDEX(Harytlar!$D$5:$D$44,MATCH(B1103,Harytlar!$A$5:$A$44,0)),""))</f>
        <v/>
      </c>
    </row>
    <row r="1104" spans="1:7" x14ac:dyDescent="0.3">
      <c r="A1104" s="17"/>
      <c r="B1104" s="18"/>
      <c r="C1104" s="18"/>
      <c r="D1104" s="18"/>
      <c r="E1104" s="10" t="str">
        <f>IF(B1104="","",IFERROR(INDEX(Harytlar!$C$5:$C$44,MATCH(B1104,Harytlar!$A$5:$A$44,0)),""))</f>
        <v/>
      </c>
      <c r="F1104" s="10" t="str">
        <f t="shared" si="17"/>
        <v/>
      </c>
      <c r="G1104" s="10" t="str">
        <f>IF(OR(C1104="",B1104=""),"",IFERROR(C1104*INDEX(Harytlar!$D$5:$D$44,MATCH(B1104,Harytlar!$A$5:$A$44,0)),""))</f>
        <v/>
      </c>
    </row>
    <row r="1105" spans="1:7" x14ac:dyDescent="0.3">
      <c r="A1105" s="17"/>
      <c r="B1105" s="18"/>
      <c r="C1105" s="18"/>
      <c r="D1105" s="18"/>
      <c r="E1105" s="10" t="str">
        <f>IF(B1105="","",IFERROR(INDEX(Harytlar!$C$5:$C$44,MATCH(B1105,Harytlar!$A$5:$A$44,0)),""))</f>
        <v/>
      </c>
      <c r="F1105" s="10" t="str">
        <f t="shared" si="17"/>
        <v/>
      </c>
      <c r="G1105" s="10" t="str">
        <f>IF(OR(C1105="",B1105=""),"",IFERROR(C1105*INDEX(Harytlar!$D$5:$D$44,MATCH(B1105,Harytlar!$A$5:$A$44,0)),""))</f>
        <v/>
      </c>
    </row>
    <row r="1106" spans="1:7" x14ac:dyDescent="0.3">
      <c r="A1106" s="17"/>
      <c r="B1106" s="18"/>
      <c r="C1106" s="18"/>
      <c r="D1106" s="18"/>
      <c r="E1106" s="10" t="str">
        <f>IF(B1106="","",IFERROR(INDEX(Harytlar!$C$5:$C$44,MATCH(B1106,Harytlar!$A$5:$A$44,0)),""))</f>
        <v/>
      </c>
      <c r="F1106" s="10" t="str">
        <f t="shared" si="17"/>
        <v/>
      </c>
      <c r="G1106" s="10" t="str">
        <f>IF(OR(C1106="",B1106=""),"",IFERROR(C1106*INDEX(Harytlar!$D$5:$D$44,MATCH(B1106,Harytlar!$A$5:$A$44,0)),""))</f>
        <v/>
      </c>
    </row>
    <row r="1107" spans="1:7" x14ac:dyDescent="0.3">
      <c r="A1107" s="17"/>
      <c r="B1107" s="18"/>
      <c r="C1107" s="18"/>
      <c r="D1107" s="18"/>
      <c r="E1107" s="10" t="str">
        <f>IF(B1107="","",IFERROR(INDEX(Harytlar!$C$5:$C$44,MATCH(B1107,Harytlar!$A$5:$A$44,0)),""))</f>
        <v/>
      </c>
      <c r="F1107" s="10" t="str">
        <f t="shared" si="17"/>
        <v/>
      </c>
      <c r="G1107" s="10" t="str">
        <f>IF(OR(C1107="",B1107=""),"",IFERROR(C1107*INDEX(Harytlar!$D$5:$D$44,MATCH(B1107,Harytlar!$A$5:$A$44,0)),""))</f>
        <v/>
      </c>
    </row>
    <row r="1108" spans="1:7" x14ac:dyDescent="0.3">
      <c r="A1108" s="17"/>
      <c r="B1108" s="18"/>
      <c r="C1108" s="18"/>
      <c r="D1108" s="18"/>
      <c r="E1108" s="10" t="str">
        <f>IF(B1108="","",IFERROR(INDEX(Harytlar!$C$5:$C$44,MATCH(B1108,Harytlar!$A$5:$A$44,0)),""))</f>
        <v/>
      </c>
      <c r="F1108" s="10" t="str">
        <f t="shared" si="17"/>
        <v/>
      </c>
      <c r="G1108" s="10" t="str">
        <f>IF(OR(C1108="",B1108=""),"",IFERROR(C1108*INDEX(Harytlar!$D$5:$D$44,MATCH(B1108,Harytlar!$A$5:$A$44,0)),""))</f>
        <v/>
      </c>
    </row>
    <row r="1109" spans="1:7" x14ac:dyDescent="0.3">
      <c r="A1109" s="17"/>
      <c r="B1109" s="18"/>
      <c r="C1109" s="18"/>
      <c r="D1109" s="18"/>
      <c r="E1109" s="10" t="str">
        <f>IF(B1109="","",IFERROR(INDEX(Harytlar!$C$5:$C$44,MATCH(B1109,Harytlar!$A$5:$A$44,0)),""))</f>
        <v/>
      </c>
      <c r="F1109" s="10" t="str">
        <f t="shared" si="17"/>
        <v/>
      </c>
      <c r="G1109" s="10" t="str">
        <f>IF(OR(C1109="",B1109=""),"",IFERROR(C1109*INDEX(Harytlar!$D$5:$D$44,MATCH(B1109,Harytlar!$A$5:$A$44,0)),""))</f>
        <v/>
      </c>
    </row>
    <row r="1110" spans="1:7" x14ac:dyDescent="0.3">
      <c r="A1110" s="17"/>
      <c r="B1110" s="18"/>
      <c r="C1110" s="18"/>
      <c r="D1110" s="18"/>
      <c r="E1110" s="10" t="str">
        <f>IF(B1110="","",IFERROR(INDEX(Harytlar!$C$5:$C$44,MATCH(B1110,Harytlar!$A$5:$A$44,0)),""))</f>
        <v/>
      </c>
      <c r="F1110" s="10" t="str">
        <f t="shared" si="17"/>
        <v/>
      </c>
      <c r="G1110" s="10" t="str">
        <f>IF(OR(C1110="",B1110=""),"",IFERROR(C1110*INDEX(Harytlar!$D$5:$D$44,MATCH(B1110,Harytlar!$A$5:$A$44,0)),""))</f>
        <v/>
      </c>
    </row>
    <row r="1111" spans="1:7" x14ac:dyDescent="0.3">
      <c r="A1111" s="17"/>
      <c r="B1111" s="18"/>
      <c r="C1111" s="18"/>
      <c r="D1111" s="18"/>
      <c r="E1111" s="10" t="str">
        <f>IF(B1111="","",IFERROR(INDEX(Harytlar!$C$5:$C$44,MATCH(B1111,Harytlar!$A$5:$A$44,0)),""))</f>
        <v/>
      </c>
      <c r="F1111" s="10" t="str">
        <f t="shared" si="17"/>
        <v/>
      </c>
      <c r="G1111" s="10" t="str">
        <f>IF(OR(C1111="",B1111=""),"",IFERROR(C1111*INDEX(Harytlar!$D$5:$D$44,MATCH(B1111,Harytlar!$A$5:$A$44,0)),""))</f>
        <v/>
      </c>
    </row>
    <row r="1112" spans="1:7" x14ac:dyDescent="0.3">
      <c r="A1112" s="17"/>
      <c r="B1112" s="18"/>
      <c r="C1112" s="18"/>
      <c r="D1112" s="18"/>
      <c r="E1112" s="10" t="str">
        <f>IF(B1112="","",IFERROR(INDEX(Harytlar!$C$5:$C$44,MATCH(B1112,Harytlar!$A$5:$A$44,0)),""))</f>
        <v/>
      </c>
      <c r="F1112" s="10" t="str">
        <f t="shared" si="17"/>
        <v/>
      </c>
      <c r="G1112" s="10" t="str">
        <f>IF(OR(C1112="",B1112=""),"",IFERROR(C1112*INDEX(Harytlar!$D$5:$D$44,MATCH(B1112,Harytlar!$A$5:$A$44,0)),""))</f>
        <v/>
      </c>
    </row>
    <row r="1113" spans="1:7" x14ac:dyDescent="0.3">
      <c r="A1113" s="17"/>
      <c r="B1113" s="18"/>
      <c r="C1113" s="18"/>
      <c r="D1113" s="18"/>
      <c r="E1113" s="10" t="str">
        <f>IF(B1113="","",IFERROR(INDEX(Harytlar!$C$5:$C$44,MATCH(B1113,Harytlar!$A$5:$A$44,0)),""))</f>
        <v/>
      </c>
      <c r="F1113" s="10" t="str">
        <f t="shared" si="17"/>
        <v/>
      </c>
      <c r="G1113" s="10" t="str">
        <f>IF(OR(C1113="",B1113=""),"",IFERROR(C1113*INDEX(Harytlar!$D$5:$D$44,MATCH(B1113,Harytlar!$A$5:$A$44,0)),""))</f>
        <v/>
      </c>
    </row>
    <row r="1114" spans="1:7" x14ac:dyDescent="0.3">
      <c r="A1114" s="17"/>
      <c r="B1114" s="18"/>
      <c r="C1114" s="18"/>
      <c r="D1114" s="18"/>
      <c r="E1114" s="10" t="str">
        <f>IF(B1114="","",IFERROR(INDEX(Harytlar!$C$5:$C$44,MATCH(B1114,Harytlar!$A$5:$A$44,0)),""))</f>
        <v/>
      </c>
      <c r="F1114" s="10" t="str">
        <f t="shared" si="17"/>
        <v/>
      </c>
      <c r="G1114" s="10" t="str">
        <f>IF(OR(C1114="",B1114=""),"",IFERROR(C1114*INDEX(Harytlar!$D$5:$D$44,MATCH(B1114,Harytlar!$A$5:$A$44,0)),""))</f>
        <v/>
      </c>
    </row>
    <row r="1115" spans="1:7" x14ac:dyDescent="0.3">
      <c r="A1115" s="17"/>
      <c r="B1115" s="18"/>
      <c r="C1115" s="18"/>
      <c r="D1115" s="18"/>
      <c r="E1115" s="10" t="str">
        <f>IF(B1115="","",IFERROR(INDEX(Harytlar!$C$5:$C$44,MATCH(B1115,Harytlar!$A$5:$A$44,0)),""))</f>
        <v/>
      </c>
      <c r="F1115" s="10" t="str">
        <f t="shared" si="17"/>
        <v/>
      </c>
      <c r="G1115" s="10" t="str">
        <f>IF(OR(C1115="",B1115=""),"",IFERROR(C1115*INDEX(Harytlar!$D$5:$D$44,MATCH(B1115,Harytlar!$A$5:$A$44,0)),""))</f>
        <v/>
      </c>
    </row>
    <row r="1116" spans="1:7" x14ac:dyDescent="0.3">
      <c r="A1116" s="17"/>
      <c r="B1116" s="18"/>
      <c r="C1116" s="18"/>
      <c r="D1116" s="18"/>
      <c r="E1116" s="10" t="str">
        <f>IF(B1116="","",IFERROR(INDEX(Harytlar!$C$5:$C$44,MATCH(B1116,Harytlar!$A$5:$A$44,0)),""))</f>
        <v/>
      </c>
      <c r="F1116" s="10" t="str">
        <f t="shared" si="17"/>
        <v/>
      </c>
      <c r="G1116" s="10" t="str">
        <f>IF(OR(C1116="",B1116=""),"",IFERROR(C1116*INDEX(Harytlar!$D$5:$D$44,MATCH(B1116,Harytlar!$A$5:$A$44,0)),""))</f>
        <v/>
      </c>
    </row>
    <row r="1117" spans="1:7" x14ac:dyDescent="0.3">
      <c r="A1117" s="17"/>
      <c r="B1117" s="18"/>
      <c r="C1117" s="18"/>
      <c r="D1117" s="18"/>
      <c r="E1117" s="10" t="str">
        <f>IF(B1117="","",IFERROR(INDEX(Harytlar!$C$5:$C$44,MATCH(B1117,Harytlar!$A$5:$A$44,0)),""))</f>
        <v/>
      </c>
      <c r="F1117" s="10" t="str">
        <f t="shared" si="17"/>
        <v/>
      </c>
      <c r="G1117" s="10" t="str">
        <f>IF(OR(C1117="",B1117=""),"",IFERROR(C1117*INDEX(Harytlar!$D$5:$D$44,MATCH(B1117,Harytlar!$A$5:$A$44,0)),""))</f>
        <v/>
      </c>
    </row>
    <row r="1118" spans="1:7" x14ac:dyDescent="0.3">
      <c r="A1118" s="17"/>
      <c r="B1118" s="18"/>
      <c r="C1118" s="18"/>
      <c r="D1118" s="18"/>
      <c r="E1118" s="10" t="str">
        <f>IF(B1118="","",IFERROR(INDEX(Harytlar!$C$5:$C$44,MATCH(B1118,Harytlar!$A$5:$A$44,0)),""))</f>
        <v/>
      </c>
      <c r="F1118" s="10" t="str">
        <f t="shared" si="17"/>
        <v/>
      </c>
      <c r="G1118" s="10" t="str">
        <f>IF(OR(C1118="",B1118=""),"",IFERROR(C1118*INDEX(Harytlar!$D$5:$D$44,MATCH(B1118,Harytlar!$A$5:$A$44,0)),""))</f>
        <v/>
      </c>
    </row>
    <row r="1119" spans="1:7" x14ac:dyDescent="0.3">
      <c r="A1119" s="17"/>
      <c r="B1119" s="18"/>
      <c r="C1119" s="18"/>
      <c r="D1119" s="18"/>
      <c r="E1119" s="10" t="str">
        <f>IF(B1119="","",IFERROR(INDEX(Harytlar!$C$5:$C$44,MATCH(B1119,Harytlar!$A$5:$A$44,0)),""))</f>
        <v/>
      </c>
      <c r="F1119" s="10" t="str">
        <f t="shared" si="17"/>
        <v/>
      </c>
      <c r="G1119" s="10" t="str">
        <f>IF(OR(C1119="",B1119=""),"",IFERROR(C1119*INDEX(Harytlar!$D$5:$D$44,MATCH(B1119,Harytlar!$A$5:$A$44,0)),""))</f>
        <v/>
      </c>
    </row>
    <row r="1120" spans="1:7" x14ac:dyDescent="0.3">
      <c r="A1120" s="17"/>
      <c r="B1120" s="18"/>
      <c r="C1120" s="18"/>
      <c r="D1120" s="18"/>
      <c r="E1120" s="10" t="str">
        <f>IF(B1120="","",IFERROR(INDEX(Harytlar!$C$5:$C$44,MATCH(B1120,Harytlar!$A$5:$A$44,0)),""))</f>
        <v/>
      </c>
      <c r="F1120" s="10" t="str">
        <f t="shared" si="17"/>
        <v/>
      </c>
      <c r="G1120" s="10" t="str">
        <f>IF(OR(C1120="",B1120=""),"",IFERROR(C1120*INDEX(Harytlar!$D$5:$D$44,MATCH(B1120,Harytlar!$A$5:$A$44,0)),""))</f>
        <v/>
      </c>
    </row>
    <row r="1121" spans="1:7" x14ac:dyDescent="0.3">
      <c r="A1121" s="17"/>
      <c r="B1121" s="18"/>
      <c r="C1121" s="18"/>
      <c r="D1121" s="18"/>
      <c r="E1121" s="10" t="str">
        <f>IF(B1121="","",IFERROR(INDEX(Harytlar!$C$5:$C$44,MATCH(B1121,Harytlar!$A$5:$A$44,0)),""))</f>
        <v/>
      </c>
      <c r="F1121" s="10" t="str">
        <f t="shared" si="17"/>
        <v/>
      </c>
      <c r="G1121" s="10" t="str">
        <f>IF(OR(C1121="",B1121=""),"",IFERROR(C1121*INDEX(Harytlar!$D$5:$D$44,MATCH(B1121,Harytlar!$A$5:$A$44,0)),""))</f>
        <v/>
      </c>
    </row>
    <row r="1122" spans="1:7" x14ac:dyDescent="0.3">
      <c r="A1122" s="17"/>
      <c r="B1122" s="18"/>
      <c r="C1122" s="18"/>
      <c r="D1122" s="18"/>
      <c r="E1122" s="10" t="str">
        <f>IF(B1122="","",IFERROR(INDEX(Harytlar!$C$5:$C$44,MATCH(B1122,Harytlar!$A$5:$A$44,0)),""))</f>
        <v/>
      </c>
      <c r="F1122" s="10" t="str">
        <f t="shared" si="17"/>
        <v/>
      </c>
      <c r="G1122" s="10" t="str">
        <f>IF(OR(C1122="",B1122=""),"",IFERROR(C1122*INDEX(Harytlar!$D$5:$D$44,MATCH(B1122,Harytlar!$A$5:$A$44,0)),""))</f>
        <v/>
      </c>
    </row>
    <row r="1123" spans="1:7" x14ac:dyDescent="0.3">
      <c r="A1123" s="17"/>
      <c r="B1123" s="18"/>
      <c r="C1123" s="18"/>
      <c r="D1123" s="18"/>
      <c r="E1123" s="10" t="str">
        <f>IF(B1123="","",IFERROR(INDEX(Harytlar!$C$5:$C$44,MATCH(B1123,Harytlar!$A$5:$A$44,0)),""))</f>
        <v/>
      </c>
      <c r="F1123" s="10" t="str">
        <f t="shared" si="17"/>
        <v/>
      </c>
      <c r="G1123" s="10" t="str">
        <f>IF(OR(C1123="",B1123=""),"",IFERROR(C1123*INDEX(Harytlar!$D$5:$D$44,MATCH(B1123,Harytlar!$A$5:$A$44,0)),""))</f>
        <v/>
      </c>
    </row>
    <row r="1124" spans="1:7" x14ac:dyDescent="0.3">
      <c r="A1124" s="17"/>
      <c r="B1124" s="18"/>
      <c r="C1124" s="18"/>
      <c r="D1124" s="18"/>
      <c r="E1124" s="10" t="str">
        <f>IF(B1124="","",IFERROR(INDEX(Harytlar!$C$5:$C$44,MATCH(B1124,Harytlar!$A$5:$A$44,0)),""))</f>
        <v/>
      </c>
      <c r="F1124" s="10" t="str">
        <f t="shared" si="17"/>
        <v/>
      </c>
      <c r="G1124" s="10" t="str">
        <f>IF(OR(C1124="",B1124=""),"",IFERROR(C1124*INDEX(Harytlar!$D$5:$D$44,MATCH(B1124,Harytlar!$A$5:$A$44,0)),""))</f>
        <v/>
      </c>
    </row>
    <row r="1125" spans="1:7" x14ac:dyDescent="0.3">
      <c r="A1125" s="17"/>
      <c r="B1125" s="18"/>
      <c r="C1125" s="18"/>
      <c r="D1125" s="18"/>
      <c r="E1125" s="10" t="str">
        <f>IF(B1125="","",IFERROR(INDEX(Harytlar!$C$5:$C$44,MATCH(B1125,Harytlar!$A$5:$A$44,0)),""))</f>
        <v/>
      </c>
      <c r="F1125" s="10" t="str">
        <f t="shared" si="17"/>
        <v/>
      </c>
      <c r="G1125" s="10" t="str">
        <f>IF(OR(C1125="",B1125=""),"",IFERROR(C1125*INDEX(Harytlar!$D$5:$D$44,MATCH(B1125,Harytlar!$A$5:$A$44,0)),""))</f>
        <v/>
      </c>
    </row>
    <row r="1126" spans="1:7" x14ac:dyDescent="0.3">
      <c r="A1126" s="17"/>
      <c r="B1126" s="18"/>
      <c r="C1126" s="18"/>
      <c r="D1126" s="18"/>
      <c r="E1126" s="10" t="str">
        <f>IF(B1126="","",IFERROR(INDEX(Harytlar!$C$5:$C$44,MATCH(B1126,Harytlar!$A$5:$A$44,0)),""))</f>
        <v/>
      </c>
      <c r="F1126" s="10" t="str">
        <f t="shared" si="17"/>
        <v/>
      </c>
      <c r="G1126" s="10" t="str">
        <f>IF(OR(C1126="",B1126=""),"",IFERROR(C1126*INDEX(Harytlar!$D$5:$D$44,MATCH(B1126,Harytlar!$A$5:$A$44,0)),""))</f>
        <v/>
      </c>
    </row>
    <row r="1127" spans="1:7" x14ac:dyDescent="0.3">
      <c r="A1127" s="17"/>
      <c r="B1127" s="18"/>
      <c r="C1127" s="18"/>
      <c r="D1127" s="18"/>
      <c r="E1127" s="10" t="str">
        <f>IF(B1127="","",IFERROR(INDEX(Harytlar!$C$5:$C$44,MATCH(B1127,Harytlar!$A$5:$A$44,0)),""))</f>
        <v/>
      </c>
      <c r="F1127" s="10" t="str">
        <f t="shared" si="17"/>
        <v/>
      </c>
      <c r="G1127" s="10" t="str">
        <f>IF(OR(C1127="",B1127=""),"",IFERROR(C1127*INDEX(Harytlar!$D$5:$D$44,MATCH(B1127,Harytlar!$A$5:$A$44,0)),""))</f>
        <v/>
      </c>
    </row>
    <row r="1128" spans="1:7" x14ac:dyDescent="0.3">
      <c r="A1128" s="17"/>
      <c r="B1128" s="18"/>
      <c r="C1128" s="18"/>
      <c r="D1128" s="18"/>
      <c r="E1128" s="10" t="str">
        <f>IF(B1128="","",IFERROR(INDEX(Harytlar!$C$5:$C$44,MATCH(B1128,Harytlar!$A$5:$A$44,0)),""))</f>
        <v/>
      </c>
      <c r="F1128" s="10" t="str">
        <f t="shared" si="17"/>
        <v/>
      </c>
      <c r="G1128" s="10" t="str">
        <f>IF(OR(C1128="",B1128=""),"",IFERROR(C1128*INDEX(Harytlar!$D$5:$D$44,MATCH(B1128,Harytlar!$A$5:$A$44,0)),""))</f>
        <v/>
      </c>
    </row>
    <row r="1129" spans="1:7" x14ac:dyDescent="0.3">
      <c r="A1129" s="17"/>
      <c r="B1129" s="18"/>
      <c r="C1129" s="18"/>
      <c r="D1129" s="18"/>
      <c r="E1129" s="10" t="str">
        <f>IF(B1129="","",IFERROR(INDEX(Harytlar!$C$5:$C$44,MATCH(B1129,Harytlar!$A$5:$A$44,0)),""))</f>
        <v/>
      </c>
      <c r="F1129" s="10" t="str">
        <f t="shared" si="17"/>
        <v/>
      </c>
      <c r="G1129" s="10" t="str">
        <f>IF(OR(C1129="",B1129=""),"",IFERROR(C1129*INDEX(Harytlar!$D$5:$D$44,MATCH(B1129,Harytlar!$A$5:$A$44,0)),""))</f>
        <v/>
      </c>
    </row>
    <row r="1130" spans="1:7" x14ac:dyDescent="0.3">
      <c r="A1130" s="17"/>
      <c r="B1130" s="18"/>
      <c r="C1130" s="18"/>
      <c r="D1130" s="18"/>
      <c r="E1130" s="10" t="str">
        <f>IF(B1130="","",IFERROR(INDEX(Harytlar!$C$5:$C$44,MATCH(B1130,Harytlar!$A$5:$A$44,0)),""))</f>
        <v/>
      </c>
      <c r="F1130" s="10" t="str">
        <f t="shared" si="17"/>
        <v/>
      </c>
      <c r="G1130" s="10" t="str">
        <f>IF(OR(C1130="",B1130=""),"",IFERROR(C1130*INDEX(Harytlar!$D$5:$D$44,MATCH(B1130,Harytlar!$A$5:$A$44,0)),""))</f>
        <v/>
      </c>
    </row>
    <row r="1131" spans="1:7" x14ac:dyDescent="0.3">
      <c r="A1131" s="17"/>
      <c r="B1131" s="18"/>
      <c r="C1131" s="18"/>
      <c r="D1131" s="18"/>
      <c r="E1131" s="10" t="str">
        <f>IF(B1131="","",IFERROR(INDEX(Harytlar!$C$5:$C$44,MATCH(B1131,Harytlar!$A$5:$A$44,0)),""))</f>
        <v/>
      </c>
      <c r="F1131" s="10" t="str">
        <f t="shared" si="17"/>
        <v/>
      </c>
      <c r="G1131" s="10" t="str">
        <f>IF(OR(C1131="",B1131=""),"",IFERROR(C1131*INDEX(Harytlar!$D$5:$D$44,MATCH(B1131,Harytlar!$A$5:$A$44,0)),""))</f>
        <v/>
      </c>
    </row>
    <row r="1132" spans="1:7" x14ac:dyDescent="0.3">
      <c r="A1132" s="17"/>
      <c r="B1132" s="18"/>
      <c r="C1132" s="18"/>
      <c r="D1132" s="18"/>
      <c r="E1132" s="10" t="str">
        <f>IF(B1132="","",IFERROR(INDEX(Harytlar!$C$5:$C$44,MATCH(B1132,Harytlar!$A$5:$A$44,0)),""))</f>
        <v/>
      </c>
      <c r="F1132" s="10" t="str">
        <f t="shared" si="17"/>
        <v/>
      </c>
      <c r="G1132" s="10" t="str">
        <f>IF(OR(C1132="",B1132=""),"",IFERROR(C1132*INDEX(Harytlar!$D$5:$D$44,MATCH(B1132,Harytlar!$A$5:$A$44,0)),""))</f>
        <v/>
      </c>
    </row>
    <row r="1133" spans="1:7" x14ac:dyDescent="0.3">
      <c r="A1133" s="17"/>
      <c r="B1133" s="18"/>
      <c r="C1133" s="18"/>
      <c r="D1133" s="18"/>
      <c r="E1133" s="10" t="str">
        <f>IF(B1133="","",IFERROR(INDEX(Harytlar!$C$5:$C$44,MATCH(B1133,Harytlar!$A$5:$A$44,0)),""))</f>
        <v/>
      </c>
      <c r="F1133" s="10" t="str">
        <f t="shared" si="17"/>
        <v/>
      </c>
      <c r="G1133" s="10" t="str">
        <f>IF(OR(C1133="",B1133=""),"",IFERROR(C1133*INDEX(Harytlar!$D$5:$D$44,MATCH(B1133,Harytlar!$A$5:$A$44,0)),""))</f>
        <v/>
      </c>
    </row>
    <row r="1134" spans="1:7" x14ac:dyDescent="0.3">
      <c r="A1134" s="17"/>
      <c r="B1134" s="18"/>
      <c r="C1134" s="18"/>
      <c r="D1134" s="18"/>
      <c r="E1134" s="10" t="str">
        <f>IF(B1134="","",IFERROR(INDEX(Harytlar!$C$5:$C$44,MATCH(B1134,Harytlar!$A$5:$A$44,0)),""))</f>
        <v/>
      </c>
      <c r="F1134" s="10" t="str">
        <f t="shared" si="17"/>
        <v/>
      </c>
      <c r="G1134" s="10" t="str">
        <f>IF(OR(C1134="",B1134=""),"",IFERROR(C1134*INDEX(Harytlar!$D$5:$D$44,MATCH(B1134,Harytlar!$A$5:$A$44,0)),""))</f>
        <v/>
      </c>
    </row>
    <row r="1135" spans="1:7" x14ac:dyDescent="0.3">
      <c r="A1135" s="17"/>
      <c r="B1135" s="18"/>
      <c r="C1135" s="18"/>
      <c r="D1135" s="18"/>
      <c r="E1135" s="10" t="str">
        <f>IF(B1135="","",IFERROR(INDEX(Harytlar!$C$5:$C$44,MATCH(B1135,Harytlar!$A$5:$A$44,0)),""))</f>
        <v/>
      </c>
      <c r="F1135" s="10" t="str">
        <f t="shared" si="17"/>
        <v/>
      </c>
      <c r="G1135" s="10" t="str">
        <f>IF(OR(C1135="",B1135=""),"",IFERROR(C1135*INDEX(Harytlar!$D$5:$D$44,MATCH(B1135,Harytlar!$A$5:$A$44,0)),""))</f>
        <v/>
      </c>
    </row>
    <row r="1136" spans="1:7" x14ac:dyDescent="0.3">
      <c r="A1136" s="17"/>
      <c r="B1136" s="18"/>
      <c r="C1136" s="18"/>
      <c r="D1136" s="18"/>
      <c r="E1136" s="10" t="str">
        <f>IF(B1136="","",IFERROR(INDEX(Harytlar!$C$5:$C$44,MATCH(B1136,Harytlar!$A$5:$A$44,0)),""))</f>
        <v/>
      </c>
      <c r="F1136" s="10" t="str">
        <f t="shared" si="17"/>
        <v/>
      </c>
      <c r="G1136" s="10" t="str">
        <f>IF(OR(C1136="",B1136=""),"",IFERROR(C1136*INDEX(Harytlar!$D$5:$D$44,MATCH(B1136,Harytlar!$A$5:$A$44,0)),""))</f>
        <v/>
      </c>
    </row>
    <row r="1137" spans="1:7" x14ac:dyDescent="0.3">
      <c r="A1137" s="17"/>
      <c r="B1137" s="18"/>
      <c r="C1137" s="18"/>
      <c r="D1137" s="18"/>
      <c r="E1137" s="10" t="str">
        <f>IF(B1137="","",IFERROR(INDEX(Harytlar!$C$5:$C$44,MATCH(B1137,Harytlar!$A$5:$A$44,0)),""))</f>
        <v/>
      </c>
      <c r="F1137" s="10" t="str">
        <f t="shared" si="17"/>
        <v/>
      </c>
      <c r="G1137" s="10" t="str">
        <f>IF(OR(C1137="",B1137=""),"",IFERROR(C1137*INDEX(Harytlar!$D$5:$D$44,MATCH(B1137,Harytlar!$A$5:$A$44,0)),""))</f>
        <v/>
      </c>
    </row>
    <row r="1138" spans="1:7" x14ac:dyDescent="0.3">
      <c r="A1138" s="17"/>
      <c r="B1138" s="18"/>
      <c r="C1138" s="18"/>
      <c r="D1138" s="18"/>
      <c r="E1138" s="10" t="str">
        <f>IF(B1138="","",IFERROR(INDEX(Harytlar!$C$5:$C$44,MATCH(B1138,Harytlar!$A$5:$A$44,0)),""))</f>
        <v/>
      </c>
      <c r="F1138" s="10" t="str">
        <f t="shared" si="17"/>
        <v/>
      </c>
      <c r="G1138" s="10" t="str">
        <f>IF(OR(C1138="",B1138=""),"",IFERROR(C1138*INDEX(Harytlar!$D$5:$D$44,MATCH(B1138,Harytlar!$A$5:$A$44,0)),""))</f>
        <v/>
      </c>
    </row>
    <row r="1139" spans="1:7" x14ac:dyDescent="0.3">
      <c r="A1139" s="17"/>
      <c r="B1139" s="18"/>
      <c r="C1139" s="18"/>
      <c r="D1139" s="18"/>
      <c r="E1139" s="10" t="str">
        <f>IF(B1139="","",IFERROR(INDEX(Harytlar!$C$5:$C$44,MATCH(B1139,Harytlar!$A$5:$A$44,0)),""))</f>
        <v/>
      </c>
      <c r="F1139" s="10" t="str">
        <f t="shared" si="17"/>
        <v/>
      </c>
      <c r="G1139" s="10" t="str">
        <f>IF(OR(C1139="",B1139=""),"",IFERROR(C1139*INDEX(Harytlar!$D$5:$D$44,MATCH(B1139,Harytlar!$A$5:$A$44,0)),""))</f>
        <v/>
      </c>
    </row>
    <row r="1140" spans="1:7" x14ac:dyDescent="0.3">
      <c r="A1140" s="17"/>
      <c r="B1140" s="18"/>
      <c r="C1140" s="18"/>
      <c r="D1140" s="18"/>
      <c r="E1140" s="10" t="str">
        <f>IF(B1140="","",IFERROR(INDEX(Harytlar!$C$5:$C$44,MATCH(B1140,Harytlar!$A$5:$A$44,0)),""))</f>
        <v/>
      </c>
      <c r="F1140" s="10" t="str">
        <f t="shared" si="17"/>
        <v/>
      </c>
      <c r="G1140" s="10" t="str">
        <f>IF(OR(C1140="",B1140=""),"",IFERROR(C1140*INDEX(Harytlar!$D$5:$D$44,MATCH(B1140,Harytlar!$A$5:$A$44,0)),""))</f>
        <v/>
      </c>
    </row>
    <row r="1141" spans="1:7" x14ac:dyDescent="0.3">
      <c r="A1141" s="17"/>
      <c r="B1141" s="18"/>
      <c r="C1141" s="18"/>
      <c r="D1141" s="18"/>
      <c r="E1141" s="10" t="str">
        <f>IF(B1141="","",IFERROR(INDEX(Harytlar!$C$5:$C$44,MATCH(B1141,Harytlar!$A$5:$A$44,0)),""))</f>
        <v/>
      </c>
      <c r="F1141" s="10" t="str">
        <f t="shared" si="17"/>
        <v/>
      </c>
      <c r="G1141" s="10" t="str">
        <f>IF(OR(C1141="",B1141=""),"",IFERROR(C1141*INDEX(Harytlar!$D$5:$D$44,MATCH(B1141,Harytlar!$A$5:$A$44,0)),""))</f>
        <v/>
      </c>
    </row>
    <row r="1142" spans="1:7" x14ac:dyDescent="0.3">
      <c r="A1142" s="17"/>
      <c r="B1142" s="18"/>
      <c r="C1142" s="18"/>
      <c r="D1142" s="18"/>
      <c r="E1142" s="10" t="str">
        <f>IF(B1142="","",IFERROR(INDEX(Harytlar!$C$5:$C$44,MATCH(B1142,Harytlar!$A$5:$A$44,0)),""))</f>
        <v/>
      </c>
      <c r="F1142" s="10" t="str">
        <f t="shared" si="17"/>
        <v/>
      </c>
      <c r="G1142" s="10" t="str">
        <f>IF(OR(C1142="",B1142=""),"",IFERROR(C1142*INDEX(Harytlar!$D$5:$D$44,MATCH(B1142,Harytlar!$A$5:$A$44,0)),""))</f>
        <v/>
      </c>
    </row>
    <row r="1143" spans="1:7" x14ac:dyDescent="0.3">
      <c r="A1143" s="17"/>
      <c r="B1143" s="18"/>
      <c r="C1143" s="18"/>
      <c r="D1143" s="18"/>
      <c r="E1143" s="10" t="str">
        <f>IF(B1143="","",IFERROR(INDEX(Harytlar!$C$5:$C$44,MATCH(B1143,Harytlar!$A$5:$A$44,0)),""))</f>
        <v/>
      </c>
      <c r="F1143" s="10" t="str">
        <f t="shared" si="17"/>
        <v/>
      </c>
      <c r="G1143" s="10" t="str">
        <f>IF(OR(C1143="",B1143=""),"",IFERROR(C1143*INDEX(Harytlar!$D$5:$D$44,MATCH(B1143,Harytlar!$A$5:$A$44,0)),""))</f>
        <v/>
      </c>
    </row>
    <row r="1144" spans="1:7" x14ac:dyDescent="0.3">
      <c r="A1144" s="17"/>
      <c r="B1144" s="18"/>
      <c r="C1144" s="18"/>
      <c r="D1144" s="18"/>
      <c r="E1144" s="10" t="str">
        <f>IF(B1144="","",IFERROR(INDEX(Harytlar!$C$5:$C$44,MATCH(B1144,Harytlar!$A$5:$A$44,0)),""))</f>
        <v/>
      </c>
      <c r="F1144" s="10" t="str">
        <f t="shared" si="17"/>
        <v/>
      </c>
      <c r="G1144" s="10" t="str">
        <f>IF(OR(C1144="",B1144=""),"",IFERROR(C1144*INDEX(Harytlar!$D$5:$D$44,MATCH(B1144,Harytlar!$A$5:$A$44,0)),""))</f>
        <v/>
      </c>
    </row>
    <row r="1145" spans="1:7" x14ac:dyDescent="0.3">
      <c r="A1145" s="17"/>
      <c r="B1145" s="18"/>
      <c r="C1145" s="18"/>
      <c r="D1145" s="18"/>
      <c r="E1145" s="10" t="str">
        <f>IF(B1145="","",IFERROR(INDEX(Harytlar!$C$5:$C$44,MATCH(B1145,Harytlar!$A$5:$A$44,0)),""))</f>
        <v/>
      </c>
      <c r="F1145" s="10" t="str">
        <f t="shared" si="17"/>
        <v/>
      </c>
      <c r="G1145" s="10" t="str">
        <f>IF(OR(C1145="",B1145=""),"",IFERROR(C1145*INDEX(Harytlar!$D$5:$D$44,MATCH(B1145,Harytlar!$A$5:$A$44,0)),""))</f>
        <v/>
      </c>
    </row>
    <row r="1146" spans="1:7" x14ac:dyDescent="0.3">
      <c r="A1146" s="17"/>
      <c r="B1146" s="18"/>
      <c r="C1146" s="18"/>
      <c r="D1146" s="18"/>
      <c r="E1146" s="10" t="str">
        <f>IF(B1146="","",IFERROR(INDEX(Harytlar!$C$5:$C$44,MATCH(B1146,Harytlar!$A$5:$A$44,0)),""))</f>
        <v/>
      </c>
      <c r="F1146" s="10" t="str">
        <f t="shared" si="17"/>
        <v/>
      </c>
      <c r="G1146" s="10" t="str">
        <f>IF(OR(C1146="",B1146=""),"",IFERROR(C1146*INDEX(Harytlar!$D$5:$D$44,MATCH(B1146,Harytlar!$A$5:$A$44,0)),""))</f>
        <v/>
      </c>
    </row>
    <row r="1147" spans="1:7" x14ac:dyDescent="0.3">
      <c r="A1147" s="17"/>
      <c r="B1147" s="18"/>
      <c r="C1147" s="18"/>
      <c r="D1147" s="18"/>
      <c r="E1147" s="10" t="str">
        <f>IF(B1147="","",IFERROR(INDEX(Harytlar!$C$5:$C$44,MATCH(B1147,Harytlar!$A$5:$A$44,0)),""))</f>
        <v/>
      </c>
      <c r="F1147" s="10" t="str">
        <f t="shared" si="17"/>
        <v/>
      </c>
      <c r="G1147" s="10" t="str">
        <f>IF(OR(C1147="",B1147=""),"",IFERROR(C1147*INDEX(Harytlar!$D$5:$D$44,MATCH(B1147,Harytlar!$A$5:$A$44,0)),""))</f>
        <v/>
      </c>
    </row>
    <row r="1148" spans="1:7" x14ac:dyDescent="0.3">
      <c r="A1148" s="17"/>
      <c r="B1148" s="18"/>
      <c r="C1148" s="18"/>
      <c r="D1148" s="18"/>
      <c r="E1148" s="10" t="str">
        <f>IF(B1148="","",IFERROR(INDEX(Harytlar!$C$5:$C$44,MATCH(B1148,Harytlar!$A$5:$A$44,0)),""))</f>
        <v/>
      </c>
      <c r="F1148" s="10" t="str">
        <f t="shared" si="17"/>
        <v/>
      </c>
      <c r="G1148" s="10" t="str">
        <f>IF(OR(C1148="",B1148=""),"",IFERROR(C1148*INDEX(Harytlar!$D$5:$D$44,MATCH(B1148,Harytlar!$A$5:$A$44,0)),""))</f>
        <v/>
      </c>
    </row>
    <row r="1149" spans="1:7" x14ac:dyDescent="0.3">
      <c r="A1149" s="17"/>
      <c r="B1149" s="18"/>
      <c r="C1149" s="18"/>
      <c r="D1149" s="18"/>
      <c r="E1149" s="10" t="str">
        <f>IF(B1149="","",IFERROR(INDEX(Harytlar!$C$5:$C$44,MATCH(B1149,Harytlar!$A$5:$A$44,0)),""))</f>
        <v/>
      </c>
      <c r="F1149" s="10" t="str">
        <f t="shared" si="17"/>
        <v/>
      </c>
      <c r="G1149" s="10" t="str">
        <f>IF(OR(C1149="",B1149=""),"",IFERROR(C1149*INDEX(Harytlar!$D$5:$D$44,MATCH(B1149,Harytlar!$A$5:$A$44,0)),""))</f>
        <v/>
      </c>
    </row>
    <row r="1150" spans="1:7" x14ac:dyDescent="0.3">
      <c r="A1150" s="17"/>
      <c r="B1150" s="18"/>
      <c r="C1150" s="18"/>
      <c r="D1150" s="18"/>
      <c r="E1150" s="10" t="str">
        <f>IF(B1150="","",IFERROR(INDEX(Harytlar!$C$5:$C$44,MATCH(B1150,Harytlar!$A$5:$A$44,0)),""))</f>
        <v/>
      </c>
      <c r="F1150" s="10" t="str">
        <f t="shared" si="17"/>
        <v/>
      </c>
      <c r="G1150" s="10" t="str">
        <f>IF(OR(C1150="",B1150=""),"",IFERROR(C1150*INDEX(Harytlar!$D$5:$D$44,MATCH(B1150,Harytlar!$A$5:$A$44,0)),""))</f>
        <v/>
      </c>
    </row>
    <row r="1151" spans="1:7" x14ac:dyDescent="0.3">
      <c r="A1151" s="17"/>
      <c r="B1151" s="18"/>
      <c r="C1151" s="18"/>
      <c r="D1151" s="18"/>
      <c r="E1151" s="10" t="str">
        <f>IF(B1151="","",IFERROR(INDEX(Harytlar!$C$5:$C$44,MATCH(B1151,Harytlar!$A$5:$A$44,0)),""))</f>
        <v/>
      </c>
      <c r="F1151" s="10" t="str">
        <f t="shared" si="17"/>
        <v/>
      </c>
      <c r="G1151" s="10" t="str">
        <f>IF(OR(C1151="",B1151=""),"",IFERROR(C1151*INDEX(Harytlar!$D$5:$D$44,MATCH(B1151,Harytlar!$A$5:$A$44,0)),""))</f>
        <v/>
      </c>
    </row>
    <row r="1152" spans="1:7" x14ac:dyDescent="0.3">
      <c r="A1152" s="17"/>
      <c r="B1152" s="18"/>
      <c r="C1152" s="18"/>
      <c r="D1152" s="18"/>
      <c r="E1152" s="10" t="str">
        <f>IF(B1152="","",IFERROR(INDEX(Harytlar!$C$5:$C$44,MATCH(B1152,Harytlar!$A$5:$A$44,0)),""))</f>
        <v/>
      </c>
      <c r="F1152" s="10" t="str">
        <f t="shared" si="17"/>
        <v/>
      </c>
      <c r="G1152" s="10" t="str">
        <f>IF(OR(C1152="",B1152=""),"",IFERROR(C1152*INDEX(Harytlar!$D$5:$D$44,MATCH(B1152,Harytlar!$A$5:$A$44,0)),""))</f>
        <v/>
      </c>
    </row>
    <row r="1153" spans="1:7" x14ac:dyDescent="0.3">
      <c r="A1153" s="17"/>
      <c r="B1153" s="18"/>
      <c r="C1153" s="18"/>
      <c r="D1153" s="18"/>
      <c r="E1153" s="10" t="str">
        <f>IF(B1153="","",IFERROR(INDEX(Harytlar!$C$5:$C$44,MATCH(B1153,Harytlar!$A$5:$A$44,0)),""))</f>
        <v/>
      </c>
      <c r="F1153" s="10" t="str">
        <f t="shared" si="17"/>
        <v/>
      </c>
      <c r="G1153" s="10" t="str">
        <f>IF(OR(C1153="",B1153=""),"",IFERROR(C1153*INDEX(Harytlar!$D$5:$D$44,MATCH(B1153,Harytlar!$A$5:$A$44,0)),""))</f>
        <v/>
      </c>
    </row>
    <row r="1154" spans="1:7" x14ac:dyDescent="0.3">
      <c r="A1154" s="17"/>
      <c r="B1154" s="18"/>
      <c r="C1154" s="18"/>
      <c r="D1154" s="18"/>
      <c r="E1154" s="10" t="str">
        <f>IF(B1154="","",IFERROR(INDEX(Harytlar!$C$5:$C$44,MATCH(B1154,Harytlar!$A$5:$A$44,0)),""))</f>
        <v/>
      </c>
      <c r="F1154" s="10" t="str">
        <f t="shared" si="17"/>
        <v/>
      </c>
      <c r="G1154" s="10" t="str">
        <f>IF(OR(C1154="",B1154=""),"",IFERROR(C1154*INDEX(Harytlar!$D$5:$D$44,MATCH(B1154,Harytlar!$A$5:$A$44,0)),""))</f>
        <v/>
      </c>
    </row>
    <row r="1155" spans="1:7" x14ac:dyDescent="0.3">
      <c r="A1155" s="17"/>
      <c r="B1155" s="18"/>
      <c r="C1155" s="18"/>
      <c r="D1155" s="18"/>
      <c r="E1155" s="10" t="str">
        <f>IF(B1155="","",IFERROR(INDEX(Harytlar!$C$5:$C$44,MATCH(B1155,Harytlar!$A$5:$A$44,0)),""))</f>
        <v/>
      </c>
      <c r="F1155" s="10" t="str">
        <f t="shared" si="17"/>
        <v/>
      </c>
      <c r="G1155" s="10" t="str">
        <f>IF(OR(C1155="",B1155=""),"",IFERROR(C1155*INDEX(Harytlar!$D$5:$D$44,MATCH(B1155,Harytlar!$A$5:$A$44,0)),""))</f>
        <v/>
      </c>
    </row>
    <row r="1156" spans="1:7" x14ac:dyDescent="0.3">
      <c r="A1156" s="17"/>
      <c r="B1156" s="18"/>
      <c r="C1156" s="18"/>
      <c r="D1156" s="18"/>
      <c r="E1156" s="10" t="str">
        <f>IF(B1156="","",IFERROR(INDEX(Harytlar!$C$5:$C$44,MATCH(B1156,Harytlar!$A$5:$A$44,0)),""))</f>
        <v/>
      </c>
      <c r="F1156" s="10" t="str">
        <f t="shared" si="17"/>
        <v/>
      </c>
      <c r="G1156" s="10" t="str">
        <f>IF(OR(C1156="",B1156=""),"",IFERROR(C1156*INDEX(Harytlar!$D$5:$D$44,MATCH(B1156,Harytlar!$A$5:$A$44,0)),""))</f>
        <v/>
      </c>
    </row>
    <row r="1157" spans="1:7" x14ac:dyDescent="0.3">
      <c r="A1157" s="17"/>
      <c r="B1157" s="18"/>
      <c r="C1157" s="18"/>
      <c r="D1157" s="18"/>
      <c r="E1157" s="10" t="str">
        <f>IF(B1157="","",IFERROR(INDEX(Harytlar!$C$5:$C$44,MATCH(B1157,Harytlar!$A$5:$A$44,0)),""))</f>
        <v/>
      </c>
      <c r="F1157" s="10" t="str">
        <f t="shared" si="17"/>
        <v/>
      </c>
      <c r="G1157" s="10" t="str">
        <f>IF(OR(C1157="",B1157=""),"",IFERROR(C1157*INDEX(Harytlar!$D$5:$D$44,MATCH(B1157,Harytlar!$A$5:$A$44,0)),""))</f>
        <v/>
      </c>
    </row>
    <row r="1158" spans="1:7" x14ac:dyDescent="0.3">
      <c r="A1158" s="17"/>
      <c r="B1158" s="18"/>
      <c r="C1158" s="18"/>
      <c r="D1158" s="18"/>
      <c r="E1158" s="10" t="str">
        <f>IF(B1158="","",IFERROR(INDEX(Harytlar!$C$5:$C$44,MATCH(B1158,Harytlar!$A$5:$A$44,0)),""))</f>
        <v/>
      </c>
      <c r="F1158" s="10" t="str">
        <f t="shared" ref="F1158:F1221" si="18">IF(OR(C1158="",E1158=""),"",C1158*E1158)</f>
        <v/>
      </c>
      <c r="G1158" s="10" t="str">
        <f>IF(OR(C1158="",B1158=""),"",IFERROR(C1158*INDEX(Harytlar!$D$5:$D$44,MATCH(B1158,Harytlar!$A$5:$A$44,0)),""))</f>
        <v/>
      </c>
    </row>
    <row r="1159" spans="1:7" x14ac:dyDescent="0.3">
      <c r="A1159" s="17"/>
      <c r="B1159" s="18"/>
      <c r="C1159" s="18"/>
      <c r="D1159" s="18"/>
      <c r="E1159" s="10" t="str">
        <f>IF(B1159="","",IFERROR(INDEX(Harytlar!$C$5:$C$44,MATCH(B1159,Harytlar!$A$5:$A$44,0)),""))</f>
        <v/>
      </c>
      <c r="F1159" s="10" t="str">
        <f t="shared" si="18"/>
        <v/>
      </c>
      <c r="G1159" s="10" t="str">
        <f>IF(OR(C1159="",B1159=""),"",IFERROR(C1159*INDEX(Harytlar!$D$5:$D$44,MATCH(B1159,Harytlar!$A$5:$A$44,0)),""))</f>
        <v/>
      </c>
    </row>
    <row r="1160" spans="1:7" x14ac:dyDescent="0.3">
      <c r="A1160" s="17"/>
      <c r="B1160" s="18"/>
      <c r="C1160" s="18"/>
      <c r="D1160" s="18"/>
      <c r="E1160" s="10" t="str">
        <f>IF(B1160="","",IFERROR(INDEX(Harytlar!$C$5:$C$44,MATCH(B1160,Harytlar!$A$5:$A$44,0)),""))</f>
        <v/>
      </c>
      <c r="F1160" s="10" t="str">
        <f t="shared" si="18"/>
        <v/>
      </c>
      <c r="G1160" s="10" t="str">
        <f>IF(OR(C1160="",B1160=""),"",IFERROR(C1160*INDEX(Harytlar!$D$5:$D$44,MATCH(B1160,Harytlar!$A$5:$A$44,0)),""))</f>
        <v/>
      </c>
    </row>
    <row r="1161" spans="1:7" x14ac:dyDescent="0.3">
      <c r="A1161" s="17"/>
      <c r="B1161" s="18"/>
      <c r="C1161" s="18"/>
      <c r="D1161" s="18"/>
      <c r="E1161" s="10" t="str">
        <f>IF(B1161="","",IFERROR(INDEX(Harytlar!$C$5:$C$44,MATCH(B1161,Harytlar!$A$5:$A$44,0)),""))</f>
        <v/>
      </c>
      <c r="F1161" s="10" t="str">
        <f t="shared" si="18"/>
        <v/>
      </c>
      <c r="G1161" s="10" t="str">
        <f>IF(OR(C1161="",B1161=""),"",IFERROR(C1161*INDEX(Harytlar!$D$5:$D$44,MATCH(B1161,Harytlar!$A$5:$A$44,0)),""))</f>
        <v/>
      </c>
    </row>
    <row r="1162" spans="1:7" x14ac:dyDescent="0.3">
      <c r="A1162" s="17"/>
      <c r="B1162" s="18"/>
      <c r="C1162" s="18"/>
      <c r="D1162" s="18"/>
      <c r="E1162" s="10" t="str">
        <f>IF(B1162="","",IFERROR(INDEX(Harytlar!$C$5:$C$44,MATCH(B1162,Harytlar!$A$5:$A$44,0)),""))</f>
        <v/>
      </c>
      <c r="F1162" s="10" t="str">
        <f t="shared" si="18"/>
        <v/>
      </c>
      <c r="G1162" s="10" t="str">
        <f>IF(OR(C1162="",B1162=""),"",IFERROR(C1162*INDEX(Harytlar!$D$5:$D$44,MATCH(B1162,Harytlar!$A$5:$A$44,0)),""))</f>
        <v/>
      </c>
    </row>
    <row r="1163" spans="1:7" x14ac:dyDescent="0.3">
      <c r="A1163" s="17"/>
      <c r="B1163" s="18"/>
      <c r="C1163" s="18"/>
      <c r="D1163" s="18"/>
      <c r="E1163" s="10" t="str">
        <f>IF(B1163="","",IFERROR(INDEX(Harytlar!$C$5:$C$44,MATCH(B1163,Harytlar!$A$5:$A$44,0)),""))</f>
        <v/>
      </c>
      <c r="F1163" s="10" t="str">
        <f t="shared" si="18"/>
        <v/>
      </c>
      <c r="G1163" s="10" t="str">
        <f>IF(OR(C1163="",B1163=""),"",IFERROR(C1163*INDEX(Harytlar!$D$5:$D$44,MATCH(B1163,Harytlar!$A$5:$A$44,0)),""))</f>
        <v/>
      </c>
    </row>
    <row r="1164" spans="1:7" x14ac:dyDescent="0.3">
      <c r="A1164" s="17"/>
      <c r="B1164" s="18"/>
      <c r="C1164" s="18"/>
      <c r="D1164" s="18"/>
      <c r="E1164" s="10" t="str">
        <f>IF(B1164="","",IFERROR(INDEX(Harytlar!$C$5:$C$44,MATCH(B1164,Harytlar!$A$5:$A$44,0)),""))</f>
        <v/>
      </c>
      <c r="F1164" s="10" t="str">
        <f t="shared" si="18"/>
        <v/>
      </c>
      <c r="G1164" s="10" t="str">
        <f>IF(OR(C1164="",B1164=""),"",IFERROR(C1164*INDEX(Harytlar!$D$5:$D$44,MATCH(B1164,Harytlar!$A$5:$A$44,0)),""))</f>
        <v/>
      </c>
    </row>
    <row r="1165" spans="1:7" x14ac:dyDescent="0.3">
      <c r="A1165" s="17"/>
      <c r="B1165" s="18"/>
      <c r="C1165" s="18"/>
      <c r="D1165" s="18"/>
      <c r="E1165" s="10" t="str">
        <f>IF(B1165="","",IFERROR(INDEX(Harytlar!$C$5:$C$44,MATCH(B1165,Harytlar!$A$5:$A$44,0)),""))</f>
        <v/>
      </c>
      <c r="F1165" s="10" t="str">
        <f t="shared" si="18"/>
        <v/>
      </c>
      <c r="G1165" s="10" t="str">
        <f>IF(OR(C1165="",B1165=""),"",IFERROR(C1165*INDEX(Harytlar!$D$5:$D$44,MATCH(B1165,Harytlar!$A$5:$A$44,0)),""))</f>
        <v/>
      </c>
    </row>
    <row r="1166" spans="1:7" x14ac:dyDescent="0.3">
      <c r="A1166" s="17"/>
      <c r="B1166" s="18"/>
      <c r="C1166" s="18"/>
      <c r="D1166" s="18"/>
      <c r="E1166" s="10" t="str">
        <f>IF(B1166="","",IFERROR(INDEX(Harytlar!$C$5:$C$44,MATCH(B1166,Harytlar!$A$5:$A$44,0)),""))</f>
        <v/>
      </c>
      <c r="F1166" s="10" t="str">
        <f t="shared" si="18"/>
        <v/>
      </c>
      <c r="G1166" s="10" t="str">
        <f>IF(OR(C1166="",B1166=""),"",IFERROR(C1166*INDEX(Harytlar!$D$5:$D$44,MATCH(B1166,Harytlar!$A$5:$A$44,0)),""))</f>
        <v/>
      </c>
    </row>
    <row r="1167" spans="1:7" x14ac:dyDescent="0.3">
      <c r="A1167" s="17"/>
      <c r="B1167" s="18"/>
      <c r="C1167" s="18"/>
      <c r="D1167" s="18"/>
      <c r="E1167" s="10" t="str">
        <f>IF(B1167="","",IFERROR(INDEX(Harytlar!$C$5:$C$44,MATCH(B1167,Harytlar!$A$5:$A$44,0)),""))</f>
        <v/>
      </c>
      <c r="F1167" s="10" t="str">
        <f t="shared" si="18"/>
        <v/>
      </c>
      <c r="G1167" s="10" t="str">
        <f>IF(OR(C1167="",B1167=""),"",IFERROR(C1167*INDEX(Harytlar!$D$5:$D$44,MATCH(B1167,Harytlar!$A$5:$A$44,0)),""))</f>
        <v/>
      </c>
    </row>
    <row r="1168" spans="1:7" x14ac:dyDescent="0.3">
      <c r="A1168" s="17"/>
      <c r="B1168" s="18"/>
      <c r="C1168" s="18"/>
      <c r="D1168" s="18"/>
      <c r="E1168" s="10" t="str">
        <f>IF(B1168="","",IFERROR(INDEX(Harytlar!$C$5:$C$44,MATCH(B1168,Harytlar!$A$5:$A$44,0)),""))</f>
        <v/>
      </c>
      <c r="F1168" s="10" t="str">
        <f t="shared" si="18"/>
        <v/>
      </c>
      <c r="G1168" s="10" t="str">
        <f>IF(OR(C1168="",B1168=""),"",IFERROR(C1168*INDEX(Harytlar!$D$5:$D$44,MATCH(B1168,Harytlar!$A$5:$A$44,0)),""))</f>
        <v/>
      </c>
    </row>
    <row r="1169" spans="1:7" x14ac:dyDescent="0.3">
      <c r="A1169" s="17"/>
      <c r="B1169" s="18"/>
      <c r="C1169" s="18"/>
      <c r="D1169" s="18"/>
      <c r="E1169" s="10" t="str">
        <f>IF(B1169="","",IFERROR(INDEX(Harytlar!$C$5:$C$44,MATCH(B1169,Harytlar!$A$5:$A$44,0)),""))</f>
        <v/>
      </c>
      <c r="F1169" s="10" t="str">
        <f t="shared" si="18"/>
        <v/>
      </c>
      <c r="G1169" s="10" t="str">
        <f>IF(OR(C1169="",B1169=""),"",IFERROR(C1169*INDEX(Harytlar!$D$5:$D$44,MATCH(B1169,Harytlar!$A$5:$A$44,0)),""))</f>
        <v/>
      </c>
    </row>
    <row r="1170" spans="1:7" x14ac:dyDescent="0.3">
      <c r="A1170" s="17"/>
      <c r="B1170" s="18"/>
      <c r="C1170" s="18"/>
      <c r="D1170" s="18"/>
      <c r="E1170" s="10" t="str">
        <f>IF(B1170="","",IFERROR(INDEX(Harytlar!$C$5:$C$44,MATCH(B1170,Harytlar!$A$5:$A$44,0)),""))</f>
        <v/>
      </c>
      <c r="F1170" s="10" t="str">
        <f t="shared" si="18"/>
        <v/>
      </c>
      <c r="G1170" s="10" t="str">
        <f>IF(OR(C1170="",B1170=""),"",IFERROR(C1170*INDEX(Harytlar!$D$5:$D$44,MATCH(B1170,Harytlar!$A$5:$A$44,0)),""))</f>
        <v/>
      </c>
    </row>
    <row r="1171" spans="1:7" x14ac:dyDescent="0.3">
      <c r="A1171" s="17"/>
      <c r="B1171" s="18"/>
      <c r="C1171" s="18"/>
      <c r="D1171" s="18"/>
      <c r="E1171" s="10" t="str">
        <f>IF(B1171="","",IFERROR(INDEX(Harytlar!$C$5:$C$44,MATCH(B1171,Harytlar!$A$5:$A$44,0)),""))</f>
        <v/>
      </c>
      <c r="F1171" s="10" t="str">
        <f t="shared" si="18"/>
        <v/>
      </c>
      <c r="G1171" s="10" t="str">
        <f>IF(OR(C1171="",B1171=""),"",IFERROR(C1171*INDEX(Harytlar!$D$5:$D$44,MATCH(B1171,Harytlar!$A$5:$A$44,0)),""))</f>
        <v/>
      </c>
    </row>
    <row r="1172" spans="1:7" x14ac:dyDescent="0.3">
      <c r="A1172" s="17"/>
      <c r="B1172" s="18"/>
      <c r="C1172" s="18"/>
      <c r="D1172" s="18"/>
      <c r="E1172" s="10" t="str">
        <f>IF(B1172="","",IFERROR(INDEX(Harytlar!$C$5:$C$44,MATCH(B1172,Harytlar!$A$5:$A$44,0)),""))</f>
        <v/>
      </c>
      <c r="F1172" s="10" t="str">
        <f t="shared" si="18"/>
        <v/>
      </c>
      <c r="G1172" s="10" t="str">
        <f>IF(OR(C1172="",B1172=""),"",IFERROR(C1172*INDEX(Harytlar!$D$5:$D$44,MATCH(B1172,Harytlar!$A$5:$A$44,0)),""))</f>
        <v/>
      </c>
    </row>
    <row r="1173" spans="1:7" x14ac:dyDescent="0.3">
      <c r="A1173" s="17"/>
      <c r="B1173" s="18"/>
      <c r="C1173" s="18"/>
      <c r="D1173" s="18"/>
      <c r="E1173" s="10" t="str">
        <f>IF(B1173="","",IFERROR(INDEX(Harytlar!$C$5:$C$44,MATCH(B1173,Harytlar!$A$5:$A$44,0)),""))</f>
        <v/>
      </c>
      <c r="F1173" s="10" t="str">
        <f t="shared" si="18"/>
        <v/>
      </c>
      <c r="G1173" s="10" t="str">
        <f>IF(OR(C1173="",B1173=""),"",IFERROR(C1173*INDEX(Harytlar!$D$5:$D$44,MATCH(B1173,Harytlar!$A$5:$A$44,0)),""))</f>
        <v/>
      </c>
    </row>
    <row r="1174" spans="1:7" x14ac:dyDescent="0.3">
      <c r="A1174" s="17"/>
      <c r="B1174" s="18"/>
      <c r="C1174" s="18"/>
      <c r="D1174" s="18"/>
      <c r="E1174" s="10" t="str">
        <f>IF(B1174="","",IFERROR(INDEX(Harytlar!$C$5:$C$44,MATCH(B1174,Harytlar!$A$5:$A$44,0)),""))</f>
        <v/>
      </c>
      <c r="F1174" s="10" t="str">
        <f t="shared" si="18"/>
        <v/>
      </c>
      <c r="G1174" s="10" t="str">
        <f>IF(OR(C1174="",B1174=""),"",IFERROR(C1174*INDEX(Harytlar!$D$5:$D$44,MATCH(B1174,Harytlar!$A$5:$A$44,0)),""))</f>
        <v/>
      </c>
    </row>
    <row r="1175" spans="1:7" x14ac:dyDescent="0.3">
      <c r="A1175" s="17"/>
      <c r="B1175" s="18"/>
      <c r="C1175" s="18"/>
      <c r="D1175" s="18"/>
      <c r="E1175" s="10" t="str">
        <f>IF(B1175="","",IFERROR(INDEX(Harytlar!$C$5:$C$44,MATCH(B1175,Harytlar!$A$5:$A$44,0)),""))</f>
        <v/>
      </c>
      <c r="F1175" s="10" t="str">
        <f t="shared" si="18"/>
        <v/>
      </c>
      <c r="G1175" s="10" t="str">
        <f>IF(OR(C1175="",B1175=""),"",IFERROR(C1175*INDEX(Harytlar!$D$5:$D$44,MATCH(B1175,Harytlar!$A$5:$A$44,0)),""))</f>
        <v/>
      </c>
    </row>
    <row r="1176" spans="1:7" x14ac:dyDescent="0.3">
      <c r="A1176" s="17"/>
      <c r="B1176" s="18"/>
      <c r="C1176" s="18"/>
      <c r="D1176" s="18"/>
      <c r="E1176" s="10" t="str">
        <f>IF(B1176="","",IFERROR(INDEX(Harytlar!$C$5:$C$44,MATCH(B1176,Harytlar!$A$5:$A$44,0)),""))</f>
        <v/>
      </c>
      <c r="F1176" s="10" t="str">
        <f t="shared" si="18"/>
        <v/>
      </c>
      <c r="G1176" s="10" t="str">
        <f>IF(OR(C1176="",B1176=""),"",IFERROR(C1176*INDEX(Harytlar!$D$5:$D$44,MATCH(B1176,Harytlar!$A$5:$A$44,0)),""))</f>
        <v/>
      </c>
    </row>
    <row r="1177" spans="1:7" x14ac:dyDescent="0.3">
      <c r="A1177" s="17"/>
      <c r="B1177" s="18"/>
      <c r="C1177" s="18"/>
      <c r="D1177" s="18"/>
      <c r="E1177" s="10" t="str">
        <f>IF(B1177="","",IFERROR(INDEX(Harytlar!$C$5:$C$44,MATCH(B1177,Harytlar!$A$5:$A$44,0)),""))</f>
        <v/>
      </c>
      <c r="F1177" s="10" t="str">
        <f t="shared" si="18"/>
        <v/>
      </c>
      <c r="G1177" s="10" t="str">
        <f>IF(OR(C1177="",B1177=""),"",IFERROR(C1177*INDEX(Harytlar!$D$5:$D$44,MATCH(B1177,Harytlar!$A$5:$A$44,0)),""))</f>
        <v/>
      </c>
    </row>
    <row r="1178" spans="1:7" x14ac:dyDescent="0.3">
      <c r="A1178" s="17"/>
      <c r="B1178" s="18"/>
      <c r="C1178" s="18"/>
      <c r="D1178" s="18"/>
      <c r="E1178" s="10" t="str">
        <f>IF(B1178="","",IFERROR(INDEX(Harytlar!$C$5:$C$44,MATCH(B1178,Harytlar!$A$5:$A$44,0)),""))</f>
        <v/>
      </c>
      <c r="F1178" s="10" t="str">
        <f t="shared" si="18"/>
        <v/>
      </c>
      <c r="G1178" s="10" t="str">
        <f>IF(OR(C1178="",B1178=""),"",IFERROR(C1178*INDEX(Harytlar!$D$5:$D$44,MATCH(B1178,Harytlar!$A$5:$A$44,0)),""))</f>
        <v/>
      </c>
    </row>
    <row r="1179" spans="1:7" x14ac:dyDescent="0.3">
      <c r="A1179" s="17"/>
      <c r="B1179" s="18"/>
      <c r="C1179" s="18"/>
      <c r="D1179" s="18"/>
      <c r="E1179" s="10" t="str">
        <f>IF(B1179="","",IFERROR(INDEX(Harytlar!$C$5:$C$44,MATCH(B1179,Harytlar!$A$5:$A$44,0)),""))</f>
        <v/>
      </c>
      <c r="F1179" s="10" t="str">
        <f t="shared" si="18"/>
        <v/>
      </c>
      <c r="G1179" s="10" t="str">
        <f>IF(OR(C1179="",B1179=""),"",IFERROR(C1179*INDEX(Harytlar!$D$5:$D$44,MATCH(B1179,Harytlar!$A$5:$A$44,0)),""))</f>
        <v/>
      </c>
    </row>
    <row r="1180" spans="1:7" x14ac:dyDescent="0.3">
      <c r="A1180" s="17"/>
      <c r="B1180" s="18"/>
      <c r="C1180" s="18"/>
      <c r="D1180" s="18"/>
      <c r="E1180" s="10" t="str">
        <f>IF(B1180="","",IFERROR(INDEX(Harytlar!$C$5:$C$44,MATCH(B1180,Harytlar!$A$5:$A$44,0)),""))</f>
        <v/>
      </c>
      <c r="F1180" s="10" t="str">
        <f t="shared" si="18"/>
        <v/>
      </c>
      <c r="G1180" s="10" t="str">
        <f>IF(OR(C1180="",B1180=""),"",IFERROR(C1180*INDEX(Harytlar!$D$5:$D$44,MATCH(B1180,Harytlar!$A$5:$A$44,0)),""))</f>
        <v/>
      </c>
    </row>
    <row r="1181" spans="1:7" x14ac:dyDescent="0.3">
      <c r="A1181" s="17"/>
      <c r="B1181" s="18"/>
      <c r="C1181" s="18"/>
      <c r="D1181" s="18"/>
      <c r="E1181" s="10" t="str">
        <f>IF(B1181="","",IFERROR(INDEX(Harytlar!$C$5:$C$44,MATCH(B1181,Harytlar!$A$5:$A$44,0)),""))</f>
        <v/>
      </c>
      <c r="F1181" s="10" t="str">
        <f t="shared" si="18"/>
        <v/>
      </c>
      <c r="G1181" s="10" t="str">
        <f>IF(OR(C1181="",B1181=""),"",IFERROR(C1181*INDEX(Harytlar!$D$5:$D$44,MATCH(B1181,Harytlar!$A$5:$A$44,0)),""))</f>
        <v/>
      </c>
    </row>
    <row r="1182" spans="1:7" x14ac:dyDescent="0.3">
      <c r="A1182" s="17"/>
      <c r="B1182" s="18"/>
      <c r="C1182" s="18"/>
      <c r="D1182" s="18"/>
      <c r="E1182" s="10" t="str">
        <f>IF(B1182="","",IFERROR(INDEX(Harytlar!$C$5:$C$44,MATCH(B1182,Harytlar!$A$5:$A$44,0)),""))</f>
        <v/>
      </c>
      <c r="F1182" s="10" t="str">
        <f t="shared" si="18"/>
        <v/>
      </c>
      <c r="G1182" s="10" t="str">
        <f>IF(OR(C1182="",B1182=""),"",IFERROR(C1182*INDEX(Harytlar!$D$5:$D$44,MATCH(B1182,Harytlar!$A$5:$A$44,0)),""))</f>
        <v/>
      </c>
    </row>
    <row r="1183" spans="1:7" x14ac:dyDescent="0.3">
      <c r="A1183" s="17"/>
      <c r="B1183" s="18"/>
      <c r="C1183" s="18"/>
      <c r="D1183" s="18"/>
      <c r="E1183" s="10" t="str">
        <f>IF(B1183="","",IFERROR(INDEX(Harytlar!$C$5:$C$44,MATCH(B1183,Harytlar!$A$5:$A$44,0)),""))</f>
        <v/>
      </c>
      <c r="F1183" s="10" t="str">
        <f t="shared" si="18"/>
        <v/>
      </c>
      <c r="G1183" s="10" t="str">
        <f>IF(OR(C1183="",B1183=""),"",IFERROR(C1183*INDEX(Harytlar!$D$5:$D$44,MATCH(B1183,Harytlar!$A$5:$A$44,0)),""))</f>
        <v/>
      </c>
    </row>
    <row r="1184" spans="1:7" x14ac:dyDescent="0.3">
      <c r="A1184" s="17"/>
      <c r="B1184" s="18"/>
      <c r="C1184" s="18"/>
      <c r="D1184" s="18"/>
      <c r="E1184" s="10" t="str">
        <f>IF(B1184="","",IFERROR(INDEX(Harytlar!$C$5:$C$44,MATCH(B1184,Harytlar!$A$5:$A$44,0)),""))</f>
        <v/>
      </c>
      <c r="F1184" s="10" t="str">
        <f t="shared" si="18"/>
        <v/>
      </c>
      <c r="G1184" s="10" t="str">
        <f>IF(OR(C1184="",B1184=""),"",IFERROR(C1184*INDEX(Harytlar!$D$5:$D$44,MATCH(B1184,Harytlar!$A$5:$A$44,0)),""))</f>
        <v/>
      </c>
    </row>
    <row r="1185" spans="1:7" x14ac:dyDescent="0.3">
      <c r="A1185" s="17"/>
      <c r="B1185" s="18"/>
      <c r="C1185" s="18"/>
      <c r="D1185" s="18"/>
      <c r="E1185" s="10" t="str">
        <f>IF(B1185="","",IFERROR(INDEX(Harytlar!$C$5:$C$44,MATCH(B1185,Harytlar!$A$5:$A$44,0)),""))</f>
        <v/>
      </c>
      <c r="F1185" s="10" t="str">
        <f t="shared" si="18"/>
        <v/>
      </c>
      <c r="G1185" s="10" t="str">
        <f>IF(OR(C1185="",B1185=""),"",IFERROR(C1185*INDEX(Harytlar!$D$5:$D$44,MATCH(B1185,Harytlar!$A$5:$A$44,0)),""))</f>
        <v/>
      </c>
    </row>
    <row r="1186" spans="1:7" x14ac:dyDescent="0.3">
      <c r="A1186" s="17"/>
      <c r="B1186" s="18"/>
      <c r="C1186" s="18"/>
      <c r="D1186" s="18"/>
      <c r="E1186" s="10" t="str">
        <f>IF(B1186="","",IFERROR(INDEX(Harytlar!$C$5:$C$44,MATCH(B1186,Harytlar!$A$5:$A$44,0)),""))</f>
        <v/>
      </c>
      <c r="F1186" s="10" t="str">
        <f t="shared" si="18"/>
        <v/>
      </c>
      <c r="G1186" s="10" t="str">
        <f>IF(OR(C1186="",B1186=""),"",IFERROR(C1186*INDEX(Harytlar!$D$5:$D$44,MATCH(B1186,Harytlar!$A$5:$A$44,0)),""))</f>
        <v/>
      </c>
    </row>
    <row r="1187" spans="1:7" x14ac:dyDescent="0.3">
      <c r="A1187" s="17"/>
      <c r="B1187" s="18"/>
      <c r="C1187" s="18"/>
      <c r="D1187" s="18"/>
      <c r="E1187" s="10" t="str">
        <f>IF(B1187="","",IFERROR(INDEX(Harytlar!$C$5:$C$44,MATCH(B1187,Harytlar!$A$5:$A$44,0)),""))</f>
        <v/>
      </c>
      <c r="F1187" s="10" t="str">
        <f t="shared" si="18"/>
        <v/>
      </c>
      <c r="G1187" s="10" t="str">
        <f>IF(OR(C1187="",B1187=""),"",IFERROR(C1187*INDEX(Harytlar!$D$5:$D$44,MATCH(B1187,Harytlar!$A$5:$A$44,0)),""))</f>
        <v/>
      </c>
    </row>
    <row r="1188" spans="1:7" x14ac:dyDescent="0.3">
      <c r="A1188" s="17"/>
      <c r="B1188" s="18"/>
      <c r="C1188" s="18"/>
      <c r="D1188" s="18"/>
      <c r="E1188" s="10" t="str">
        <f>IF(B1188="","",IFERROR(INDEX(Harytlar!$C$5:$C$44,MATCH(B1188,Harytlar!$A$5:$A$44,0)),""))</f>
        <v/>
      </c>
      <c r="F1188" s="10" t="str">
        <f t="shared" si="18"/>
        <v/>
      </c>
      <c r="G1188" s="10" t="str">
        <f>IF(OR(C1188="",B1188=""),"",IFERROR(C1188*INDEX(Harytlar!$D$5:$D$44,MATCH(B1188,Harytlar!$A$5:$A$44,0)),""))</f>
        <v/>
      </c>
    </row>
    <row r="1189" spans="1:7" x14ac:dyDescent="0.3">
      <c r="A1189" s="17"/>
      <c r="B1189" s="18"/>
      <c r="C1189" s="18"/>
      <c r="D1189" s="18"/>
      <c r="E1189" s="10" t="str">
        <f>IF(B1189="","",IFERROR(INDEX(Harytlar!$C$5:$C$44,MATCH(B1189,Harytlar!$A$5:$A$44,0)),""))</f>
        <v/>
      </c>
      <c r="F1189" s="10" t="str">
        <f t="shared" si="18"/>
        <v/>
      </c>
      <c r="G1189" s="10" t="str">
        <f>IF(OR(C1189="",B1189=""),"",IFERROR(C1189*INDEX(Harytlar!$D$5:$D$44,MATCH(B1189,Harytlar!$A$5:$A$44,0)),""))</f>
        <v/>
      </c>
    </row>
    <row r="1190" spans="1:7" x14ac:dyDescent="0.3">
      <c r="A1190" s="17"/>
      <c r="B1190" s="18"/>
      <c r="C1190" s="18"/>
      <c r="D1190" s="18"/>
      <c r="E1190" s="10" t="str">
        <f>IF(B1190="","",IFERROR(INDEX(Harytlar!$C$5:$C$44,MATCH(B1190,Harytlar!$A$5:$A$44,0)),""))</f>
        <v/>
      </c>
      <c r="F1190" s="10" t="str">
        <f t="shared" si="18"/>
        <v/>
      </c>
      <c r="G1190" s="10" t="str">
        <f>IF(OR(C1190="",B1190=""),"",IFERROR(C1190*INDEX(Harytlar!$D$5:$D$44,MATCH(B1190,Harytlar!$A$5:$A$44,0)),""))</f>
        <v/>
      </c>
    </row>
    <row r="1191" spans="1:7" x14ac:dyDescent="0.3">
      <c r="A1191" s="17"/>
      <c r="B1191" s="18"/>
      <c r="C1191" s="18"/>
      <c r="D1191" s="18"/>
      <c r="E1191" s="10" t="str">
        <f>IF(B1191="","",IFERROR(INDEX(Harytlar!$C$5:$C$44,MATCH(B1191,Harytlar!$A$5:$A$44,0)),""))</f>
        <v/>
      </c>
      <c r="F1191" s="10" t="str">
        <f t="shared" si="18"/>
        <v/>
      </c>
      <c r="G1191" s="10" t="str">
        <f>IF(OR(C1191="",B1191=""),"",IFERROR(C1191*INDEX(Harytlar!$D$5:$D$44,MATCH(B1191,Harytlar!$A$5:$A$44,0)),""))</f>
        <v/>
      </c>
    </row>
    <row r="1192" spans="1:7" x14ac:dyDescent="0.3">
      <c r="A1192" s="17"/>
      <c r="B1192" s="18"/>
      <c r="C1192" s="18"/>
      <c r="D1192" s="18"/>
      <c r="E1192" s="10" t="str">
        <f>IF(B1192="","",IFERROR(INDEX(Harytlar!$C$5:$C$44,MATCH(B1192,Harytlar!$A$5:$A$44,0)),""))</f>
        <v/>
      </c>
      <c r="F1192" s="10" t="str">
        <f t="shared" si="18"/>
        <v/>
      </c>
      <c r="G1192" s="10" t="str">
        <f>IF(OR(C1192="",B1192=""),"",IFERROR(C1192*INDEX(Harytlar!$D$5:$D$44,MATCH(B1192,Harytlar!$A$5:$A$44,0)),""))</f>
        <v/>
      </c>
    </row>
    <row r="1193" spans="1:7" x14ac:dyDescent="0.3">
      <c r="A1193" s="17"/>
      <c r="B1193" s="18"/>
      <c r="C1193" s="18"/>
      <c r="D1193" s="18"/>
      <c r="E1193" s="10" t="str">
        <f>IF(B1193="","",IFERROR(INDEX(Harytlar!$C$5:$C$44,MATCH(B1193,Harytlar!$A$5:$A$44,0)),""))</f>
        <v/>
      </c>
      <c r="F1193" s="10" t="str">
        <f t="shared" si="18"/>
        <v/>
      </c>
      <c r="G1193" s="10" t="str">
        <f>IF(OR(C1193="",B1193=""),"",IFERROR(C1193*INDEX(Harytlar!$D$5:$D$44,MATCH(B1193,Harytlar!$A$5:$A$44,0)),""))</f>
        <v/>
      </c>
    </row>
    <row r="1194" spans="1:7" x14ac:dyDescent="0.3">
      <c r="A1194" s="17"/>
      <c r="B1194" s="18"/>
      <c r="C1194" s="18"/>
      <c r="D1194" s="18"/>
      <c r="E1194" s="10" t="str">
        <f>IF(B1194="","",IFERROR(INDEX(Harytlar!$C$5:$C$44,MATCH(B1194,Harytlar!$A$5:$A$44,0)),""))</f>
        <v/>
      </c>
      <c r="F1194" s="10" t="str">
        <f t="shared" si="18"/>
        <v/>
      </c>
      <c r="G1194" s="10" t="str">
        <f>IF(OR(C1194="",B1194=""),"",IFERROR(C1194*INDEX(Harytlar!$D$5:$D$44,MATCH(B1194,Harytlar!$A$5:$A$44,0)),""))</f>
        <v/>
      </c>
    </row>
    <row r="1195" spans="1:7" x14ac:dyDescent="0.3">
      <c r="A1195" s="17"/>
      <c r="B1195" s="18"/>
      <c r="C1195" s="18"/>
      <c r="D1195" s="18"/>
      <c r="E1195" s="10" t="str">
        <f>IF(B1195="","",IFERROR(INDEX(Harytlar!$C$5:$C$44,MATCH(B1195,Harytlar!$A$5:$A$44,0)),""))</f>
        <v/>
      </c>
      <c r="F1195" s="10" t="str">
        <f t="shared" si="18"/>
        <v/>
      </c>
      <c r="G1195" s="10" t="str">
        <f>IF(OR(C1195="",B1195=""),"",IFERROR(C1195*INDEX(Harytlar!$D$5:$D$44,MATCH(B1195,Harytlar!$A$5:$A$44,0)),""))</f>
        <v/>
      </c>
    </row>
    <row r="1196" spans="1:7" x14ac:dyDescent="0.3">
      <c r="A1196" s="17"/>
      <c r="B1196" s="18"/>
      <c r="C1196" s="18"/>
      <c r="D1196" s="18"/>
      <c r="E1196" s="10" t="str">
        <f>IF(B1196="","",IFERROR(INDEX(Harytlar!$C$5:$C$44,MATCH(B1196,Harytlar!$A$5:$A$44,0)),""))</f>
        <v/>
      </c>
      <c r="F1196" s="10" t="str">
        <f t="shared" si="18"/>
        <v/>
      </c>
      <c r="G1196" s="10" t="str">
        <f>IF(OR(C1196="",B1196=""),"",IFERROR(C1196*INDEX(Harytlar!$D$5:$D$44,MATCH(B1196,Harytlar!$A$5:$A$44,0)),""))</f>
        <v/>
      </c>
    </row>
    <row r="1197" spans="1:7" x14ac:dyDescent="0.3">
      <c r="A1197" s="17"/>
      <c r="B1197" s="18"/>
      <c r="C1197" s="18"/>
      <c r="D1197" s="18"/>
      <c r="E1197" s="10" t="str">
        <f>IF(B1197="","",IFERROR(INDEX(Harytlar!$C$5:$C$44,MATCH(B1197,Harytlar!$A$5:$A$44,0)),""))</f>
        <v/>
      </c>
      <c r="F1197" s="10" t="str">
        <f t="shared" si="18"/>
        <v/>
      </c>
      <c r="G1197" s="10" t="str">
        <f>IF(OR(C1197="",B1197=""),"",IFERROR(C1197*INDEX(Harytlar!$D$5:$D$44,MATCH(B1197,Harytlar!$A$5:$A$44,0)),""))</f>
        <v/>
      </c>
    </row>
    <row r="1198" spans="1:7" x14ac:dyDescent="0.3">
      <c r="A1198" s="17"/>
      <c r="B1198" s="18"/>
      <c r="C1198" s="18"/>
      <c r="D1198" s="18"/>
      <c r="E1198" s="10" t="str">
        <f>IF(B1198="","",IFERROR(INDEX(Harytlar!$C$5:$C$44,MATCH(B1198,Harytlar!$A$5:$A$44,0)),""))</f>
        <v/>
      </c>
      <c r="F1198" s="10" t="str">
        <f t="shared" si="18"/>
        <v/>
      </c>
      <c r="G1198" s="10" t="str">
        <f>IF(OR(C1198="",B1198=""),"",IFERROR(C1198*INDEX(Harytlar!$D$5:$D$44,MATCH(B1198,Harytlar!$A$5:$A$44,0)),""))</f>
        <v/>
      </c>
    </row>
    <row r="1199" spans="1:7" x14ac:dyDescent="0.3">
      <c r="A1199" s="17"/>
      <c r="B1199" s="18"/>
      <c r="C1199" s="18"/>
      <c r="D1199" s="18"/>
      <c r="E1199" s="10" t="str">
        <f>IF(B1199="","",IFERROR(INDEX(Harytlar!$C$5:$C$44,MATCH(B1199,Harytlar!$A$5:$A$44,0)),""))</f>
        <v/>
      </c>
      <c r="F1199" s="10" t="str">
        <f t="shared" si="18"/>
        <v/>
      </c>
      <c r="G1199" s="10" t="str">
        <f>IF(OR(C1199="",B1199=""),"",IFERROR(C1199*INDEX(Harytlar!$D$5:$D$44,MATCH(B1199,Harytlar!$A$5:$A$44,0)),""))</f>
        <v/>
      </c>
    </row>
    <row r="1200" spans="1:7" x14ac:dyDescent="0.3">
      <c r="A1200" s="17"/>
      <c r="B1200" s="18"/>
      <c r="C1200" s="18"/>
      <c r="D1200" s="18"/>
      <c r="E1200" s="10" t="str">
        <f>IF(B1200="","",IFERROR(INDEX(Harytlar!$C$5:$C$44,MATCH(B1200,Harytlar!$A$5:$A$44,0)),""))</f>
        <v/>
      </c>
      <c r="F1200" s="10" t="str">
        <f t="shared" si="18"/>
        <v/>
      </c>
      <c r="G1200" s="10" t="str">
        <f>IF(OR(C1200="",B1200=""),"",IFERROR(C1200*INDEX(Harytlar!$D$5:$D$44,MATCH(B1200,Harytlar!$A$5:$A$44,0)),""))</f>
        <v/>
      </c>
    </row>
    <row r="1201" spans="1:7" x14ac:dyDescent="0.3">
      <c r="A1201" s="17"/>
      <c r="B1201" s="18"/>
      <c r="C1201" s="18"/>
      <c r="D1201" s="18"/>
      <c r="E1201" s="10" t="str">
        <f>IF(B1201="","",IFERROR(INDEX(Harytlar!$C$5:$C$44,MATCH(B1201,Harytlar!$A$5:$A$44,0)),""))</f>
        <v/>
      </c>
      <c r="F1201" s="10" t="str">
        <f t="shared" si="18"/>
        <v/>
      </c>
      <c r="G1201" s="10" t="str">
        <f>IF(OR(C1201="",B1201=""),"",IFERROR(C1201*INDEX(Harytlar!$D$5:$D$44,MATCH(B1201,Harytlar!$A$5:$A$44,0)),""))</f>
        <v/>
      </c>
    </row>
    <row r="1202" spans="1:7" x14ac:dyDescent="0.3">
      <c r="A1202" s="17"/>
      <c r="B1202" s="18"/>
      <c r="C1202" s="18"/>
      <c r="D1202" s="18"/>
      <c r="E1202" s="10" t="str">
        <f>IF(B1202="","",IFERROR(INDEX(Harytlar!$C$5:$C$44,MATCH(B1202,Harytlar!$A$5:$A$44,0)),""))</f>
        <v/>
      </c>
      <c r="F1202" s="10" t="str">
        <f t="shared" si="18"/>
        <v/>
      </c>
      <c r="G1202" s="10" t="str">
        <f>IF(OR(C1202="",B1202=""),"",IFERROR(C1202*INDEX(Harytlar!$D$5:$D$44,MATCH(B1202,Harytlar!$A$5:$A$44,0)),""))</f>
        <v/>
      </c>
    </row>
    <row r="1203" spans="1:7" x14ac:dyDescent="0.3">
      <c r="A1203" s="17"/>
      <c r="B1203" s="18"/>
      <c r="C1203" s="18"/>
      <c r="D1203" s="18"/>
      <c r="E1203" s="10" t="str">
        <f>IF(B1203="","",IFERROR(INDEX(Harytlar!$C$5:$C$44,MATCH(B1203,Harytlar!$A$5:$A$44,0)),""))</f>
        <v/>
      </c>
      <c r="F1203" s="10" t="str">
        <f t="shared" si="18"/>
        <v/>
      </c>
      <c r="G1203" s="10" t="str">
        <f>IF(OR(C1203="",B1203=""),"",IFERROR(C1203*INDEX(Harytlar!$D$5:$D$44,MATCH(B1203,Harytlar!$A$5:$A$44,0)),""))</f>
        <v/>
      </c>
    </row>
    <row r="1204" spans="1:7" x14ac:dyDescent="0.3">
      <c r="A1204" s="17"/>
      <c r="B1204" s="18"/>
      <c r="C1204" s="18"/>
      <c r="D1204" s="18"/>
      <c r="E1204" s="10" t="str">
        <f>IF(B1204="","",IFERROR(INDEX(Harytlar!$C$5:$C$44,MATCH(B1204,Harytlar!$A$5:$A$44,0)),""))</f>
        <v/>
      </c>
      <c r="F1204" s="10" t="str">
        <f t="shared" si="18"/>
        <v/>
      </c>
      <c r="G1204" s="10" t="str">
        <f>IF(OR(C1204="",B1204=""),"",IFERROR(C1204*INDEX(Harytlar!$D$5:$D$44,MATCH(B1204,Harytlar!$A$5:$A$44,0)),""))</f>
        <v/>
      </c>
    </row>
    <row r="1205" spans="1:7" x14ac:dyDescent="0.3">
      <c r="A1205" s="17"/>
      <c r="B1205" s="18"/>
      <c r="C1205" s="18"/>
      <c r="D1205" s="18"/>
      <c r="E1205" s="10" t="str">
        <f>IF(B1205="","",IFERROR(INDEX(Harytlar!$C$5:$C$44,MATCH(B1205,Harytlar!$A$5:$A$44,0)),""))</f>
        <v/>
      </c>
      <c r="F1205" s="10" t="str">
        <f t="shared" si="18"/>
        <v/>
      </c>
      <c r="G1205" s="10" t="str">
        <f>IF(OR(C1205="",B1205=""),"",IFERROR(C1205*INDEX(Harytlar!$D$5:$D$44,MATCH(B1205,Harytlar!$A$5:$A$44,0)),""))</f>
        <v/>
      </c>
    </row>
    <row r="1206" spans="1:7" x14ac:dyDescent="0.3">
      <c r="A1206" s="17"/>
      <c r="B1206" s="18"/>
      <c r="C1206" s="18"/>
      <c r="D1206" s="18"/>
      <c r="E1206" s="10" t="str">
        <f>IF(B1206="","",IFERROR(INDEX(Harytlar!$C$5:$C$44,MATCH(B1206,Harytlar!$A$5:$A$44,0)),""))</f>
        <v/>
      </c>
      <c r="F1206" s="10" t="str">
        <f t="shared" si="18"/>
        <v/>
      </c>
      <c r="G1206" s="10" t="str">
        <f>IF(OR(C1206="",B1206=""),"",IFERROR(C1206*INDEX(Harytlar!$D$5:$D$44,MATCH(B1206,Harytlar!$A$5:$A$44,0)),""))</f>
        <v/>
      </c>
    </row>
    <row r="1207" spans="1:7" x14ac:dyDescent="0.3">
      <c r="A1207" s="17"/>
      <c r="B1207" s="18"/>
      <c r="C1207" s="18"/>
      <c r="D1207" s="18"/>
      <c r="E1207" s="10" t="str">
        <f>IF(B1207="","",IFERROR(INDEX(Harytlar!$C$5:$C$44,MATCH(B1207,Harytlar!$A$5:$A$44,0)),""))</f>
        <v/>
      </c>
      <c r="F1207" s="10" t="str">
        <f t="shared" si="18"/>
        <v/>
      </c>
      <c r="G1207" s="10" t="str">
        <f>IF(OR(C1207="",B1207=""),"",IFERROR(C1207*INDEX(Harytlar!$D$5:$D$44,MATCH(B1207,Harytlar!$A$5:$A$44,0)),""))</f>
        <v/>
      </c>
    </row>
    <row r="1208" spans="1:7" x14ac:dyDescent="0.3">
      <c r="A1208" s="17"/>
      <c r="B1208" s="18"/>
      <c r="C1208" s="18"/>
      <c r="D1208" s="18"/>
      <c r="E1208" s="10" t="str">
        <f>IF(B1208="","",IFERROR(INDEX(Harytlar!$C$5:$C$44,MATCH(B1208,Harytlar!$A$5:$A$44,0)),""))</f>
        <v/>
      </c>
      <c r="F1208" s="10" t="str">
        <f t="shared" si="18"/>
        <v/>
      </c>
      <c r="G1208" s="10" t="str">
        <f>IF(OR(C1208="",B1208=""),"",IFERROR(C1208*INDEX(Harytlar!$D$5:$D$44,MATCH(B1208,Harytlar!$A$5:$A$44,0)),""))</f>
        <v/>
      </c>
    </row>
    <row r="1209" spans="1:7" x14ac:dyDescent="0.3">
      <c r="A1209" s="17"/>
      <c r="B1209" s="18"/>
      <c r="C1209" s="18"/>
      <c r="D1209" s="18"/>
      <c r="E1209" s="10" t="str">
        <f>IF(B1209="","",IFERROR(INDEX(Harytlar!$C$5:$C$44,MATCH(B1209,Harytlar!$A$5:$A$44,0)),""))</f>
        <v/>
      </c>
      <c r="F1209" s="10" t="str">
        <f t="shared" si="18"/>
        <v/>
      </c>
      <c r="G1209" s="10" t="str">
        <f>IF(OR(C1209="",B1209=""),"",IFERROR(C1209*INDEX(Harytlar!$D$5:$D$44,MATCH(B1209,Harytlar!$A$5:$A$44,0)),""))</f>
        <v/>
      </c>
    </row>
    <row r="1210" spans="1:7" x14ac:dyDescent="0.3">
      <c r="A1210" s="17"/>
      <c r="B1210" s="18"/>
      <c r="C1210" s="18"/>
      <c r="D1210" s="18"/>
      <c r="E1210" s="10" t="str">
        <f>IF(B1210="","",IFERROR(INDEX(Harytlar!$C$5:$C$44,MATCH(B1210,Harytlar!$A$5:$A$44,0)),""))</f>
        <v/>
      </c>
      <c r="F1210" s="10" t="str">
        <f t="shared" si="18"/>
        <v/>
      </c>
      <c r="G1210" s="10" t="str">
        <f>IF(OR(C1210="",B1210=""),"",IFERROR(C1210*INDEX(Harytlar!$D$5:$D$44,MATCH(B1210,Harytlar!$A$5:$A$44,0)),""))</f>
        <v/>
      </c>
    </row>
    <row r="1211" spans="1:7" x14ac:dyDescent="0.3">
      <c r="A1211" s="17"/>
      <c r="B1211" s="18"/>
      <c r="C1211" s="18"/>
      <c r="D1211" s="18"/>
      <c r="E1211" s="10" t="str">
        <f>IF(B1211="","",IFERROR(INDEX(Harytlar!$C$5:$C$44,MATCH(B1211,Harytlar!$A$5:$A$44,0)),""))</f>
        <v/>
      </c>
      <c r="F1211" s="10" t="str">
        <f t="shared" si="18"/>
        <v/>
      </c>
      <c r="G1211" s="10" t="str">
        <f>IF(OR(C1211="",B1211=""),"",IFERROR(C1211*INDEX(Harytlar!$D$5:$D$44,MATCH(B1211,Harytlar!$A$5:$A$44,0)),""))</f>
        <v/>
      </c>
    </row>
    <row r="1212" spans="1:7" x14ac:dyDescent="0.3">
      <c r="A1212" s="17"/>
      <c r="B1212" s="18"/>
      <c r="C1212" s="18"/>
      <c r="D1212" s="18"/>
      <c r="E1212" s="10" t="str">
        <f>IF(B1212="","",IFERROR(INDEX(Harytlar!$C$5:$C$44,MATCH(B1212,Harytlar!$A$5:$A$44,0)),""))</f>
        <v/>
      </c>
      <c r="F1212" s="10" t="str">
        <f t="shared" si="18"/>
        <v/>
      </c>
      <c r="G1212" s="10" t="str">
        <f>IF(OR(C1212="",B1212=""),"",IFERROR(C1212*INDEX(Harytlar!$D$5:$D$44,MATCH(B1212,Harytlar!$A$5:$A$44,0)),""))</f>
        <v/>
      </c>
    </row>
    <row r="1213" spans="1:7" x14ac:dyDescent="0.3">
      <c r="A1213" s="17"/>
      <c r="B1213" s="18"/>
      <c r="C1213" s="18"/>
      <c r="D1213" s="18"/>
      <c r="E1213" s="10" t="str">
        <f>IF(B1213="","",IFERROR(INDEX(Harytlar!$C$5:$C$44,MATCH(B1213,Harytlar!$A$5:$A$44,0)),""))</f>
        <v/>
      </c>
      <c r="F1213" s="10" t="str">
        <f t="shared" si="18"/>
        <v/>
      </c>
      <c r="G1213" s="10" t="str">
        <f>IF(OR(C1213="",B1213=""),"",IFERROR(C1213*INDEX(Harytlar!$D$5:$D$44,MATCH(B1213,Harytlar!$A$5:$A$44,0)),""))</f>
        <v/>
      </c>
    </row>
    <row r="1214" spans="1:7" x14ac:dyDescent="0.3">
      <c r="A1214" s="17"/>
      <c r="B1214" s="18"/>
      <c r="C1214" s="18"/>
      <c r="D1214" s="18"/>
      <c r="E1214" s="10" t="str">
        <f>IF(B1214="","",IFERROR(INDEX(Harytlar!$C$5:$C$44,MATCH(B1214,Harytlar!$A$5:$A$44,0)),""))</f>
        <v/>
      </c>
      <c r="F1214" s="10" t="str">
        <f t="shared" si="18"/>
        <v/>
      </c>
      <c r="G1214" s="10" t="str">
        <f>IF(OR(C1214="",B1214=""),"",IFERROR(C1214*INDEX(Harytlar!$D$5:$D$44,MATCH(B1214,Harytlar!$A$5:$A$44,0)),""))</f>
        <v/>
      </c>
    </row>
    <row r="1215" spans="1:7" x14ac:dyDescent="0.3">
      <c r="A1215" s="17"/>
      <c r="B1215" s="18"/>
      <c r="C1215" s="18"/>
      <c r="D1215" s="18"/>
      <c r="E1215" s="10" t="str">
        <f>IF(B1215="","",IFERROR(INDEX(Harytlar!$C$5:$C$44,MATCH(B1215,Harytlar!$A$5:$A$44,0)),""))</f>
        <v/>
      </c>
      <c r="F1215" s="10" t="str">
        <f t="shared" si="18"/>
        <v/>
      </c>
      <c r="G1215" s="10" t="str">
        <f>IF(OR(C1215="",B1215=""),"",IFERROR(C1215*INDEX(Harytlar!$D$5:$D$44,MATCH(B1215,Harytlar!$A$5:$A$44,0)),""))</f>
        <v/>
      </c>
    </row>
    <row r="1216" spans="1:7" x14ac:dyDescent="0.3">
      <c r="A1216" s="17"/>
      <c r="B1216" s="18"/>
      <c r="C1216" s="18"/>
      <c r="D1216" s="18"/>
      <c r="E1216" s="10" t="str">
        <f>IF(B1216="","",IFERROR(INDEX(Harytlar!$C$5:$C$44,MATCH(B1216,Harytlar!$A$5:$A$44,0)),""))</f>
        <v/>
      </c>
      <c r="F1216" s="10" t="str">
        <f t="shared" si="18"/>
        <v/>
      </c>
      <c r="G1216" s="10" t="str">
        <f>IF(OR(C1216="",B1216=""),"",IFERROR(C1216*INDEX(Harytlar!$D$5:$D$44,MATCH(B1216,Harytlar!$A$5:$A$44,0)),""))</f>
        <v/>
      </c>
    </row>
    <row r="1217" spans="1:7" x14ac:dyDescent="0.3">
      <c r="A1217" s="17"/>
      <c r="B1217" s="18"/>
      <c r="C1217" s="18"/>
      <c r="D1217" s="18"/>
      <c r="E1217" s="10" t="str">
        <f>IF(B1217="","",IFERROR(INDEX(Harytlar!$C$5:$C$44,MATCH(B1217,Harytlar!$A$5:$A$44,0)),""))</f>
        <v/>
      </c>
      <c r="F1217" s="10" t="str">
        <f t="shared" si="18"/>
        <v/>
      </c>
      <c r="G1217" s="10" t="str">
        <f>IF(OR(C1217="",B1217=""),"",IFERROR(C1217*INDEX(Harytlar!$D$5:$D$44,MATCH(B1217,Harytlar!$A$5:$A$44,0)),""))</f>
        <v/>
      </c>
    </row>
    <row r="1218" spans="1:7" x14ac:dyDescent="0.3">
      <c r="A1218" s="17"/>
      <c r="B1218" s="18"/>
      <c r="C1218" s="18"/>
      <c r="D1218" s="18"/>
      <c r="E1218" s="10" t="str">
        <f>IF(B1218="","",IFERROR(INDEX(Harytlar!$C$5:$C$44,MATCH(B1218,Harytlar!$A$5:$A$44,0)),""))</f>
        <v/>
      </c>
      <c r="F1218" s="10" t="str">
        <f t="shared" si="18"/>
        <v/>
      </c>
      <c r="G1218" s="10" t="str">
        <f>IF(OR(C1218="",B1218=""),"",IFERROR(C1218*INDEX(Harytlar!$D$5:$D$44,MATCH(B1218,Harytlar!$A$5:$A$44,0)),""))</f>
        <v/>
      </c>
    </row>
    <row r="1219" spans="1:7" x14ac:dyDescent="0.3">
      <c r="A1219" s="17"/>
      <c r="B1219" s="18"/>
      <c r="C1219" s="18"/>
      <c r="D1219" s="18"/>
      <c r="E1219" s="10" t="str">
        <f>IF(B1219="","",IFERROR(INDEX(Harytlar!$C$5:$C$44,MATCH(B1219,Harytlar!$A$5:$A$44,0)),""))</f>
        <v/>
      </c>
      <c r="F1219" s="10" t="str">
        <f t="shared" si="18"/>
        <v/>
      </c>
      <c r="G1219" s="10" t="str">
        <f>IF(OR(C1219="",B1219=""),"",IFERROR(C1219*INDEX(Harytlar!$D$5:$D$44,MATCH(B1219,Harytlar!$A$5:$A$44,0)),""))</f>
        <v/>
      </c>
    </row>
    <row r="1220" spans="1:7" x14ac:dyDescent="0.3">
      <c r="A1220" s="17"/>
      <c r="B1220" s="18"/>
      <c r="C1220" s="18"/>
      <c r="D1220" s="18"/>
      <c r="E1220" s="10" t="str">
        <f>IF(B1220="","",IFERROR(INDEX(Harytlar!$C$5:$C$44,MATCH(B1220,Harytlar!$A$5:$A$44,0)),""))</f>
        <v/>
      </c>
      <c r="F1220" s="10" t="str">
        <f t="shared" si="18"/>
        <v/>
      </c>
      <c r="G1220" s="10" t="str">
        <f>IF(OR(C1220="",B1220=""),"",IFERROR(C1220*INDEX(Harytlar!$D$5:$D$44,MATCH(B1220,Harytlar!$A$5:$A$44,0)),""))</f>
        <v/>
      </c>
    </row>
    <row r="1221" spans="1:7" x14ac:dyDescent="0.3">
      <c r="A1221" s="17"/>
      <c r="B1221" s="18"/>
      <c r="C1221" s="18"/>
      <c r="D1221" s="18"/>
      <c r="E1221" s="10" t="str">
        <f>IF(B1221="","",IFERROR(INDEX(Harytlar!$C$5:$C$44,MATCH(B1221,Harytlar!$A$5:$A$44,0)),""))</f>
        <v/>
      </c>
      <c r="F1221" s="10" t="str">
        <f t="shared" si="18"/>
        <v/>
      </c>
      <c r="G1221" s="10" t="str">
        <f>IF(OR(C1221="",B1221=""),"",IFERROR(C1221*INDEX(Harytlar!$D$5:$D$44,MATCH(B1221,Harytlar!$A$5:$A$44,0)),""))</f>
        <v/>
      </c>
    </row>
    <row r="1222" spans="1:7" x14ac:dyDescent="0.3">
      <c r="A1222" s="17"/>
      <c r="B1222" s="18"/>
      <c r="C1222" s="18"/>
      <c r="D1222" s="18"/>
      <c r="E1222" s="10" t="str">
        <f>IF(B1222="","",IFERROR(INDEX(Harytlar!$C$5:$C$44,MATCH(B1222,Harytlar!$A$5:$A$44,0)),""))</f>
        <v/>
      </c>
      <c r="F1222" s="10" t="str">
        <f t="shared" ref="F1222:F1285" si="19">IF(OR(C1222="",E1222=""),"",C1222*E1222)</f>
        <v/>
      </c>
      <c r="G1222" s="10" t="str">
        <f>IF(OR(C1222="",B1222=""),"",IFERROR(C1222*INDEX(Harytlar!$D$5:$D$44,MATCH(B1222,Harytlar!$A$5:$A$44,0)),""))</f>
        <v/>
      </c>
    </row>
    <row r="1223" spans="1:7" x14ac:dyDescent="0.3">
      <c r="A1223" s="17"/>
      <c r="B1223" s="18"/>
      <c r="C1223" s="18"/>
      <c r="D1223" s="18"/>
      <c r="E1223" s="10" t="str">
        <f>IF(B1223="","",IFERROR(INDEX(Harytlar!$C$5:$C$44,MATCH(B1223,Harytlar!$A$5:$A$44,0)),""))</f>
        <v/>
      </c>
      <c r="F1223" s="10" t="str">
        <f t="shared" si="19"/>
        <v/>
      </c>
      <c r="G1223" s="10" t="str">
        <f>IF(OR(C1223="",B1223=""),"",IFERROR(C1223*INDEX(Harytlar!$D$5:$D$44,MATCH(B1223,Harytlar!$A$5:$A$44,0)),""))</f>
        <v/>
      </c>
    </row>
    <row r="1224" spans="1:7" x14ac:dyDescent="0.3">
      <c r="A1224" s="17"/>
      <c r="B1224" s="18"/>
      <c r="C1224" s="18"/>
      <c r="D1224" s="18"/>
      <c r="E1224" s="10" t="str">
        <f>IF(B1224="","",IFERROR(INDEX(Harytlar!$C$5:$C$44,MATCH(B1224,Harytlar!$A$5:$A$44,0)),""))</f>
        <v/>
      </c>
      <c r="F1224" s="10" t="str">
        <f t="shared" si="19"/>
        <v/>
      </c>
      <c r="G1224" s="10" t="str">
        <f>IF(OR(C1224="",B1224=""),"",IFERROR(C1224*INDEX(Harytlar!$D$5:$D$44,MATCH(B1224,Harytlar!$A$5:$A$44,0)),""))</f>
        <v/>
      </c>
    </row>
    <row r="1225" spans="1:7" x14ac:dyDescent="0.3">
      <c r="A1225" s="17"/>
      <c r="B1225" s="18"/>
      <c r="C1225" s="18"/>
      <c r="D1225" s="18"/>
      <c r="E1225" s="10" t="str">
        <f>IF(B1225="","",IFERROR(INDEX(Harytlar!$C$5:$C$44,MATCH(B1225,Harytlar!$A$5:$A$44,0)),""))</f>
        <v/>
      </c>
      <c r="F1225" s="10" t="str">
        <f t="shared" si="19"/>
        <v/>
      </c>
      <c r="G1225" s="10" t="str">
        <f>IF(OR(C1225="",B1225=""),"",IFERROR(C1225*INDEX(Harytlar!$D$5:$D$44,MATCH(B1225,Harytlar!$A$5:$A$44,0)),""))</f>
        <v/>
      </c>
    </row>
    <row r="1226" spans="1:7" x14ac:dyDescent="0.3">
      <c r="A1226" s="17"/>
      <c r="B1226" s="18"/>
      <c r="C1226" s="18"/>
      <c r="D1226" s="18"/>
      <c r="E1226" s="10" t="str">
        <f>IF(B1226="","",IFERROR(INDEX(Harytlar!$C$5:$C$44,MATCH(B1226,Harytlar!$A$5:$A$44,0)),""))</f>
        <v/>
      </c>
      <c r="F1226" s="10" t="str">
        <f t="shared" si="19"/>
        <v/>
      </c>
      <c r="G1226" s="10" t="str">
        <f>IF(OR(C1226="",B1226=""),"",IFERROR(C1226*INDEX(Harytlar!$D$5:$D$44,MATCH(B1226,Harytlar!$A$5:$A$44,0)),""))</f>
        <v/>
      </c>
    </row>
    <row r="1227" spans="1:7" x14ac:dyDescent="0.3">
      <c r="A1227" s="17"/>
      <c r="B1227" s="18"/>
      <c r="C1227" s="18"/>
      <c r="D1227" s="18"/>
      <c r="E1227" s="10" t="str">
        <f>IF(B1227="","",IFERROR(INDEX(Harytlar!$C$5:$C$44,MATCH(B1227,Harytlar!$A$5:$A$44,0)),""))</f>
        <v/>
      </c>
      <c r="F1227" s="10" t="str">
        <f t="shared" si="19"/>
        <v/>
      </c>
      <c r="G1227" s="10" t="str">
        <f>IF(OR(C1227="",B1227=""),"",IFERROR(C1227*INDEX(Harytlar!$D$5:$D$44,MATCH(B1227,Harytlar!$A$5:$A$44,0)),""))</f>
        <v/>
      </c>
    </row>
    <row r="1228" spans="1:7" x14ac:dyDescent="0.3">
      <c r="A1228" s="17"/>
      <c r="B1228" s="18"/>
      <c r="C1228" s="18"/>
      <c r="D1228" s="18"/>
      <c r="E1228" s="10" t="str">
        <f>IF(B1228="","",IFERROR(INDEX(Harytlar!$C$5:$C$44,MATCH(B1228,Harytlar!$A$5:$A$44,0)),""))</f>
        <v/>
      </c>
      <c r="F1228" s="10" t="str">
        <f t="shared" si="19"/>
        <v/>
      </c>
      <c r="G1228" s="10" t="str">
        <f>IF(OR(C1228="",B1228=""),"",IFERROR(C1228*INDEX(Harytlar!$D$5:$D$44,MATCH(B1228,Harytlar!$A$5:$A$44,0)),""))</f>
        <v/>
      </c>
    </row>
    <row r="1229" spans="1:7" x14ac:dyDescent="0.3">
      <c r="A1229" s="17"/>
      <c r="B1229" s="18"/>
      <c r="C1229" s="18"/>
      <c r="D1229" s="18"/>
      <c r="E1229" s="10" t="str">
        <f>IF(B1229="","",IFERROR(INDEX(Harytlar!$C$5:$C$44,MATCH(B1229,Harytlar!$A$5:$A$44,0)),""))</f>
        <v/>
      </c>
      <c r="F1229" s="10" t="str">
        <f t="shared" si="19"/>
        <v/>
      </c>
      <c r="G1229" s="10" t="str">
        <f>IF(OR(C1229="",B1229=""),"",IFERROR(C1229*INDEX(Harytlar!$D$5:$D$44,MATCH(B1229,Harytlar!$A$5:$A$44,0)),""))</f>
        <v/>
      </c>
    </row>
    <row r="1230" spans="1:7" x14ac:dyDescent="0.3">
      <c r="A1230" s="17"/>
      <c r="B1230" s="18"/>
      <c r="C1230" s="18"/>
      <c r="D1230" s="18"/>
      <c r="E1230" s="10" t="str">
        <f>IF(B1230="","",IFERROR(INDEX(Harytlar!$C$5:$C$44,MATCH(B1230,Harytlar!$A$5:$A$44,0)),""))</f>
        <v/>
      </c>
      <c r="F1230" s="10" t="str">
        <f t="shared" si="19"/>
        <v/>
      </c>
      <c r="G1230" s="10" t="str">
        <f>IF(OR(C1230="",B1230=""),"",IFERROR(C1230*INDEX(Harytlar!$D$5:$D$44,MATCH(B1230,Harytlar!$A$5:$A$44,0)),""))</f>
        <v/>
      </c>
    </row>
    <row r="1231" spans="1:7" x14ac:dyDescent="0.3">
      <c r="A1231" s="17"/>
      <c r="B1231" s="18"/>
      <c r="C1231" s="18"/>
      <c r="D1231" s="18"/>
      <c r="E1231" s="10" t="str">
        <f>IF(B1231="","",IFERROR(INDEX(Harytlar!$C$5:$C$44,MATCH(B1231,Harytlar!$A$5:$A$44,0)),""))</f>
        <v/>
      </c>
      <c r="F1231" s="10" t="str">
        <f t="shared" si="19"/>
        <v/>
      </c>
      <c r="G1231" s="10" t="str">
        <f>IF(OR(C1231="",B1231=""),"",IFERROR(C1231*INDEX(Harytlar!$D$5:$D$44,MATCH(B1231,Harytlar!$A$5:$A$44,0)),""))</f>
        <v/>
      </c>
    </row>
    <row r="1232" spans="1:7" x14ac:dyDescent="0.3">
      <c r="A1232" s="17"/>
      <c r="B1232" s="18"/>
      <c r="C1232" s="18"/>
      <c r="D1232" s="18"/>
      <c r="E1232" s="10" t="str">
        <f>IF(B1232="","",IFERROR(INDEX(Harytlar!$C$5:$C$44,MATCH(B1232,Harytlar!$A$5:$A$44,0)),""))</f>
        <v/>
      </c>
      <c r="F1232" s="10" t="str">
        <f t="shared" si="19"/>
        <v/>
      </c>
      <c r="G1232" s="10" t="str">
        <f>IF(OR(C1232="",B1232=""),"",IFERROR(C1232*INDEX(Harytlar!$D$5:$D$44,MATCH(B1232,Harytlar!$A$5:$A$44,0)),""))</f>
        <v/>
      </c>
    </row>
    <row r="1233" spans="1:7" x14ac:dyDescent="0.3">
      <c r="A1233" s="17"/>
      <c r="B1233" s="18"/>
      <c r="C1233" s="18"/>
      <c r="D1233" s="18"/>
      <c r="E1233" s="10" t="str">
        <f>IF(B1233="","",IFERROR(INDEX(Harytlar!$C$5:$C$44,MATCH(B1233,Harytlar!$A$5:$A$44,0)),""))</f>
        <v/>
      </c>
      <c r="F1233" s="10" t="str">
        <f t="shared" si="19"/>
        <v/>
      </c>
      <c r="G1233" s="10" t="str">
        <f>IF(OR(C1233="",B1233=""),"",IFERROR(C1233*INDEX(Harytlar!$D$5:$D$44,MATCH(B1233,Harytlar!$A$5:$A$44,0)),""))</f>
        <v/>
      </c>
    </row>
    <row r="1234" spans="1:7" x14ac:dyDescent="0.3">
      <c r="A1234" s="17"/>
      <c r="B1234" s="18"/>
      <c r="C1234" s="18"/>
      <c r="D1234" s="18"/>
      <c r="E1234" s="10" t="str">
        <f>IF(B1234="","",IFERROR(INDEX(Harytlar!$C$5:$C$44,MATCH(B1234,Harytlar!$A$5:$A$44,0)),""))</f>
        <v/>
      </c>
      <c r="F1234" s="10" t="str">
        <f t="shared" si="19"/>
        <v/>
      </c>
      <c r="G1234" s="10" t="str">
        <f>IF(OR(C1234="",B1234=""),"",IFERROR(C1234*INDEX(Harytlar!$D$5:$D$44,MATCH(B1234,Harytlar!$A$5:$A$44,0)),""))</f>
        <v/>
      </c>
    </row>
    <row r="1235" spans="1:7" x14ac:dyDescent="0.3">
      <c r="A1235" s="17"/>
      <c r="B1235" s="18"/>
      <c r="C1235" s="18"/>
      <c r="D1235" s="18"/>
      <c r="E1235" s="10" t="str">
        <f>IF(B1235="","",IFERROR(INDEX(Harytlar!$C$5:$C$44,MATCH(B1235,Harytlar!$A$5:$A$44,0)),""))</f>
        <v/>
      </c>
      <c r="F1235" s="10" t="str">
        <f t="shared" si="19"/>
        <v/>
      </c>
      <c r="G1235" s="10" t="str">
        <f>IF(OR(C1235="",B1235=""),"",IFERROR(C1235*INDEX(Harytlar!$D$5:$D$44,MATCH(B1235,Harytlar!$A$5:$A$44,0)),""))</f>
        <v/>
      </c>
    </row>
    <row r="1236" spans="1:7" x14ac:dyDescent="0.3">
      <c r="A1236" s="17"/>
      <c r="B1236" s="18"/>
      <c r="C1236" s="18"/>
      <c r="D1236" s="18"/>
      <c r="E1236" s="10" t="str">
        <f>IF(B1236="","",IFERROR(INDEX(Harytlar!$C$5:$C$44,MATCH(B1236,Harytlar!$A$5:$A$44,0)),""))</f>
        <v/>
      </c>
      <c r="F1236" s="10" t="str">
        <f t="shared" si="19"/>
        <v/>
      </c>
      <c r="G1236" s="10" t="str">
        <f>IF(OR(C1236="",B1236=""),"",IFERROR(C1236*INDEX(Harytlar!$D$5:$D$44,MATCH(B1236,Harytlar!$A$5:$A$44,0)),""))</f>
        <v/>
      </c>
    </row>
    <row r="1237" spans="1:7" x14ac:dyDescent="0.3">
      <c r="A1237" s="17"/>
      <c r="B1237" s="18"/>
      <c r="C1237" s="18"/>
      <c r="D1237" s="18"/>
      <c r="E1237" s="10" t="str">
        <f>IF(B1237="","",IFERROR(INDEX(Harytlar!$C$5:$C$44,MATCH(B1237,Harytlar!$A$5:$A$44,0)),""))</f>
        <v/>
      </c>
      <c r="F1237" s="10" t="str">
        <f t="shared" si="19"/>
        <v/>
      </c>
      <c r="G1237" s="10" t="str">
        <f>IF(OR(C1237="",B1237=""),"",IFERROR(C1237*INDEX(Harytlar!$D$5:$D$44,MATCH(B1237,Harytlar!$A$5:$A$44,0)),""))</f>
        <v/>
      </c>
    </row>
    <row r="1238" spans="1:7" x14ac:dyDescent="0.3">
      <c r="A1238" s="17"/>
      <c r="B1238" s="18"/>
      <c r="C1238" s="18"/>
      <c r="D1238" s="18"/>
      <c r="E1238" s="10" t="str">
        <f>IF(B1238="","",IFERROR(INDEX(Harytlar!$C$5:$C$44,MATCH(B1238,Harytlar!$A$5:$A$44,0)),""))</f>
        <v/>
      </c>
      <c r="F1238" s="10" t="str">
        <f t="shared" si="19"/>
        <v/>
      </c>
      <c r="G1238" s="10" t="str">
        <f>IF(OR(C1238="",B1238=""),"",IFERROR(C1238*INDEX(Harytlar!$D$5:$D$44,MATCH(B1238,Harytlar!$A$5:$A$44,0)),""))</f>
        <v/>
      </c>
    </row>
    <row r="1239" spans="1:7" x14ac:dyDescent="0.3">
      <c r="A1239" s="17"/>
      <c r="B1239" s="18"/>
      <c r="C1239" s="18"/>
      <c r="D1239" s="18"/>
      <c r="E1239" s="10" t="str">
        <f>IF(B1239="","",IFERROR(INDEX(Harytlar!$C$5:$C$44,MATCH(B1239,Harytlar!$A$5:$A$44,0)),""))</f>
        <v/>
      </c>
      <c r="F1239" s="10" t="str">
        <f t="shared" si="19"/>
        <v/>
      </c>
      <c r="G1239" s="10" t="str">
        <f>IF(OR(C1239="",B1239=""),"",IFERROR(C1239*INDEX(Harytlar!$D$5:$D$44,MATCH(B1239,Harytlar!$A$5:$A$44,0)),""))</f>
        <v/>
      </c>
    </row>
    <row r="1240" spans="1:7" x14ac:dyDescent="0.3">
      <c r="A1240" s="17"/>
      <c r="B1240" s="18"/>
      <c r="C1240" s="18"/>
      <c r="D1240" s="18"/>
      <c r="E1240" s="10" t="str">
        <f>IF(B1240="","",IFERROR(INDEX(Harytlar!$C$5:$C$44,MATCH(B1240,Harytlar!$A$5:$A$44,0)),""))</f>
        <v/>
      </c>
      <c r="F1240" s="10" t="str">
        <f t="shared" si="19"/>
        <v/>
      </c>
      <c r="G1240" s="10" t="str">
        <f>IF(OR(C1240="",B1240=""),"",IFERROR(C1240*INDEX(Harytlar!$D$5:$D$44,MATCH(B1240,Harytlar!$A$5:$A$44,0)),""))</f>
        <v/>
      </c>
    </row>
    <row r="1241" spans="1:7" x14ac:dyDescent="0.3">
      <c r="A1241" s="17"/>
      <c r="B1241" s="18"/>
      <c r="C1241" s="18"/>
      <c r="D1241" s="18"/>
      <c r="E1241" s="10" t="str">
        <f>IF(B1241="","",IFERROR(INDEX(Harytlar!$C$5:$C$44,MATCH(B1241,Harytlar!$A$5:$A$44,0)),""))</f>
        <v/>
      </c>
      <c r="F1241" s="10" t="str">
        <f t="shared" si="19"/>
        <v/>
      </c>
      <c r="G1241" s="10" t="str">
        <f>IF(OR(C1241="",B1241=""),"",IFERROR(C1241*INDEX(Harytlar!$D$5:$D$44,MATCH(B1241,Harytlar!$A$5:$A$44,0)),""))</f>
        <v/>
      </c>
    </row>
    <row r="1242" spans="1:7" x14ac:dyDescent="0.3">
      <c r="A1242" s="17"/>
      <c r="B1242" s="18"/>
      <c r="C1242" s="18"/>
      <c r="D1242" s="18"/>
      <c r="E1242" s="10" t="str">
        <f>IF(B1242="","",IFERROR(INDEX(Harytlar!$C$5:$C$44,MATCH(B1242,Harytlar!$A$5:$A$44,0)),""))</f>
        <v/>
      </c>
      <c r="F1242" s="10" t="str">
        <f t="shared" si="19"/>
        <v/>
      </c>
      <c r="G1242" s="10" t="str">
        <f>IF(OR(C1242="",B1242=""),"",IFERROR(C1242*INDEX(Harytlar!$D$5:$D$44,MATCH(B1242,Harytlar!$A$5:$A$44,0)),""))</f>
        <v/>
      </c>
    </row>
    <row r="1243" spans="1:7" x14ac:dyDescent="0.3">
      <c r="A1243" s="17"/>
      <c r="B1243" s="18"/>
      <c r="C1243" s="18"/>
      <c r="D1243" s="18"/>
      <c r="E1243" s="10" t="str">
        <f>IF(B1243="","",IFERROR(INDEX(Harytlar!$C$5:$C$44,MATCH(B1243,Harytlar!$A$5:$A$44,0)),""))</f>
        <v/>
      </c>
      <c r="F1243" s="10" t="str">
        <f t="shared" si="19"/>
        <v/>
      </c>
      <c r="G1243" s="10" t="str">
        <f>IF(OR(C1243="",B1243=""),"",IFERROR(C1243*INDEX(Harytlar!$D$5:$D$44,MATCH(B1243,Harytlar!$A$5:$A$44,0)),""))</f>
        <v/>
      </c>
    </row>
    <row r="1244" spans="1:7" x14ac:dyDescent="0.3">
      <c r="A1244" s="17"/>
      <c r="B1244" s="18"/>
      <c r="C1244" s="18"/>
      <c r="D1244" s="18"/>
      <c r="E1244" s="10" t="str">
        <f>IF(B1244="","",IFERROR(INDEX(Harytlar!$C$5:$C$44,MATCH(B1244,Harytlar!$A$5:$A$44,0)),""))</f>
        <v/>
      </c>
      <c r="F1244" s="10" t="str">
        <f t="shared" si="19"/>
        <v/>
      </c>
      <c r="G1244" s="10" t="str">
        <f>IF(OR(C1244="",B1244=""),"",IFERROR(C1244*INDEX(Harytlar!$D$5:$D$44,MATCH(B1244,Harytlar!$A$5:$A$44,0)),""))</f>
        <v/>
      </c>
    </row>
    <row r="1245" spans="1:7" x14ac:dyDescent="0.3">
      <c r="A1245" s="17"/>
      <c r="B1245" s="18"/>
      <c r="C1245" s="18"/>
      <c r="D1245" s="18"/>
      <c r="E1245" s="10" t="str">
        <f>IF(B1245="","",IFERROR(INDEX(Harytlar!$C$5:$C$44,MATCH(B1245,Harytlar!$A$5:$A$44,0)),""))</f>
        <v/>
      </c>
      <c r="F1245" s="10" t="str">
        <f t="shared" si="19"/>
        <v/>
      </c>
      <c r="G1245" s="10" t="str">
        <f>IF(OR(C1245="",B1245=""),"",IFERROR(C1245*INDEX(Harytlar!$D$5:$D$44,MATCH(B1245,Harytlar!$A$5:$A$44,0)),""))</f>
        <v/>
      </c>
    </row>
    <row r="1246" spans="1:7" x14ac:dyDescent="0.3">
      <c r="A1246" s="17"/>
      <c r="B1246" s="18"/>
      <c r="C1246" s="18"/>
      <c r="D1246" s="18"/>
      <c r="E1246" s="10" t="str">
        <f>IF(B1246="","",IFERROR(INDEX(Harytlar!$C$5:$C$44,MATCH(B1246,Harytlar!$A$5:$A$44,0)),""))</f>
        <v/>
      </c>
      <c r="F1246" s="10" t="str">
        <f t="shared" si="19"/>
        <v/>
      </c>
      <c r="G1246" s="10" t="str">
        <f>IF(OR(C1246="",B1246=""),"",IFERROR(C1246*INDEX(Harytlar!$D$5:$D$44,MATCH(B1246,Harytlar!$A$5:$A$44,0)),""))</f>
        <v/>
      </c>
    </row>
    <row r="1247" spans="1:7" x14ac:dyDescent="0.3">
      <c r="A1247" s="17"/>
      <c r="B1247" s="18"/>
      <c r="C1247" s="18"/>
      <c r="D1247" s="18"/>
      <c r="E1247" s="10" t="str">
        <f>IF(B1247="","",IFERROR(INDEX(Harytlar!$C$5:$C$44,MATCH(B1247,Harytlar!$A$5:$A$44,0)),""))</f>
        <v/>
      </c>
      <c r="F1247" s="10" t="str">
        <f t="shared" si="19"/>
        <v/>
      </c>
      <c r="G1247" s="10" t="str">
        <f>IF(OR(C1247="",B1247=""),"",IFERROR(C1247*INDEX(Harytlar!$D$5:$D$44,MATCH(B1247,Harytlar!$A$5:$A$44,0)),""))</f>
        <v/>
      </c>
    </row>
    <row r="1248" spans="1:7" x14ac:dyDescent="0.3">
      <c r="A1248" s="17"/>
      <c r="B1248" s="18"/>
      <c r="C1248" s="18"/>
      <c r="D1248" s="18"/>
      <c r="E1248" s="10" t="str">
        <f>IF(B1248="","",IFERROR(INDEX(Harytlar!$C$5:$C$44,MATCH(B1248,Harytlar!$A$5:$A$44,0)),""))</f>
        <v/>
      </c>
      <c r="F1248" s="10" t="str">
        <f t="shared" si="19"/>
        <v/>
      </c>
      <c r="G1248" s="10" t="str">
        <f>IF(OR(C1248="",B1248=""),"",IFERROR(C1248*INDEX(Harytlar!$D$5:$D$44,MATCH(B1248,Harytlar!$A$5:$A$44,0)),""))</f>
        <v/>
      </c>
    </row>
    <row r="1249" spans="1:7" x14ac:dyDescent="0.3">
      <c r="A1249" s="17"/>
      <c r="B1249" s="18"/>
      <c r="C1249" s="18"/>
      <c r="D1249" s="18"/>
      <c r="E1249" s="10" t="str">
        <f>IF(B1249="","",IFERROR(INDEX(Harytlar!$C$5:$C$44,MATCH(B1249,Harytlar!$A$5:$A$44,0)),""))</f>
        <v/>
      </c>
      <c r="F1249" s="10" t="str">
        <f t="shared" si="19"/>
        <v/>
      </c>
      <c r="G1249" s="10" t="str">
        <f>IF(OR(C1249="",B1249=""),"",IFERROR(C1249*INDEX(Harytlar!$D$5:$D$44,MATCH(B1249,Harytlar!$A$5:$A$44,0)),""))</f>
        <v/>
      </c>
    </row>
    <row r="1250" spans="1:7" x14ac:dyDescent="0.3">
      <c r="A1250" s="17"/>
      <c r="B1250" s="18"/>
      <c r="C1250" s="18"/>
      <c r="D1250" s="18"/>
      <c r="E1250" s="10" t="str">
        <f>IF(B1250="","",IFERROR(INDEX(Harytlar!$C$5:$C$44,MATCH(B1250,Harytlar!$A$5:$A$44,0)),""))</f>
        <v/>
      </c>
      <c r="F1250" s="10" t="str">
        <f t="shared" si="19"/>
        <v/>
      </c>
      <c r="G1250" s="10" t="str">
        <f>IF(OR(C1250="",B1250=""),"",IFERROR(C1250*INDEX(Harytlar!$D$5:$D$44,MATCH(B1250,Harytlar!$A$5:$A$44,0)),""))</f>
        <v/>
      </c>
    </row>
    <row r="1251" spans="1:7" x14ac:dyDescent="0.3">
      <c r="A1251" s="17"/>
      <c r="B1251" s="18"/>
      <c r="C1251" s="18"/>
      <c r="D1251" s="18"/>
      <c r="E1251" s="10" t="str">
        <f>IF(B1251="","",IFERROR(INDEX(Harytlar!$C$5:$C$44,MATCH(B1251,Harytlar!$A$5:$A$44,0)),""))</f>
        <v/>
      </c>
      <c r="F1251" s="10" t="str">
        <f t="shared" si="19"/>
        <v/>
      </c>
      <c r="G1251" s="10" t="str">
        <f>IF(OR(C1251="",B1251=""),"",IFERROR(C1251*INDEX(Harytlar!$D$5:$D$44,MATCH(B1251,Harytlar!$A$5:$A$44,0)),""))</f>
        <v/>
      </c>
    </row>
    <row r="1252" spans="1:7" x14ac:dyDescent="0.3">
      <c r="A1252" s="17"/>
      <c r="B1252" s="18"/>
      <c r="C1252" s="18"/>
      <c r="D1252" s="18"/>
      <c r="E1252" s="10" t="str">
        <f>IF(B1252="","",IFERROR(INDEX(Harytlar!$C$5:$C$44,MATCH(B1252,Harytlar!$A$5:$A$44,0)),""))</f>
        <v/>
      </c>
      <c r="F1252" s="10" t="str">
        <f t="shared" si="19"/>
        <v/>
      </c>
      <c r="G1252" s="10" t="str">
        <f>IF(OR(C1252="",B1252=""),"",IFERROR(C1252*INDEX(Harytlar!$D$5:$D$44,MATCH(B1252,Harytlar!$A$5:$A$44,0)),""))</f>
        <v/>
      </c>
    </row>
    <row r="1253" spans="1:7" x14ac:dyDescent="0.3">
      <c r="A1253" s="17"/>
      <c r="B1253" s="18"/>
      <c r="C1253" s="18"/>
      <c r="D1253" s="18"/>
      <c r="E1253" s="10" t="str">
        <f>IF(B1253="","",IFERROR(INDEX(Harytlar!$C$5:$C$44,MATCH(B1253,Harytlar!$A$5:$A$44,0)),""))</f>
        <v/>
      </c>
      <c r="F1253" s="10" t="str">
        <f t="shared" si="19"/>
        <v/>
      </c>
      <c r="G1253" s="10" t="str">
        <f>IF(OR(C1253="",B1253=""),"",IFERROR(C1253*INDEX(Harytlar!$D$5:$D$44,MATCH(B1253,Harytlar!$A$5:$A$44,0)),""))</f>
        <v/>
      </c>
    </row>
    <row r="1254" spans="1:7" x14ac:dyDescent="0.3">
      <c r="A1254" s="17"/>
      <c r="B1254" s="18"/>
      <c r="C1254" s="18"/>
      <c r="D1254" s="18"/>
      <c r="E1254" s="10" t="str">
        <f>IF(B1254="","",IFERROR(INDEX(Harytlar!$C$5:$C$44,MATCH(B1254,Harytlar!$A$5:$A$44,0)),""))</f>
        <v/>
      </c>
      <c r="F1254" s="10" t="str">
        <f t="shared" si="19"/>
        <v/>
      </c>
      <c r="G1254" s="10" t="str">
        <f>IF(OR(C1254="",B1254=""),"",IFERROR(C1254*INDEX(Harytlar!$D$5:$D$44,MATCH(B1254,Harytlar!$A$5:$A$44,0)),""))</f>
        <v/>
      </c>
    </row>
    <row r="1255" spans="1:7" x14ac:dyDescent="0.3">
      <c r="A1255" s="17"/>
      <c r="B1255" s="18"/>
      <c r="C1255" s="18"/>
      <c r="D1255" s="18"/>
      <c r="E1255" s="10" t="str">
        <f>IF(B1255="","",IFERROR(INDEX(Harytlar!$C$5:$C$44,MATCH(B1255,Harytlar!$A$5:$A$44,0)),""))</f>
        <v/>
      </c>
      <c r="F1255" s="10" t="str">
        <f t="shared" si="19"/>
        <v/>
      </c>
      <c r="G1255" s="10" t="str">
        <f>IF(OR(C1255="",B1255=""),"",IFERROR(C1255*INDEX(Harytlar!$D$5:$D$44,MATCH(B1255,Harytlar!$A$5:$A$44,0)),""))</f>
        <v/>
      </c>
    </row>
    <row r="1256" spans="1:7" x14ac:dyDescent="0.3">
      <c r="A1256" s="17"/>
      <c r="B1256" s="18"/>
      <c r="C1256" s="18"/>
      <c r="D1256" s="18"/>
      <c r="E1256" s="10" t="str">
        <f>IF(B1256="","",IFERROR(INDEX(Harytlar!$C$5:$C$44,MATCH(B1256,Harytlar!$A$5:$A$44,0)),""))</f>
        <v/>
      </c>
      <c r="F1256" s="10" t="str">
        <f t="shared" si="19"/>
        <v/>
      </c>
      <c r="G1256" s="10" t="str">
        <f>IF(OR(C1256="",B1256=""),"",IFERROR(C1256*INDEX(Harytlar!$D$5:$D$44,MATCH(B1256,Harytlar!$A$5:$A$44,0)),""))</f>
        <v/>
      </c>
    </row>
    <row r="1257" spans="1:7" x14ac:dyDescent="0.3">
      <c r="A1257" s="17"/>
      <c r="B1257" s="18"/>
      <c r="C1257" s="18"/>
      <c r="D1257" s="18"/>
      <c r="E1257" s="10" t="str">
        <f>IF(B1257="","",IFERROR(INDEX(Harytlar!$C$5:$C$44,MATCH(B1257,Harytlar!$A$5:$A$44,0)),""))</f>
        <v/>
      </c>
      <c r="F1257" s="10" t="str">
        <f t="shared" si="19"/>
        <v/>
      </c>
      <c r="G1257" s="10" t="str">
        <f>IF(OR(C1257="",B1257=""),"",IFERROR(C1257*INDEX(Harytlar!$D$5:$D$44,MATCH(B1257,Harytlar!$A$5:$A$44,0)),""))</f>
        <v/>
      </c>
    </row>
    <row r="1258" spans="1:7" x14ac:dyDescent="0.3">
      <c r="A1258" s="17"/>
      <c r="B1258" s="18"/>
      <c r="C1258" s="18"/>
      <c r="D1258" s="18"/>
      <c r="E1258" s="10" t="str">
        <f>IF(B1258="","",IFERROR(INDEX(Harytlar!$C$5:$C$44,MATCH(B1258,Harytlar!$A$5:$A$44,0)),""))</f>
        <v/>
      </c>
      <c r="F1258" s="10" t="str">
        <f t="shared" si="19"/>
        <v/>
      </c>
      <c r="G1258" s="10" t="str">
        <f>IF(OR(C1258="",B1258=""),"",IFERROR(C1258*INDEX(Harytlar!$D$5:$D$44,MATCH(B1258,Harytlar!$A$5:$A$44,0)),""))</f>
        <v/>
      </c>
    </row>
    <row r="1259" spans="1:7" x14ac:dyDescent="0.3">
      <c r="A1259" s="17"/>
      <c r="B1259" s="18"/>
      <c r="C1259" s="18"/>
      <c r="D1259" s="18"/>
      <c r="E1259" s="10" t="str">
        <f>IF(B1259="","",IFERROR(INDEX(Harytlar!$C$5:$C$44,MATCH(B1259,Harytlar!$A$5:$A$44,0)),""))</f>
        <v/>
      </c>
      <c r="F1259" s="10" t="str">
        <f t="shared" si="19"/>
        <v/>
      </c>
      <c r="G1259" s="10" t="str">
        <f>IF(OR(C1259="",B1259=""),"",IFERROR(C1259*INDEX(Harytlar!$D$5:$D$44,MATCH(B1259,Harytlar!$A$5:$A$44,0)),""))</f>
        <v/>
      </c>
    </row>
    <row r="1260" spans="1:7" x14ac:dyDescent="0.3">
      <c r="A1260" s="17"/>
      <c r="B1260" s="18"/>
      <c r="C1260" s="18"/>
      <c r="D1260" s="18"/>
      <c r="E1260" s="10" t="str">
        <f>IF(B1260="","",IFERROR(INDEX(Harytlar!$C$5:$C$44,MATCH(B1260,Harytlar!$A$5:$A$44,0)),""))</f>
        <v/>
      </c>
      <c r="F1260" s="10" t="str">
        <f t="shared" si="19"/>
        <v/>
      </c>
      <c r="G1260" s="10" t="str">
        <f>IF(OR(C1260="",B1260=""),"",IFERROR(C1260*INDEX(Harytlar!$D$5:$D$44,MATCH(B1260,Harytlar!$A$5:$A$44,0)),""))</f>
        <v/>
      </c>
    </row>
    <row r="1261" spans="1:7" x14ac:dyDescent="0.3">
      <c r="A1261" s="17"/>
      <c r="B1261" s="18"/>
      <c r="C1261" s="18"/>
      <c r="D1261" s="18"/>
      <c r="E1261" s="10" t="str">
        <f>IF(B1261="","",IFERROR(INDEX(Harytlar!$C$5:$C$44,MATCH(B1261,Harytlar!$A$5:$A$44,0)),""))</f>
        <v/>
      </c>
      <c r="F1261" s="10" t="str">
        <f t="shared" si="19"/>
        <v/>
      </c>
      <c r="G1261" s="10" t="str">
        <f>IF(OR(C1261="",B1261=""),"",IFERROR(C1261*INDEX(Harytlar!$D$5:$D$44,MATCH(B1261,Harytlar!$A$5:$A$44,0)),""))</f>
        <v/>
      </c>
    </row>
    <row r="1262" spans="1:7" x14ac:dyDescent="0.3">
      <c r="A1262" s="17"/>
      <c r="B1262" s="18"/>
      <c r="C1262" s="18"/>
      <c r="D1262" s="18"/>
      <c r="E1262" s="10" t="str">
        <f>IF(B1262="","",IFERROR(INDEX(Harytlar!$C$5:$C$44,MATCH(B1262,Harytlar!$A$5:$A$44,0)),""))</f>
        <v/>
      </c>
      <c r="F1262" s="10" t="str">
        <f t="shared" si="19"/>
        <v/>
      </c>
      <c r="G1262" s="10" t="str">
        <f>IF(OR(C1262="",B1262=""),"",IFERROR(C1262*INDEX(Harytlar!$D$5:$D$44,MATCH(B1262,Harytlar!$A$5:$A$44,0)),""))</f>
        <v/>
      </c>
    </row>
    <row r="1263" spans="1:7" x14ac:dyDescent="0.3">
      <c r="A1263" s="17"/>
      <c r="B1263" s="18"/>
      <c r="C1263" s="18"/>
      <c r="D1263" s="18"/>
      <c r="E1263" s="10" t="str">
        <f>IF(B1263="","",IFERROR(INDEX(Harytlar!$C$5:$C$44,MATCH(B1263,Harytlar!$A$5:$A$44,0)),""))</f>
        <v/>
      </c>
      <c r="F1263" s="10" t="str">
        <f t="shared" si="19"/>
        <v/>
      </c>
      <c r="G1263" s="10" t="str">
        <f>IF(OR(C1263="",B1263=""),"",IFERROR(C1263*INDEX(Harytlar!$D$5:$D$44,MATCH(B1263,Harytlar!$A$5:$A$44,0)),""))</f>
        <v/>
      </c>
    </row>
    <row r="1264" spans="1:7" x14ac:dyDescent="0.3">
      <c r="A1264" s="17"/>
      <c r="B1264" s="18"/>
      <c r="C1264" s="18"/>
      <c r="D1264" s="18"/>
      <c r="E1264" s="10" t="str">
        <f>IF(B1264="","",IFERROR(INDEX(Harytlar!$C$5:$C$44,MATCH(B1264,Harytlar!$A$5:$A$44,0)),""))</f>
        <v/>
      </c>
      <c r="F1264" s="10" t="str">
        <f t="shared" si="19"/>
        <v/>
      </c>
      <c r="G1264" s="10" t="str">
        <f>IF(OR(C1264="",B1264=""),"",IFERROR(C1264*INDEX(Harytlar!$D$5:$D$44,MATCH(B1264,Harytlar!$A$5:$A$44,0)),""))</f>
        <v/>
      </c>
    </row>
    <row r="1265" spans="1:7" x14ac:dyDescent="0.3">
      <c r="A1265" s="17"/>
      <c r="B1265" s="18"/>
      <c r="C1265" s="18"/>
      <c r="D1265" s="18"/>
      <c r="E1265" s="10" t="str">
        <f>IF(B1265="","",IFERROR(INDEX(Harytlar!$C$5:$C$44,MATCH(B1265,Harytlar!$A$5:$A$44,0)),""))</f>
        <v/>
      </c>
      <c r="F1265" s="10" t="str">
        <f t="shared" si="19"/>
        <v/>
      </c>
      <c r="G1265" s="10" t="str">
        <f>IF(OR(C1265="",B1265=""),"",IFERROR(C1265*INDEX(Harytlar!$D$5:$D$44,MATCH(B1265,Harytlar!$A$5:$A$44,0)),""))</f>
        <v/>
      </c>
    </row>
    <row r="1266" spans="1:7" x14ac:dyDescent="0.3">
      <c r="A1266" s="17"/>
      <c r="B1266" s="18"/>
      <c r="C1266" s="18"/>
      <c r="D1266" s="18"/>
      <c r="E1266" s="10" t="str">
        <f>IF(B1266="","",IFERROR(INDEX(Harytlar!$C$5:$C$44,MATCH(B1266,Harytlar!$A$5:$A$44,0)),""))</f>
        <v/>
      </c>
      <c r="F1266" s="10" t="str">
        <f t="shared" si="19"/>
        <v/>
      </c>
      <c r="G1266" s="10" t="str">
        <f>IF(OR(C1266="",B1266=""),"",IFERROR(C1266*INDEX(Harytlar!$D$5:$D$44,MATCH(B1266,Harytlar!$A$5:$A$44,0)),""))</f>
        <v/>
      </c>
    </row>
    <row r="1267" spans="1:7" x14ac:dyDescent="0.3">
      <c r="A1267" s="17"/>
      <c r="B1267" s="18"/>
      <c r="C1267" s="18"/>
      <c r="D1267" s="18"/>
      <c r="E1267" s="10" t="str">
        <f>IF(B1267="","",IFERROR(INDEX(Harytlar!$C$5:$C$44,MATCH(B1267,Harytlar!$A$5:$A$44,0)),""))</f>
        <v/>
      </c>
      <c r="F1267" s="10" t="str">
        <f t="shared" si="19"/>
        <v/>
      </c>
      <c r="G1267" s="10" t="str">
        <f>IF(OR(C1267="",B1267=""),"",IFERROR(C1267*INDEX(Harytlar!$D$5:$D$44,MATCH(B1267,Harytlar!$A$5:$A$44,0)),""))</f>
        <v/>
      </c>
    </row>
    <row r="1268" spans="1:7" x14ac:dyDescent="0.3">
      <c r="A1268" s="17"/>
      <c r="B1268" s="18"/>
      <c r="C1268" s="18"/>
      <c r="D1268" s="18"/>
      <c r="E1268" s="10" t="str">
        <f>IF(B1268="","",IFERROR(INDEX(Harytlar!$C$5:$C$44,MATCH(B1268,Harytlar!$A$5:$A$44,0)),""))</f>
        <v/>
      </c>
      <c r="F1268" s="10" t="str">
        <f t="shared" si="19"/>
        <v/>
      </c>
      <c r="G1268" s="10" t="str">
        <f>IF(OR(C1268="",B1268=""),"",IFERROR(C1268*INDEX(Harytlar!$D$5:$D$44,MATCH(B1268,Harytlar!$A$5:$A$44,0)),""))</f>
        <v/>
      </c>
    </row>
    <row r="1269" spans="1:7" x14ac:dyDescent="0.3">
      <c r="A1269" s="17"/>
      <c r="B1269" s="18"/>
      <c r="C1269" s="18"/>
      <c r="D1269" s="18"/>
      <c r="E1269" s="10" t="str">
        <f>IF(B1269="","",IFERROR(INDEX(Harytlar!$C$5:$C$44,MATCH(B1269,Harytlar!$A$5:$A$44,0)),""))</f>
        <v/>
      </c>
      <c r="F1269" s="10" t="str">
        <f t="shared" si="19"/>
        <v/>
      </c>
      <c r="G1269" s="10" t="str">
        <f>IF(OR(C1269="",B1269=""),"",IFERROR(C1269*INDEX(Harytlar!$D$5:$D$44,MATCH(B1269,Harytlar!$A$5:$A$44,0)),""))</f>
        <v/>
      </c>
    </row>
    <row r="1270" spans="1:7" x14ac:dyDescent="0.3">
      <c r="A1270" s="17"/>
      <c r="B1270" s="18"/>
      <c r="C1270" s="18"/>
      <c r="D1270" s="18"/>
      <c r="E1270" s="10" t="str">
        <f>IF(B1270="","",IFERROR(INDEX(Harytlar!$C$5:$C$44,MATCH(B1270,Harytlar!$A$5:$A$44,0)),""))</f>
        <v/>
      </c>
      <c r="F1270" s="10" t="str">
        <f t="shared" si="19"/>
        <v/>
      </c>
      <c r="G1270" s="10" t="str">
        <f>IF(OR(C1270="",B1270=""),"",IFERROR(C1270*INDEX(Harytlar!$D$5:$D$44,MATCH(B1270,Harytlar!$A$5:$A$44,0)),""))</f>
        <v/>
      </c>
    </row>
    <row r="1271" spans="1:7" x14ac:dyDescent="0.3">
      <c r="A1271" s="17"/>
      <c r="B1271" s="18"/>
      <c r="C1271" s="18"/>
      <c r="D1271" s="18"/>
      <c r="E1271" s="10" t="str">
        <f>IF(B1271="","",IFERROR(INDEX(Harytlar!$C$5:$C$44,MATCH(B1271,Harytlar!$A$5:$A$44,0)),""))</f>
        <v/>
      </c>
      <c r="F1271" s="10" t="str">
        <f t="shared" si="19"/>
        <v/>
      </c>
      <c r="G1271" s="10" t="str">
        <f>IF(OR(C1271="",B1271=""),"",IFERROR(C1271*INDEX(Harytlar!$D$5:$D$44,MATCH(B1271,Harytlar!$A$5:$A$44,0)),""))</f>
        <v/>
      </c>
    </row>
    <row r="1272" spans="1:7" x14ac:dyDescent="0.3">
      <c r="A1272" s="17"/>
      <c r="B1272" s="18"/>
      <c r="C1272" s="18"/>
      <c r="D1272" s="18"/>
      <c r="E1272" s="10" t="str">
        <f>IF(B1272="","",IFERROR(INDEX(Harytlar!$C$5:$C$44,MATCH(B1272,Harytlar!$A$5:$A$44,0)),""))</f>
        <v/>
      </c>
      <c r="F1272" s="10" t="str">
        <f t="shared" si="19"/>
        <v/>
      </c>
      <c r="G1272" s="10" t="str">
        <f>IF(OR(C1272="",B1272=""),"",IFERROR(C1272*INDEX(Harytlar!$D$5:$D$44,MATCH(B1272,Harytlar!$A$5:$A$44,0)),""))</f>
        <v/>
      </c>
    </row>
    <row r="1273" spans="1:7" x14ac:dyDescent="0.3">
      <c r="A1273" s="17"/>
      <c r="B1273" s="18"/>
      <c r="C1273" s="18"/>
      <c r="D1273" s="18"/>
      <c r="E1273" s="10" t="str">
        <f>IF(B1273="","",IFERROR(INDEX(Harytlar!$C$5:$C$44,MATCH(B1273,Harytlar!$A$5:$A$44,0)),""))</f>
        <v/>
      </c>
      <c r="F1273" s="10" t="str">
        <f t="shared" si="19"/>
        <v/>
      </c>
      <c r="G1273" s="10" t="str">
        <f>IF(OR(C1273="",B1273=""),"",IFERROR(C1273*INDEX(Harytlar!$D$5:$D$44,MATCH(B1273,Harytlar!$A$5:$A$44,0)),""))</f>
        <v/>
      </c>
    </row>
    <row r="1274" spans="1:7" x14ac:dyDescent="0.3">
      <c r="A1274" s="17"/>
      <c r="B1274" s="18"/>
      <c r="C1274" s="18"/>
      <c r="D1274" s="18"/>
      <c r="E1274" s="10" t="str">
        <f>IF(B1274="","",IFERROR(INDEX(Harytlar!$C$5:$C$44,MATCH(B1274,Harytlar!$A$5:$A$44,0)),""))</f>
        <v/>
      </c>
      <c r="F1274" s="10" t="str">
        <f t="shared" si="19"/>
        <v/>
      </c>
      <c r="G1274" s="10" t="str">
        <f>IF(OR(C1274="",B1274=""),"",IFERROR(C1274*INDEX(Harytlar!$D$5:$D$44,MATCH(B1274,Harytlar!$A$5:$A$44,0)),""))</f>
        <v/>
      </c>
    </row>
    <row r="1275" spans="1:7" x14ac:dyDescent="0.3">
      <c r="A1275" s="17"/>
      <c r="B1275" s="18"/>
      <c r="C1275" s="18"/>
      <c r="D1275" s="18"/>
      <c r="E1275" s="10" t="str">
        <f>IF(B1275="","",IFERROR(INDEX(Harytlar!$C$5:$C$44,MATCH(B1275,Harytlar!$A$5:$A$44,0)),""))</f>
        <v/>
      </c>
      <c r="F1275" s="10" t="str">
        <f t="shared" si="19"/>
        <v/>
      </c>
      <c r="G1275" s="10" t="str">
        <f>IF(OR(C1275="",B1275=""),"",IFERROR(C1275*INDEX(Harytlar!$D$5:$D$44,MATCH(B1275,Harytlar!$A$5:$A$44,0)),""))</f>
        <v/>
      </c>
    </row>
    <row r="1276" spans="1:7" x14ac:dyDescent="0.3">
      <c r="A1276" s="17"/>
      <c r="B1276" s="18"/>
      <c r="C1276" s="18"/>
      <c r="D1276" s="18"/>
      <c r="E1276" s="10" t="str">
        <f>IF(B1276="","",IFERROR(INDEX(Harytlar!$C$5:$C$44,MATCH(B1276,Harytlar!$A$5:$A$44,0)),""))</f>
        <v/>
      </c>
      <c r="F1276" s="10" t="str">
        <f t="shared" si="19"/>
        <v/>
      </c>
      <c r="G1276" s="10" t="str">
        <f>IF(OR(C1276="",B1276=""),"",IFERROR(C1276*INDEX(Harytlar!$D$5:$D$44,MATCH(B1276,Harytlar!$A$5:$A$44,0)),""))</f>
        <v/>
      </c>
    </row>
    <row r="1277" spans="1:7" x14ac:dyDescent="0.3">
      <c r="A1277" s="17"/>
      <c r="B1277" s="18"/>
      <c r="C1277" s="18"/>
      <c r="D1277" s="18"/>
      <c r="E1277" s="10" t="str">
        <f>IF(B1277="","",IFERROR(INDEX(Harytlar!$C$5:$C$44,MATCH(B1277,Harytlar!$A$5:$A$44,0)),""))</f>
        <v/>
      </c>
      <c r="F1277" s="10" t="str">
        <f t="shared" si="19"/>
        <v/>
      </c>
      <c r="G1277" s="10" t="str">
        <f>IF(OR(C1277="",B1277=""),"",IFERROR(C1277*INDEX(Harytlar!$D$5:$D$44,MATCH(B1277,Harytlar!$A$5:$A$44,0)),""))</f>
        <v/>
      </c>
    </row>
    <row r="1278" spans="1:7" x14ac:dyDescent="0.3">
      <c r="A1278" s="17"/>
      <c r="B1278" s="18"/>
      <c r="C1278" s="18"/>
      <c r="D1278" s="18"/>
      <c r="E1278" s="10" t="str">
        <f>IF(B1278="","",IFERROR(INDEX(Harytlar!$C$5:$C$44,MATCH(B1278,Harytlar!$A$5:$A$44,0)),""))</f>
        <v/>
      </c>
      <c r="F1278" s="10" t="str">
        <f t="shared" si="19"/>
        <v/>
      </c>
      <c r="G1278" s="10" t="str">
        <f>IF(OR(C1278="",B1278=""),"",IFERROR(C1278*INDEX(Harytlar!$D$5:$D$44,MATCH(B1278,Harytlar!$A$5:$A$44,0)),""))</f>
        <v/>
      </c>
    </row>
    <row r="1279" spans="1:7" x14ac:dyDescent="0.3">
      <c r="A1279" s="17"/>
      <c r="B1279" s="18"/>
      <c r="C1279" s="18"/>
      <c r="D1279" s="18"/>
      <c r="E1279" s="10" t="str">
        <f>IF(B1279="","",IFERROR(INDEX(Harytlar!$C$5:$C$44,MATCH(B1279,Harytlar!$A$5:$A$44,0)),""))</f>
        <v/>
      </c>
      <c r="F1279" s="10" t="str">
        <f t="shared" si="19"/>
        <v/>
      </c>
      <c r="G1279" s="10" t="str">
        <f>IF(OR(C1279="",B1279=""),"",IFERROR(C1279*INDEX(Harytlar!$D$5:$D$44,MATCH(B1279,Harytlar!$A$5:$A$44,0)),""))</f>
        <v/>
      </c>
    </row>
    <row r="1280" spans="1:7" x14ac:dyDescent="0.3">
      <c r="A1280" s="17"/>
      <c r="B1280" s="18"/>
      <c r="C1280" s="18"/>
      <c r="D1280" s="18"/>
      <c r="E1280" s="10" t="str">
        <f>IF(B1280="","",IFERROR(INDEX(Harytlar!$C$5:$C$44,MATCH(B1280,Harytlar!$A$5:$A$44,0)),""))</f>
        <v/>
      </c>
      <c r="F1280" s="10" t="str">
        <f t="shared" si="19"/>
        <v/>
      </c>
      <c r="G1280" s="10" t="str">
        <f>IF(OR(C1280="",B1280=""),"",IFERROR(C1280*INDEX(Harytlar!$D$5:$D$44,MATCH(B1280,Harytlar!$A$5:$A$44,0)),""))</f>
        <v/>
      </c>
    </row>
    <row r="1281" spans="1:7" x14ac:dyDescent="0.3">
      <c r="A1281" s="17"/>
      <c r="B1281" s="18"/>
      <c r="C1281" s="18"/>
      <c r="D1281" s="18"/>
      <c r="E1281" s="10" t="str">
        <f>IF(B1281="","",IFERROR(INDEX(Harytlar!$C$5:$C$44,MATCH(B1281,Harytlar!$A$5:$A$44,0)),""))</f>
        <v/>
      </c>
      <c r="F1281" s="10" t="str">
        <f t="shared" si="19"/>
        <v/>
      </c>
      <c r="G1281" s="10" t="str">
        <f>IF(OR(C1281="",B1281=""),"",IFERROR(C1281*INDEX(Harytlar!$D$5:$D$44,MATCH(B1281,Harytlar!$A$5:$A$44,0)),""))</f>
        <v/>
      </c>
    </row>
    <row r="1282" spans="1:7" x14ac:dyDescent="0.3">
      <c r="A1282" s="17"/>
      <c r="B1282" s="18"/>
      <c r="C1282" s="18"/>
      <c r="D1282" s="18"/>
      <c r="E1282" s="10" t="str">
        <f>IF(B1282="","",IFERROR(INDEX(Harytlar!$C$5:$C$44,MATCH(B1282,Harytlar!$A$5:$A$44,0)),""))</f>
        <v/>
      </c>
      <c r="F1282" s="10" t="str">
        <f t="shared" si="19"/>
        <v/>
      </c>
      <c r="G1282" s="10" t="str">
        <f>IF(OR(C1282="",B1282=""),"",IFERROR(C1282*INDEX(Harytlar!$D$5:$D$44,MATCH(B1282,Harytlar!$A$5:$A$44,0)),""))</f>
        <v/>
      </c>
    </row>
    <row r="1283" spans="1:7" x14ac:dyDescent="0.3">
      <c r="A1283" s="17"/>
      <c r="B1283" s="18"/>
      <c r="C1283" s="18"/>
      <c r="D1283" s="18"/>
      <c r="E1283" s="10" t="str">
        <f>IF(B1283="","",IFERROR(INDEX(Harytlar!$C$5:$C$44,MATCH(B1283,Harytlar!$A$5:$A$44,0)),""))</f>
        <v/>
      </c>
      <c r="F1283" s="10" t="str">
        <f t="shared" si="19"/>
        <v/>
      </c>
      <c r="G1283" s="10" t="str">
        <f>IF(OR(C1283="",B1283=""),"",IFERROR(C1283*INDEX(Harytlar!$D$5:$D$44,MATCH(B1283,Harytlar!$A$5:$A$44,0)),""))</f>
        <v/>
      </c>
    </row>
    <row r="1284" spans="1:7" x14ac:dyDescent="0.3">
      <c r="A1284" s="17"/>
      <c r="B1284" s="18"/>
      <c r="C1284" s="18"/>
      <c r="D1284" s="18"/>
      <c r="E1284" s="10" t="str">
        <f>IF(B1284="","",IFERROR(INDEX(Harytlar!$C$5:$C$44,MATCH(B1284,Harytlar!$A$5:$A$44,0)),""))</f>
        <v/>
      </c>
      <c r="F1284" s="10" t="str">
        <f t="shared" si="19"/>
        <v/>
      </c>
      <c r="G1284" s="10" t="str">
        <f>IF(OR(C1284="",B1284=""),"",IFERROR(C1284*INDEX(Harytlar!$D$5:$D$44,MATCH(B1284,Harytlar!$A$5:$A$44,0)),""))</f>
        <v/>
      </c>
    </row>
    <row r="1285" spans="1:7" x14ac:dyDescent="0.3">
      <c r="A1285" s="17"/>
      <c r="B1285" s="18"/>
      <c r="C1285" s="18"/>
      <c r="D1285" s="18"/>
      <c r="E1285" s="10" t="str">
        <f>IF(B1285="","",IFERROR(INDEX(Harytlar!$C$5:$C$44,MATCH(B1285,Harytlar!$A$5:$A$44,0)),""))</f>
        <v/>
      </c>
      <c r="F1285" s="10" t="str">
        <f t="shared" si="19"/>
        <v/>
      </c>
      <c r="G1285" s="10" t="str">
        <f>IF(OR(C1285="",B1285=""),"",IFERROR(C1285*INDEX(Harytlar!$D$5:$D$44,MATCH(B1285,Harytlar!$A$5:$A$44,0)),""))</f>
        <v/>
      </c>
    </row>
    <row r="1286" spans="1:7" x14ac:dyDescent="0.3">
      <c r="A1286" s="17"/>
      <c r="B1286" s="18"/>
      <c r="C1286" s="18"/>
      <c r="D1286" s="18"/>
      <c r="E1286" s="10" t="str">
        <f>IF(B1286="","",IFERROR(INDEX(Harytlar!$C$5:$C$44,MATCH(B1286,Harytlar!$A$5:$A$44,0)),""))</f>
        <v/>
      </c>
      <c r="F1286" s="10" t="str">
        <f t="shared" ref="F1286:F1349" si="20">IF(OR(C1286="",E1286=""),"",C1286*E1286)</f>
        <v/>
      </c>
      <c r="G1286" s="10" t="str">
        <f>IF(OR(C1286="",B1286=""),"",IFERROR(C1286*INDEX(Harytlar!$D$5:$D$44,MATCH(B1286,Harytlar!$A$5:$A$44,0)),""))</f>
        <v/>
      </c>
    </row>
    <row r="1287" spans="1:7" x14ac:dyDescent="0.3">
      <c r="A1287" s="17"/>
      <c r="B1287" s="18"/>
      <c r="C1287" s="18"/>
      <c r="D1287" s="18"/>
      <c r="E1287" s="10" t="str">
        <f>IF(B1287="","",IFERROR(INDEX(Harytlar!$C$5:$C$44,MATCH(B1287,Harytlar!$A$5:$A$44,0)),""))</f>
        <v/>
      </c>
      <c r="F1287" s="10" t="str">
        <f t="shared" si="20"/>
        <v/>
      </c>
      <c r="G1287" s="10" t="str">
        <f>IF(OR(C1287="",B1287=""),"",IFERROR(C1287*INDEX(Harytlar!$D$5:$D$44,MATCH(B1287,Harytlar!$A$5:$A$44,0)),""))</f>
        <v/>
      </c>
    </row>
    <row r="1288" spans="1:7" x14ac:dyDescent="0.3">
      <c r="A1288" s="17"/>
      <c r="B1288" s="18"/>
      <c r="C1288" s="18"/>
      <c r="D1288" s="18"/>
      <c r="E1288" s="10" t="str">
        <f>IF(B1288="","",IFERROR(INDEX(Harytlar!$C$5:$C$44,MATCH(B1288,Harytlar!$A$5:$A$44,0)),""))</f>
        <v/>
      </c>
      <c r="F1288" s="10" t="str">
        <f t="shared" si="20"/>
        <v/>
      </c>
      <c r="G1288" s="10" t="str">
        <f>IF(OR(C1288="",B1288=""),"",IFERROR(C1288*INDEX(Harytlar!$D$5:$D$44,MATCH(B1288,Harytlar!$A$5:$A$44,0)),""))</f>
        <v/>
      </c>
    </row>
    <row r="1289" spans="1:7" x14ac:dyDescent="0.3">
      <c r="A1289" s="17"/>
      <c r="B1289" s="18"/>
      <c r="C1289" s="18"/>
      <c r="D1289" s="18"/>
      <c r="E1289" s="10" t="str">
        <f>IF(B1289="","",IFERROR(INDEX(Harytlar!$C$5:$C$44,MATCH(B1289,Harytlar!$A$5:$A$44,0)),""))</f>
        <v/>
      </c>
      <c r="F1289" s="10" t="str">
        <f t="shared" si="20"/>
        <v/>
      </c>
      <c r="G1289" s="10" t="str">
        <f>IF(OR(C1289="",B1289=""),"",IFERROR(C1289*INDEX(Harytlar!$D$5:$D$44,MATCH(B1289,Harytlar!$A$5:$A$44,0)),""))</f>
        <v/>
      </c>
    </row>
    <row r="1290" spans="1:7" x14ac:dyDescent="0.3">
      <c r="A1290" s="17"/>
      <c r="B1290" s="18"/>
      <c r="C1290" s="18"/>
      <c r="D1290" s="18"/>
      <c r="E1290" s="10" t="str">
        <f>IF(B1290="","",IFERROR(INDEX(Harytlar!$C$5:$C$44,MATCH(B1290,Harytlar!$A$5:$A$44,0)),""))</f>
        <v/>
      </c>
      <c r="F1290" s="10" t="str">
        <f t="shared" si="20"/>
        <v/>
      </c>
      <c r="G1290" s="10" t="str">
        <f>IF(OR(C1290="",B1290=""),"",IFERROR(C1290*INDEX(Harytlar!$D$5:$D$44,MATCH(B1290,Harytlar!$A$5:$A$44,0)),""))</f>
        <v/>
      </c>
    </row>
    <row r="1291" spans="1:7" x14ac:dyDescent="0.3">
      <c r="A1291" s="17"/>
      <c r="B1291" s="18"/>
      <c r="C1291" s="18"/>
      <c r="D1291" s="18"/>
      <c r="E1291" s="10" t="str">
        <f>IF(B1291="","",IFERROR(INDEX(Harytlar!$C$5:$C$44,MATCH(B1291,Harytlar!$A$5:$A$44,0)),""))</f>
        <v/>
      </c>
      <c r="F1291" s="10" t="str">
        <f t="shared" si="20"/>
        <v/>
      </c>
      <c r="G1291" s="10" t="str">
        <f>IF(OR(C1291="",B1291=""),"",IFERROR(C1291*INDEX(Harytlar!$D$5:$D$44,MATCH(B1291,Harytlar!$A$5:$A$44,0)),""))</f>
        <v/>
      </c>
    </row>
    <row r="1292" spans="1:7" x14ac:dyDescent="0.3">
      <c r="A1292" s="17"/>
      <c r="B1292" s="18"/>
      <c r="C1292" s="18"/>
      <c r="D1292" s="18"/>
      <c r="E1292" s="10" t="str">
        <f>IF(B1292="","",IFERROR(INDEX(Harytlar!$C$5:$C$44,MATCH(B1292,Harytlar!$A$5:$A$44,0)),""))</f>
        <v/>
      </c>
      <c r="F1292" s="10" t="str">
        <f t="shared" si="20"/>
        <v/>
      </c>
      <c r="G1292" s="10" t="str">
        <f>IF(OR(C1292="",B1292=""),"",IFERROR(C1292*INDEX(Harytlar!$D$5:$D$44,MATCH(B1292,Harytlar!$A$5:$A$44,0)),""))</f>
        <v/>
      </c>
    </row>
    <row r="1293" spans="1:7" x14ac:dyDescent="0.3">
      <c r="A1293" s="17"/>
      <c r="B1293" s="18"/>
      <c r="C1293" s="18"/>
      <c r="D1293" s="18"/>
      <c r="E1293" s="10" t="str">
        <f>IF(B1293="","",IFERROR(INDEX(Harytlar!$C$5:$C$44,MATCH(B1293,Harytlar!$A$5:$A$44,0)),""))</f>
        <v/>
      </c>
      <c r="F1293" s="10" t="str">
        <f t="shared" si="20"/>
        <v/>
      </c>
      <c r="G1293" s="10" t="str">
        <f>IF(OR(C1293="",B1293=""),"",IFERROR(C1293*INDEX(Harytlar!$D$5:$D$44,MATCH(B1293,Harytlar!$A$5:$A$44,0)),""))</f>
        <v/>
      </c>
    </row>
    <row r="1294" spans="1:7" x14ac:dyDescent="0.3">
      <c r="A1294" s="17"/>
      <c r="B1294" s="18"/>
      <c r="C1294" s="18"/>
      <c r="D1294" s="18"/>
      <c r="E1294" s="10" t="str">
        <f>IF(B1294="","",IFERROR(INDEX(Harytlar!$C$5:$C$44,MATCH(B1294,Harytlar!$A$5:$A$44,0)),""))</f>
        <v/>
      </c>
      <c r="F1294" s="10" t="str">
        <f t="shared" si="20"/>
        <v/>
      </c>
      <c r="G1294" s="10" t="str">
        <f>IF(OR(C1294="",B1294=""),"",IFERROR(C1294*INDEX(Harytlar!$D$5:$D$44,MATCH(B1294,Harytlar!$A$5:$A$44,0)),""))</f>
        <v/>
      </c>
    </row>
    <row r="1295" spans="1:7" x14ac:dyDescent="0.3">
      <c r="A1295" s="17"/>
      <c r="B1295" s="18"/>
      <c r="C1295" s="18"/>
      <c r="D1295" s="18"/>
      <c r="E1295" s="10" t="str">
        <f>IF(B1295="","",IFERROR(INDEX(Harytlar!$C$5:$C$44,MATCH(B1295,Harytlar!$A$5:$A$44,0)),""))</f>
        <v/>
      </c>
      <c r="F1295" s="10" t="str">
        <f t="shared" si="20"/>
        <v/>
      </c>
      <c r="G1295" s="10" t="str">
        <f>IF(OR(C1295="",B1295=""),"",IFERROR(C1295*INDEX(Harytlar!$D$5:$D$44,MATCH(B1295,Harytlar!$A$5:$A$44,0)),""))</f>
        <v/>
      </c>
    </row>
    <row r="1296" spans="1:7" x14ac:dyDescent="0.3">
      <c r="A1296" s="17"/>
      <c r="B1296" s="18"/>
      <c r="C1296" s="18"/>
      <c r="D1296" s="18"/>
      <c r="E1296" s="10" t="str">
        <f>IF(B1296="","",IFERROR(INDEX(Harytlar!$C$5:$C$44,MATCH(B1296,Harytlar!$A$5:$A$44,0)),""))</f>
        <v/>
      </c>
      <c r="F1296" s="10" t="str">
        <f t="shared" si="20"/>
        <v/>
      </c>
      <c r="G1296" s="10" t="str">
        <f>IF(OR(C1296="",B1296=""),"",IFERROR(C1296*INDEX(Harytlar!$D$5:$D$44,MATCH(B1296,Harytlar!$A$5:$A$44,0)),""))</f>
        <v/>
      </c>
    </row>
    <row r="1297" spans="1:7" x14ac:dyDescent="0.3">
      <c r="A1297" s="17"/>
      <c r="B1297" s="18"/>
      <c r="C1297" s="18"/>
      <c r="D1297" s="18"/>
      <c r="E1297" s="10" t="str">
        <f>IF(B1297="","",IFERROR(INDEX(Harytlar!$C$5:$C$44,MATCH(B1297,Harytlar!$A$5:$A$44,0)),""))</f>
        <v/>
      </c>
      <c r="F1297" s="10" t="str">
        <f t="shared" si="20"/>
        <v/>
      </c>
      <c r="G1297" s="10" t="str">
        <f>IF(OR(C1297="",B1297=""),"",IFERROR(C1297*INDEX(Harytlar!$D$5:$D$44,MATCH(B1297,Harytlar!$A$5:$A$44,0)),""))</f>
        <v/>
      </c>
    </row>
    <row r="1298" spans="1:7" x14ac:dyDescent="0.3">
      <c r="A1298" s="17"/>
      <c r="B1298" s="18"/>
      <c r="C1298" s="18"/>
      <c r="D1298" s="18"/>
      <c r="E1298" s="10" t="str">
        <f>IF(B1298="","",IFERROR(INDEX(Harytlar!$C$5:$C$44,MATCH(B1298,Harytlar!$A$5:$A$44,0)),""))</f>
        <v/>
      </c>
      <c r="F1298" s="10" t="str">
        <f t="shared" si="20"/>
        <v/>
      </c>
      <c r="G1298" s="10" t="str">
        <f>IF(OR(C1298="",B1298=""),"",IFERROR(C1298*INDEX(Harytlar!$D$5:$D$44,MATCH(B1298,Harytlar!$A$5:$A$44,0)),""))</f>
        <v/>
      </c>
    </row>
    <row r="1299" spans="1:7" x14ac:dyDescent="0.3">
      <c r="A1299" s="17"/>
      <c r="B1299" s="18"/>
      <c r="C1299" s="18"/>
      <c r="D1299" s="18"/>
      <c r="E1299" s="10" t="str">
        <f>IF(B1299="","",IFERROR(INDEX(Harytlar!$C$5:$C$44,MATCH(B1299,Harytlar!$A$5:$A$44,0)),""))</f>
        <v/>
      </c>
      <c r="F1299" s="10" t="str">
        <f t="shared" si="20"/>
        <v/>
      </c>
      <c r="G1299" s="10" t="str">
        <f>IF(OR(C1299="",B1299=""),"",IFERROR(C1299*INDEX(Harytlar!$D$5:$D$44,MATCH(B1299,Harytlar!$A$5:$A$44,0)),""))</f>
        <v/>
      </c>
    </row>
    <row r="1300" spans="1:7" x14ac:dyDescent="0.3">
      <c r="A1300" s="17"/>
      <c r="B1300" s="18"/>
      <c r="C1300" s="18"/>
      <c r="D1300" s="18"/>
      <c r="E1300" s="10" t="str">
        <f>IF(B1300="","",IFERROR(INDEX(Harytlar!$C$5:$C$44,MATCH(B1300,Harytlar!$A$5:$A$44,0)),""))</f>
        <v/>
      </c>
      <c r="F1300" s="10" t="str">
        <f t="shared" si="20"/>
        <v/>
      </c>
      <c r="G1300" s="10" t="str">
        <f>IF(OR(C1300="",B1300=""),"",IFERROR(C1300*INDEX(Harytlar!$D$5:$D$44,MATCH(B1300,Harytlar!$A$5:$A$44,0)),""))</f>
        <v/>
      </c>
    </row>
    <row r="1301" spans="1:7" x14ac:dyDescent="0.3">
      <c r="A1301" s="17"/>
      <c r="B1301" s="18"/>
      <c r="C1301" s="18"/>
      <c r="D1301" s="18"/>
      <c r="E1301" s="10" t="str">
        <f>IF(B1301="","",IFERROR(INDEX(Harytlar!$C$5:$C$44,MATCH(B1301,Harytlar!$A$5:$A$44,0)),""))</f>
        <v/>
      </c>
      <c r="F1301" s="10" t="str">
        <f t="shared" si="20"/>
        <v/>
      </c>
      <c r="G1301" s="10" t="str">
        <f>IF(OR(C1301="",B1301=""),"",IFERROR(C1301*INDEX(Harytlar!$D$5:$D$44,MATCH(B1301,Harytlar!$A$5:$A$44,0)),""))</f>
        <v/>
      </c>
    </row>
    <row r="1302" spans="1:7" x14ac:dyDescent="0.3">
      <c r="A1302" s="17"/>
      <c r="B1302" s="18"/>
      <c r="C1302" s="18"/>
      <c r="D1302" s="18"/>
      <c r="E1302" s="10" t="str">
        <f>IF(B1302="","",IFERROR(INDEX(Harytlar!$C$5:$C$44,MATCH(B1302,Harytlar!$A$5:$A$44,0)),""))</f>
        <v/>
      </c>
      <c r="F1302" s="10" t="str">
        <f t="shared" si="20"/>
        <v/>
      </c>
      <c r="G1302" s="10" t="str">
        <f>IF(OR(C1302="",B1302=""),"",IFERROR(C1302*INDEX(Harytlar!$D$5:$D$44,MATCH(B1302,Harytlar!$A$5:$A$44,0)),""))</f>
        <v/>
      </c>
    </row>
    <row r="1303" spans="1:7" x14ac:dyDescent="0.3">
      <c r="A1303" s="17"/>
      <c r="B1303" s="18"/>
      <c r="C1303" s="18"/>
      <c r="D1303" s="18"/>
      <c r="E1303" s="10" t="str">
        <f>IF(B1303="","",IFERROR(INDEX(Harytlar!$C$5:$C$44,MATCH(B1303,Harytlar!$A$5:$A$44,0)),""))</f>
        <v/>
      </c>
      <c r="F1303" s="10" t="str">
        <f t="shared" si="20"/>
        <v/>
      </c>
      <c r="G1303" s="10" t="str">
        <f>IF(OR(C1303="",B1303=""),"",IFERROR(C1303*INDEX(Harytlar!$D$5:$D$44,MATCH(B1303,Harytlar!$A$5:$A$44,0)),""))</f>
        <v/>
      </c>
    </row>
    <row r="1304" spans="1:7" x14ac:dyDescent="0.3">
      <c r="A1304" s="17"/>
      <c r="B1304" s="18"/>
      <c r="C1304" s="18"/>
      <c r="D1304" s="18"/>
      <c r="E1304" s="10" t="str">
        <f>IF(B1304="","",IFERROR(INDEX(Harytlar!$C$5:$C$44,MATCH(B1304,Harytlar!$A$5:$A$44,0)),""))</f>
        <v/>
      </c>
      <c r="F1304" s="10" t="str">
        <f t="shared" si="20"/>
        <v/>
      </c>
      <c r="G1304" s="10" t="str">
        <f>IF(OR(C1304="",B1304=""),"",IFERROR(C1304*INDEX(Harytlar!$D$5:$D$44,MATCH(B1304,Harytlar!$A$5:$A$44,0)),""))</f>
        <v/>
      </c>
    </row>
    <row r="1305" spans="1:7" x14ac:dyDescent="0.3">
      <c r="A1305" s="17"/>
      <c r="B1305" s="18"/>
      <c r="C1305" s="18"/>
      <c r="D1305" s="18"/>
      <c r="E1305" s="10" t="str">
        <f>IF(B1305="","",IFERROR(INDEX(Harytlar!$C$5:$C$44,MATCH(B1305,Harytlar!$A$5:$A$44,0)),""))</f>
        <v/>
      </c>
      <c r="F1305" s="10" t="str">
        <f t="shared" si="20"/>
        <v/>
      </c>
      <c r="G1305" s="10" t="str">
        <f>IF(OR(C1305="",B1305=""),"",IFERROR(C1305*INDEX(Harytlar!$D$5:$D$44,MATCH(B1305,Harytlar!$A$5:$A$44,0)),""))</f>
        <v/>
      </c>
    </row>
    <row r="1306" spans="1:7" x14ac:dyDescent="0.3">
      <c r="A1306" s="17"/>
      <c r="B1306" s="18"/>
      <c r="C1306" s="18"/>
      <c r="D1306" s="18"/>
      <c r="E1306" s="10" t="str">
        <f>IF(B1306="","",IFERROR(INDEX(Harytlar!$C$5:$C$44,MATCH(B1306,Harytlar!$A$5:$A$44,0)),""))</f>
        <v/>
      </c>
      <c r="F1306" s="10" t="str">
        <f t="shared" si="20"/>
        <v/>
      </c>
      <c r="G1306" s="10" t="str">
        <f>IF(OR(C1306="",B1306=""),"",IFERROR(C1306*INDEX(Harytlar!$D$5:$D$44,MATCH(B1306,Harytlar!$A$5:$A$44,0)),""))</f>
        <v/>
      </c>
    </row>
    <row r="1307" spans="1:7" x14ac:dyDescent="0.3">
      <c r="A1307" s="17"/>
      <c r="B1307" s="18"/>
      <c r="C1307" s="18"/>
      <c r="D1307" s="18"/>
      <c r="E1307" s="10" t="str">
        <f>IF(B1307="","",IFERROR(INDEX(Harytlar!$C$5:$C$44,MATCH(B1307,Harytlar!$A$5:$A$44,0)),""))</f>
        <v/>
      </c>
      <c r="F1307" s="10" t="str">
        <f t="shared" si="20"/>
        <v/>
      </c>
      <c r="G1307" s="10" t="str">
        <f>IF(OR(C1307="",B1307=""),"",IFERROR(C1307*INDEX(Harytlar!$D$5:$D$44,MATCH(B1307,Harytlar!$A$5:$A$44,0)),""))</f>
        <v/>
      </c>
    </row>
    <row r="1308" spans="1:7" x14ac:dyDescent="0.3">
      <c r="A1308" s="17"/>
      <c r="B1308" s="18"/>
      <c r="C1308" s="18"/>
      <c r="D1308" s="18"/>
      <c r="E1308" s="10" t="str">
        <f>IF(B1308="","",IFERROR(INDEX(Harytlar!$C$5:$C$44,MATCH(B1308,Harytlar!$A$5:$A$44,0)),""))</f>
        <v/>
      </c>
      <c r="F1308" s="10" t="str">
        <f t="shared" si="20"/>
        <v/>
      </c>
      <c r="G1308" s="10" t="str">
        <f>IF(OR(C1308="",B1308=""),"",IFERROR(C1308*INDEX(Harytlar!$D$5:$D$44,MATCH(B1308,Harytlar!$A$5:$A$44,0)),""))</f>
        <v/>
      </c>
    </row>
    <row r="1309" spans="1:7" x14ac:dyDescent="0.3">
      <c r="A1309" s="17"/>
      <c r="B1309" s="18"/>
      <c r="C1309" s="18"/>
      <c r="D1309" s="18"/>
      <c r="E1309" s="10" t="str">
        <f>IF(B1309="","",IFERROR(INDEX(Harytlar!$C$5:$C$44,MATCH(B1309,Harytlar!$A$5:$A$44,0)),""))</f>
        <v/>
      </c>
      <c r="F1309" s="10" t="str">
        <f t="shared" si="20"/>
        <v/>
      </c>
      <c r="G1309" s="10" t="str">
        <f>IF(OR(C1309="",B1309=""),"",IFERROR(C1309*INDEX(Harytlar!$D$5:$D$44,MATCH(B1309,Harytlar!$A$5:$A$44,0)),""))</f>
        <v/>
      </c>
    </row>
    <row r="1310" spans="1:7" x14ac:dyDescent="0.3">
      <c r="A1310" s="17"/>
      <c r="B1310" s="18"/>
      <c r="C1310" s="18"/>
      <c r="D1310" s="18"/>
      <c r="E1310" s="10" t="str">
        <f>IF(B1310="","",IFERROR(INDEX(Harytlar!$C$5:$C$44,MATCH(B1310,Harytlar!$A$5:$A$44,0)),""))</f>
        <v/>
      </c>
      <c r="F1310" s="10" t="str">
        <f t="shared" si="20"/>
        <v/>
      </c>
      <c r="G1310" s="10" t="str">
        <f>IF(OR(C1310="",B1310=""),"",IFERROR(C1310*INDEX(Harytlar!$D$5:$D$44,MATCH(B1310,Harytlar!$A$5:$A$44,0)),""))</f>
        <v/>
      </c>
    </row>
    <row r="1311" spans="1:7" x14ac:dyDescent="0.3">
      <c r="A1311" s="17"/>
      <c r="B1311" s="18"/>
      <c r="C1311" s="18"/>
      <c r="D1311" s="18"/>
      <c r="E1311" s="10" t="str">
        <f>IF(B1311="","",IFERROR(INDEX(Harytlar!$C$5:$C$44,MATCH(B1311,Harytlar!$A$5:$A$44,0)),""))</f>
        <v/>
      </c>
      <c r="F1311" s="10" t="str">
        <f t="shared" si="20"/>
        <v/>
      </c>
      <c r="G1311" s="10" t="str">
        <f>IF(OR(C1311="",B1311=""),"",IFERROR(C1311*INDEX(Harytlar!$D$5:$D$44,MATCH(B1311,Harytlar!$A$5:$A$44,0)),""))</f>
        <v/>
      </c>
    </row>
    <row r="1312" spans="1:7" x14ac:dyDescent="0.3">
      <c r="A1312" s="17"/>
      <c r="B1312" s="18"/>
      <c r="C1312" s="18"/>
      <c r="D1312" s="18"/>
      <c r="E1312" s="10" t="str">
        <f>IF(B1312="","",IFERROR(INDEX(Harytlar!$C$5:$C$44,MATCH(B1312,Harytlar!$A$5:$A$44,0)),""))</f>
        <v/>
      </c>
      <c r="F1312" s="10" t="str">
        <f t="shared" si="20"/>
        <v/>
      </c>
      <c r="G1312" s="10" t="str">
        <f>IF(OR(C1312="",B1312=""),"",IFERROR(C1312*INDEX(Harytlar!$D$5:$D$44,MATCH(B1312,Harytlar!$A$5:$A$44,0)),""))</f>
        <v/>
      </c>
    </row>
    <row r="1313" spans="1:7" x14ac:dyDescent="0.3">
      <c r="A1313" s="17"/>
      <c r="B1313" s="18"/>
      <c r="C1313" s="18"/>
      <c r="D1313" s="18"/>
      <c r="E1313" s="10" t="str">
        <f>IF(B1313="","",IFERROR(INDEX(Harytlar!$C$5:$C$44,MATCH(B1313,Harytlar!$A$5:$A$44,0)),""))</f>
        <v/>
      </c>
      <c r="F1313" s="10" t="str">
        <f t="shared" si="20"/>
        <v/>
      </c>
      <c r="G1313" s="10" t="str">
        <f>IF(OR(C1313="",B1313=""),"",IFERROR(C1313*INDEX(Harytlar!$D$5:$D$44,MATCH(B1313,Harytlar!$A$5:$A$44,0)),""))</f>
        <v/>
      </c>
    </row>
    <row r="1314" spans="1:7" x14ac:dyDescent="0.3">
      <c r="A1314" s="17"/>
      <c r="B1314" s="18"/>
      <c r="C1314" s="18"/>
      <c r="D1314" s="18"/>
      <c r="E1314" s="10" t="str">
        <f>IF(B1314="","",IFERROR(INDEX(Harytlar!$C$5:$C$44,MATCH(B1314,Harytlar!$A$5:$A$44,0)),""))</f>
        <v/>
      </c>
      <c r="F1314" s="10" t="str">
        <f t="shared" si="20"/>
        <v/>
      </c>
      <c r="G1314" s="10" t="str">
        <f>IF(OR(C1314="",B1314=""),"",IFERROR(C1314*INDEX(Harytlar!$D$5:$D$44,MATCH(B1314,Harytlar!$A$5:$A$44,0)),""))</f>
        <v/>
      </c>
    </row>
    <row r="1315" spans="1:7" x14ac:dyDescent="0.3">
      <c r="A1315" s="17"/>
      <c r="B1315" s="18"/>
      <c r="C1315" s="18"/>
      <c r="D1315" s="18"/>
      <c r="E1315" s="10" t="str">
        <f>IF(B1315="","",IFERROR(INDEX(Harytlar!$C$5:$C$44,MATCH(B1315,Harytlar!$A$5:$A$44,0)),""))</f>
        <v/>
      </c>
      <c r="F1315" s="10" t="str">
        <f t="shared" si="20"/>
        <v/>
      </c>
      <c r="G1315" s="10" t="str">
        <f>IF(OR(C1315="",B1315=""),"",IFERROR(C1315*INDEX(Harytlar!$D$5:$D$44,MATCH(B1315,Harytlar!$A$5:$A$44,0)),""))</f>
        <v/>
      </c>
    </row>
    <row r="1316" spans="1:7" x14ac:dyDescent="0.3">
      <c r="A1316" s="17"/>
      <c r="B1316" s="18"/>
      <c r="C1316" s="18"/>
      <c r="D1316" s="18"/>
      <c r="E1316" s="10" t="str">
        <f>IF(B1316="","",IFERROR(INDEX(Harytlar!$C$5:$C$44,MATCH(B1316,Harytlar!$A$5:$A$44,0)),""))</f>
        <v/>
      </c>
      <c r="F1316" s="10" t="str">
        <f t="shared" si="20"/>
        <v/>
      </c>
      <c r="G1316" s="10" t="str">
        <f>IF(OR(C1316="",B1316=""),"",IFERROR(C1316*INDEX(Harytlar!$D$5:$D$44,MATCH(B1316,Harytlar!$A$5:$A$44,0)),""))</f>
        <v/>
      </c>
    </row>
    <row r="1317" spans="1:7" x14ac:dyDescent="0.3">
      <c r="A1317" s="17"/>
      <c r="B1317" s="18"/>
      <c r="C1317" s="18"/>
      <c r="D1317" s="18"/>
      <c r="E1317" s="10" t="str">
        <f>IF(B1317="","",IFERROR(INDEX(Harytlar!$C$5:$C$44,MATCH(B1317,Harytlar!$A$5:$A$44,0)),""))</f>
        <v/>
      </c>
      <c r="F1317" s="10" t="str">
        <f t="shared" si="20"/>
        <v/>
      </c>
      <c r="G1317" s="10" t="str">
        <f>IF(OR(C1317="",B1317=""),"",IFERROR(C1317*INDEX(Harytlar!$D$5:$D$44,MATCH(B1317,Harytlar!$A$5:$A$44,0)),""))</f>
        <v/>
      </c>
    </row>
    <row r="1318" spans="1:7" x14ac:dyDescent="0.3">
      <c r="A1318" s="17"/>
      <c r="B1318" s="18"/>
      <c r="C1318" s="18"/>
      <c r="D1318" s="18"/>
      <c r="E1318" s="10" t="str">
        <f>IF(B1318="","",IFERROR(INDEX(Harytlar!$C$5:$C$44,MATCH(B1318,Harytlar!$A$5:$A$44,0)),""))</f>
        <v/>
      </c>
      <c r="F1318" s="10" t="str">
        <f t="shared" si="20"/>
        <v/>
      </c>
      <c r="G1318" s="10" t="str">
        <f>IF(OR(C1318="",B1318=""),"",IFERROR(C1318*INDEX(Harytlar!$D$5:$D$44,MATCH(B1318,Harytlar!$A$5:$A$44,0)),""))</f>
        <v/>
      </c>
    </row>
    <row r="1319" spans="1:7" x14ac:dyDescent="0.3">
      <c r="A1319" s="17"/>
      <c r="B1319" s="18"/>
      <c r="C1319" s="18"/>
      <c r="D1319" s="18"/>
      <c r="E1319" s="10" t="str">
        <f>IF(B1319="","",IFERROR(INDEX(Harytlar!$C$5:$C$44,MATCH(B1319,Harytlar!$A$5:$A$44,0)),""))</f>
        <v/>
      </c>
      <c r="F1319" s="10" t="str">
        <f t="shared" si="20"/>
        <v/>
      </c>
      <c r="G1319" s="10" t="str">
        <f>IF(OR(C1319="",B1319=""),"",IFERROR(C1319*INDEX(Harytlar!$D$5:$D$44,MATCH(B1319,Harytlar!$A$5:$A$44,0)),""))</f>
        <v/>
      </c>
    </row>
    <row r="1320" spans="1:7" x14ac:dyDescent="0.3">
      <c r="A1320" s="17"/>
      <c r="B1320" s="18"/>
      <c r="C1320" s="18"/>
      <c r="D1320" s="18"/>
      <c r="E1320" s="10" t="str">
        <f>IF(B1320="","",IFERROR(INDEX(Harytlar!$C$5:$C$44,MATCH(B1320,Harytlar!$A$5:$A$44,0)),""))</f>
        <v/>
      </c>
      <c r="F1320" s="10" t="str">
        <f t="shared" si="20"/>
        <v/>
      </c>
      <c r="G1320" s="10" t="str">
        <f>IF(OR(C1320="",B1320=""),"",IFERROR(C1320*INDEX(Harytlar!$D$5:$D$44,MATCH(B1320,Harytlar!$A$5:$A$44,0)),""))</f>
        <v/>
      </c>
    </row>
    <row r="1321" spans="1:7" x14ac:dyDescent="0.3">
      <c r="A1321" s="17"/>
      <c r="B1321" s="18"/>
      <c r="C1321" s="18"/>
      <c r="D1321" s="18"/>
      <c r="E1321" s="10" t="str">
        <f>IF(B1321="","",IFERROR(INDEX(Harytlar!$C$5:$C$44,MATCH(B1321,Harytlar!$A$5:$A$44,0)),""))</f>
        <v/>
      </c>
      <c r="F1321" s="10" t="str">
        <f t="shared" si="20"/>
        <v/>
      </c>
      <c r="G1321" s="10" t="str">
        <f>IF(OR(C1321="",B1321=""),"",IFERROR(C1321*INDEX(Harytlar!$D$5:$D$44,MATCH(B1321,Harytlar!$A$5:$A$44,0)),""))</f>
        <v/>
      </c>
    </row>
    <row r="1322" spans="1:7" x14ac:dyDescent="0.3">
      <c r="A1322" s="17"/>
      <c r="B1322" s="18"/>
      <c r="C1322" s="18"/>
      <c r="D1322" s="18"/>
      <c r="E1322" s="10" t="str">
        <f>IF(B1322="","",IFERROR(INDEX(Harytlar!$C$5:$C$44,MATCH(B1322,Harytlar!$A$5:$A$44,0)),""))</f>
        <v/>
      </c>
      <c r="F1322" s="10" t="str">
        <f t="shared" si="20"/>
        <v/>
      </c>
      <c r="G1322" s="10" t="str">
        <f>IF(OR(C1322="",B1322=""),"",IFERROR(C1322*INDEX(Harytlar!$D$5:$D$44,MATCH(B1322,Harytlar!$A$5:$A$44,0)),""))</f>
        <v/>
      </c>
    </row>
    <row r="1323" spans="1:7" x14ac:dyDescent="0.3">
      <c r="A1323" s="17"/>
      <c r="B1323" s="18"/>
      <c r="C1323" s="18"/>
      <c r="D1323" s="18"/>
      <c r="E1323" s="10" t="str">
        <f>IF(B1323="","",IFERROR(INDEX(Harytlar!$C$5:$C$44,MATCH(B1323,Harytlar!$A$5:$A$44,0)),""))</f>
        <v/>
      </c>
      <c r="F1323" s="10" t="str">
        <f t="shared" si="20"/>
        <v/>
      </c>
      <c r="G1323" s="10" t="str">
        <f>IF(OR(C1323="",B1323=""),"",IFERROR(C1323*INDEX(Harytlar!$D$5:$D$44,MATCH(B1323,Harytlar!$A$5:$A$44,0)),""))</f>
        <v/>
      </c>
    </row>
    <row r="1324" spans="1:7" x14ac:dyDescent="0.3">
      <c r="A1324" s="17"/>
      <c r="B1324" s="18"/>
      <c r="C1324" s="18"/>
      <c r="D1324" s="18"/>
      <c r="E1324" s="10" t="str">
        <f>IF(B1324="","",IFERROR(INDEX(Harytlar!$C$5:$C$44,MATCH(B1324,Harytlar!$A$5:$A$44,0)),""))</f>
        <v/>
      </c>
      <c r="F1324" s="10" t="str">
        <f t="shared" si="20"/>
        <v/>
      </c>
      <c r="G1324" s="10" t="str">
        <f>IF(OR(C1324="",B1324=""),"",IFERROR(C1324*INDEX(Harytlar!$D$5:$D$44,MATCH(B1324,Harytlar!$A$5:$A$44,0)),""))</f>
        <v/>
      </c>
    </row>
    <row r="1325" spans="1:7" x14ac:dyDescent="0.3">
      <c r="A1325" s="17"/>
      <c r="B1325" s="18"/>
      <c r="C1325" s="18"/>
      <c r="D1325" s="18"/>
      <c r="E1325" s="10" t="str">
        <f>IF(B1325="","",IFERROR(INDEX(Harytlar!$C$5:$C$44,MATCH(B1325,Harytlar!$A$5:$A$44,0)),""))</f>
        <v/>
      </c>
      <c r="F1325" s="10" t="str">
        <f t="shared" si="20"/>
        <v/>
      </c>
      <c r="G1325" s="10" t="str">
        <f>IF(OR(C1325="",B1325=""),"",IFERROR(C1325*INDEX(Harytlar!$D$5:$D$44,MATCH(B1325,Harytlar!$A$5:$A$44,0)),""))</f>
        <v/>
      </c>
    </row>
    <row r="1326" spans="1:7" x14ac:dyDescent="0.3">
      <c r="A1326" s="17"/>
      <c r="B1326" s="18"/>
      <c r="C1326" s="18"/>
      <c r="D1326" s="18"/>
      <c r="E1326" s="10" t="str">
        <f>IF(B1326="","",IFERROR(INDEX(Harytlar!$C$5:$C$44,MATCH(B1326,Harytlar!$A$5:$A$44,0)),""))</f>
        <v/>
      </c>
      <c r="F1326" s="10" t="str">
        <f t="shared" si="20"/>
        <v/>
      </c>
      <c r="G1326" s="10" t="str">
        <f>IF(OR(C1326="",B1326=""),"",IFERROR(C1326*INDEX(Harytlar!$D$5:$D$44,MATCH(B1326,Harytlar!$A$5:$A$44,0)),""))</f>
        <v/>
      </c>
    </row>
    <row r="1327" spans="1:7" x14ac:dyDescent="0.3">
      <c r="A1327" s="17"/>
      <c r="B1327" s="18"/>
      <c r="C1327" s="18"/>
      <c r="D1327" s="18"/>
      <c r="E1327" s="10" t="str">
        <f>IF(B1327="","",IFERROR(INDEX(Harytlar!$C$5:$C$44,MATCH(B1327,Harytlar!$A$5:$A$44,0)),""))</f>
        <v/>
      </c>
      <c r="F1327" s="10" t="str">
        <f t="shared" si="20"/>
        <v/>
      </c>
      <c r="G1327" s="10" t="str">
        <f>IF(OR(C1327="",B1327=""),"",IFERROR(C1327*INDEX(Harytlar!$D$5:$D$44,MATCH(B1327,Harytlar!$A$5:$A$44,0)),""))</f>
        <v/>
      </c>
    </row>
    <row r="1328" spans="1:7" x14ac:dyDescent="0.3">
      <c r="A1328" s="17"/>
      <c r="B1328" s="18"/>
      <c r="C1328" s="18"/>
      <c r="D1328" s="18"/>
      <c r="E1328" s="10" t="str">
        <f>IF(B1328="","",IFERROR(INDEX(Harytlar!$C$5:$C$44,MATCH(B1328,Harytlar!$A$5:$A$44,0)),""))</f>
        <v/>
      </c>
      <c r="F1328" s="10" t="str">
        <f t="shared" si="20"/>
        <v/>
      </c>
      <c r="G1328" s="10" t="str">
        <f>IF(OR(C1328="",B1328=""),"",IFERROR(C1328*INDEX(Harytlar!$D$5:$D$44,MATCH(B1328,Harytlar!$A$5:$A$44,0)),""))</f>
        <v/>
      </c>
    </row>
    <row r="1329" spans="1:7" x14ac:dyDescent="0.3">
      <c r="A1329" s="17"/>
      <c r="B1329" s="18"/>
      <c r="C1329" s="18"/>
      <c r="D1329" s="18"/>
      <c r="E1329" s="10" t="str">
        <f>IF(B1329="","",IFERROR(INDEX(Harytlar!$C$5:$C$44,MATCH(B1329,Harytlar!$A$5:$A$44,0)),""))</f>
        <v/>
      </c>
      <c r="F1329" s="10" t="str">
        <f t="shared" si="20"/>
        <v/>
      </c>
      <c r="G1329" s="10" t="str">
        <f>IF(OR(C1329="",B1329=""),"",IFERROR(C1329*INDEX(Harytlar!$D$5:$D$44,MATCH(B1329,Harytlar!$A$5:$A$44,0)),""))</f>
        <v/>
      </c>
    </row>
    <row r="1330" spans="1:7" x14ac:dyDescent="0.3">
      <c r="A1330" s="17"/>
      <c r="B1330" s="18"/>
      <c r="C1330" s="18"/>
      <c r="D1330" s="18"/>
      <c r="E1330" s="10" t="str">
        <f>IF(B1330="","",IFERROR(INDEX(Harytlar!$C$5:$C$44,MATCH(B1330,Harytlar!$A$5:$A$44,0)),""))</f>
        <v/>
      </c>
      <c r="F1330" s="10" t="str">
        <f t="shared" si="20"/>
        <v/>
      </c>
      <c r="G1330" s="10" t="str">
        <f>IF(OR(C1330="",B1330=""),"",IFERROR(C1330*INDEX(Harytlar!$D$5:$D$44,MATCH(B1330,Harytlar!$A$5:$A$44,0)),""))</f>
        <v/>
      </c>
    </row>
    <row r="1331" spans="1:7" x14ac:dyDescent="0.3">
      <c r="A1331" s="17"/>
      <c r="B1331" s="18"/>
      <c r="C1331" s="18"/>
      <c r="D1331" s="18"/>
      <c r="E1331" s="10" t="str">
        <f>IF(B1331="","",IFERROR(INDEX(Harytlar!$C$5:$C$44,MATCH(B1331,Harytlar!$A$5:$A$44,0)),""))</f>
        <v/>
      </c>
      <c r="F1331" s="10" t="str">
        <f t="shared" si="20"/>
        <v/>
      </c>
      <c r="G1331" s="10" t="str">
        <f>IF(OR(C1331="",B1331=""),"",IFERROR(C1331*INDEX(Harytlar!$D$5:$D$44,MATCH(B1331,Harytlar!$A$5:$A$44,0)),""))</f>
        <v/>
      </c>
    </row>
    <row r="1332" spans="1:7" x14ac:dyDescent="0.3">
      <c r="A1332" s="17"/>
      <c r="B1332" s="18"/>
      <c r="C1332" s="18"/>
      <c r="D1332" s="18"/>
      <c r="E1332" s="10" t="str">
        <f>IF(B1332="","",IFERROR(INDEX(Harytlar!$C$5:$C$44,MATCH(B1332,Harytlar!$A$5:$A$44,0)),""))</f>
        <v/>
      </c>
      <c r="F1332" s="10" t="str">
        <f t="shared" si="20"/>
        <v/>
      </c>
      <c r="G1332" s="10" t="str">
        <f>IF(OR(C1332="",B1332=""),"",IFERROR(C1332*INDEX(Harytlar!$D$5:$D$44,MATCH(B1332,Harytlar!$A$5:$A$44,0)),""))</f>
        <v/>
      </c>
    </row>
    <row r="1333" spans="1:7" x14ac:dyDescent="0.3">
      <c r="A1333" s="17"/>
      <c r="B1333" s="18"/>
      <c r="C1333" s="18"/>
      <c r="D1333" s="18"/>
      <c r="E1333" s="10" t="str">
        <f>IF(B1333="","",IFERROR(INDEX(Harytlar!$C$5:$C$44,MATCH(B1333,Harytlar!$A$5:$A$44,0)),""))</f>
        <v/>
      </c>
      <c r="F1333" s="10" t="str">
        <f t="shared" si="20"/>
        <v/>
      </c>
      <c r="G1333" s="10" t="str">
        <f>IF(OR(C1333="",B1333=""),"",IFERROR(C1333*INDEX(Harytlar!$D$5:$D$44,MATCH(B1333,Harytlar!$A$5:$A$44,0)),""))</f>
        <v/>
      </c>
    </row>
    <row r="1334" spans="1:7" x14ac:dyDescent="0.3">
      <c r="A1334" s="17"/>
      <c r="B1334" s="18"/>
      <c r="C1334" s="18"/>
      <c r="D1334" s="18"/>
      <c r="E1334" s="10" t="str">
        <f>IF(B1334="","",IFERROR(INDEX(Harytlar!$C$5:$C$44,MATCH(B1334,Harytlar!$A$5:$A$44,0)),""))</f>
        <v/>
      </c>
      <c r="F1334" s="10" t="str">
        <f t="shared" si="20"/>
        <v/>
      </c>
      <c r="G1334" s="10" t="str">
        <f>IF(OR(C1334="",B1334=""),"",IFERROR(C1334*INDEX(Harytlar!$D$5:$D$44,MATCH(B1334,Harytlar!$A$5:$A$44,0)),""))</f>
        <v/>
      </c>
    </row>
    <row r="1335" spans="1:7" x14ac:dyDescent="0.3">
      <c r="A1335" s="17"/>
      <c r="B1335" s="18"/>
      <c r="C1335" s="18"/>
      <c r="D1335" s="18"/>
      <c r="E1335" s="10" t="str">
        <f>IF(B1335="","",IFERROR(INDEX(Harytlar!$C$5:$C$44,MATCH(B1335,Harytlar!$A$5:$A$44,0)),""))</f>
        <v/>
      </c>
      <c r="F1335" s="10" t="str">
        <f t="shared" si="20"/>
        <v/>
      </c>
      <c r="G1335" s="10" t="str">
        <f>IF(OR(C1335="",B1335=""),"",IFERROR(C1335*INDEX(Harytlar!$D$5:$D$44,MATCH(B1335,Harytlar!$A$5:$A$44,0)),""))</f>
        <v/>
      </c>
    </row>
    <row r="1336" spans="1:7" x14ac:dyDescent="0.3">
      <c r="A1336" s="17"/>
      <c r="B1336" s="18"/>
      <c r="C1336" s="18"/>
      <c r="D1336" s="18"/>
      <c r="E1336" s="10" t="str">
        <f>IF(B1336="","",IFERROR(INDEX(Harytlar!$C$5:$C$44,MATCH(B1336,Harytlar!$A$5:$A$44,0)),""))</f>
        <v/>
      </c>
      <c r="F1336" s="10" t="str">
        <f t="shared" si="20"/>
        <v/>
      </c>
      <c r="G1336" s="10" t="str">
        <f>IF(OR(C1336="",B1336=""),"",IFERROR(C1336*INDEX(Harytlar!$D$5:$D$44,MATCH(B1336,Harytlar!$A$5:$A$44,0)),""))</f>
        <v/>
      </c>
    </row>
    <row r="1337" spans="1:7" x14ac:dyDescent="0.3">
      <c r="A1337" s="17"/>
      <c r="B1337" s="18"/>
      <c r="C1337" s="18"/>
      <c r="D1337" s="18"/>
      <c r="E1337" s="10" t="str">
        <f>IF(B1337="","",IFERROR(INDEX(Harytlar!$C$5:$C$44,MATCH(B1337,Harytlar!$A$5:$A$44,0)),""))</f>
        <v/>
      </c>
      <c r="F1337" s="10" t="str">
        <f t="shared" si="20"/>
        <v/>
      </c>
      <c r="G1337" s="10" t="str">
        <f>IF(OR(C1337="",B1337=""),"",IFERROR(C1337*INDEX(Harytlar!$D$5:$D$44,MATCH(B1337,Harytlar!$A$5:$A$44,0)),""))</f>
        <v/>
      </c>
    </row>
    <row r="1338" spans="1:7" x14ac:dyDescent="0.3">
      <c r="A1338" s="17"/>
      <c r="B1338" s="18"/>
      <c r="C1338" s="18"/>
      <c r="D1338" s="18"/>
      <c r="E1338" s="10" t="str">
        <f>IF(B1338="","",IFERROR(INDEX(Harytlar!$C$5:$C$44,MATCH(B1338,Harytlar!$A$5:$A$44,0)),""))</f>
        <v/>
      </c>
      <c r="F1338" s="10" t="str">
        <f t="shared" si="20"/>
        <v/>
      </c>
      <c r="G1338" s="10" t="str">
        <f>IF(OR(C1338="",B1338=""),"",IFERROR(C1338*INDEX(Harytlar!$D$5:$D$44,MATCH(B1338,Harytlar!$A$5:$A$44,0)),""))</f>
        <v/>
      </c>
    </row>
    <row r="1339" spans="1:7" x14ac:dyDescent="0.3">
      <c r="A1339" s="17"/>
      <c r="B1339" s="18"/>
      <c r="C1339" s="18"/>
      <c r="D1339" s="18"/>
      <c r="E1339" s="10" t="str">
        <f>IF(B1339="","",IFERROR(INDEX(Harytlar!$C$5:$C$44,MATCH(B1339,Harytlar!$A$5:$A$44,0)),""))</f>
        <v/>
      </c>
      <c r="F1339" s="10" t="str">
        <f t="shared" si="20"/>
        <v/>
      </c>
      <c r="G1339" s="10" t="str">
        <f>IF(OR(C1339="",B1339=""),"",IFERROR(C1339*INDEX(Harytlar!$D$5:$D$44,MATCH(B1339,Harytlar!$A$5:$A$44,0)),""))</f>
        <v/>
      </c>
    </row>
    <row r="1340" spans="1:7" x14ac:dyDescent="0.3">
      <c r="A1340" s="17"/>
      <c r="B1340" s="18"/>
      <c r="C1340" s="18"/>
      <c r="D1340" s="18"/>
      <c r="E1340" s="10" t="str">
        <f>IF(B1340="","",IFERROR(INDEX(Harytlar!$C$5:$C$44,MATCH(B1340,Harytlar!$A$5:$A$44,0)),""))</f>
        <v/>
      </c>
      <c r="F1340" s="10" t="str">
        <f t="shared" si="20"/>
        <v/>
      </c>
      <c r="G1340" s="10" t="str">
        <f>IF(OR(C1340="",B1340=""),"",IFERROR(C1340*INDEX(Harytlar!$D$5:$D$44,MATCH(B1340,Harytlar!$A$5:$A$44,0)),""))</f>
        <v/>
      </c>
    </row>
    <row r="1341" spans="1:7" x14ac:dyDescent="0.3">
      <c r="A1341" s="17"/>
      <c r="B1341" s="18"/>
      <c r="C1341" s="18"/>
      <c r="D1341" s="18"/>
      <c r="E1341" s="10" t="str">
        <f>IF(B1341="","",IFERROR(INDEX(Harytlar!$C$5:$C$44,MATCH(B1341,Harytlar!$A$5:$A$44,0)),""))</f>
        <v/>
      </c>
      <c r="F1341" s="10" t="str">
        <f t="shared" si="20"/>
        <v/>
      </c>
      <c r="G1341" s="10" t="str">
        <f>IF(OR(C1341="",B1341=""),"",IFERROR(C1341*INDEX(Harytlar!$D$5:$D$44,MATCH(B1341,Harytlar!$A$5:$A$44,0)),""))</f>
        <v/>
      </c>
    </row>
    <row r="1342" spans="1:7" x14ac:dyDescent="0.3">
      <c r="A1342" s="17"/>
      <c r="B1342" s="18"/>
      <c r="C1342" s="18"/>
      <c r="D1342" s="18"/>
      <c r="E1342" s="10" t="str">
        <f>IF(B1342="","",IFERROR(INDEX(Harytlar!$C$5:$C$44,MATCH(B1342,Harytlar!$A$5:$A$44,0)),""))</f>
        <v/>
      </c>
      <c r="F1342" s="10" t="str">
        <f t="shared" si="20"/>
        <v/>
      </c>
      <c r="G1342" s="10" t="str">
        <f>IF(OR(C1342="",B1342=""),"",IFERROR(C1342*INDEX(Harytlar!$D$5:$D$44,MATCH(B1342,Harytlar!$A$5:$A$44,0)),""))</f>
        <v/>
      </c>
    </row>
    <row r="1343" spans="1:7" x14ac:dyDescent="0.3">
      <c r="A1343" s="17"/>
      <c r="B1343" s="18"/>
      <c r="C1343" s="18"/>
      <c r="D1343" s="18"/>
      <c r="E1343" s="10" t="str">
        <f>IF(B1343="","",IFERROR(INDEX(Harytlar!$C$5:$C$44,MATCH(B1343,Harytlar!$A$5:$A$44,0)),""))</f>
        <v/>
      </c>
      <c r="F1343" s="10" t="str">
        <f t="shared" si="20"/>
        <v/>
      </c>
      <c r="G1343" s="10" t="str">
        <f>IF(OR(C1343="",B1343=""),"",IFERROR(C1343*INDEX(Harytlar!$D$5:$D$44,MATCH(B1343,Harytlar!$A$5:$A$44,0)),""))</f>
        <v/>
      </c>
    </row>
    <row r="1344" spans="1:7" x14ac:dyDescent="0.3">
      <c r="A1344" s="17"/>
      <c r="B1344" s="18"/>
      <c r="C1344" s="18"/>
      <c r="D1344" s="18"/>
      <c r="E1344" s="10" t="str">
        <f>IF(B1344="","",IFERROR(INDEX(Harytlar!$C$5:$C$44,MATCH(B1344,Harytlar!$A$5:$A$44,0)),""))</f>
        <v/>
      </c>
      <c r="F1344" s="10" t="str">
        <f t="shared" si="20"/>
        <v/>
      </c>
      <c r="G1344" s="10" t="str">
        <f>IF(OR(C1344="",B1344=""),"",IFERROR(C1344*INDEX(Harytlar!$D$5:$D$44,MATCH(B1344,Harytlar!$A$5:$A$44,0)),""))</f>
        <v/>
      </c>
    </row>
    <row r="1345" spans="1:7" x14ac:dyDescent="0.3">
      <c r="A1345" s="17"/>
      <c r="B1345" s="18"/>
      <c r="C1345" s="18"/>
      <c r="D1345" s="18"/>
      <c r="E1345" s="10" t="str">
        <f>IF(B1345="","",IFERROR(INDEX(Harytlar!$C$5:$C$44,MATCH(B1345,Harytlar!$A$5:$A$44,0)),""))</f>
        <v/>
      </c>
      <c r="F1345" s="10" t="str">
        <f t="shared" si="20"/>
        <v/>
      </c>
      <c r="G1345" s="10" t="str">
        <f>IF(OR(C1345="",B1345=""),"",IFERROR(C1345*INDEX(Harytlar!$D$5:$D$44,MATCH(B1345,Harytlar!$A$5:$A$44,0)),""))</f>
        <v/>
      </c>
    </row>
    <row r="1346" spans="1:7" x14ac:dyDescent="0.3">
      <c r="A1346" s="17"/>
      <c r="B1346" s="18"/>
      <c r="C1346" s="18"/>
      <c r="D1346" s="18"/>
      <c r="E1346" s="10" t="str">
        <f>IF(B1346="","",IFERROR(INDEX(Harytlar!$C$5:$C$44,MATCH(B1346,Harytlar!$A$5:$A$44,0)),""))</f>
        <v/>
      </c>
      <c r="F1346" s="10" t="str">
        <f t="shared" si="20"/>
        <v/>
      </c>
      <c r="G1346" s="10" t="str">
        <f>IF(OR(C1346="",B1346=""),"",IFERROR(C1346*INDEX(Harytlar!$D$5:$D$44,MATCH(B1346,Harytlar!$A$5:$A$44,0)),""))</f>
        <v/>
      </c>
    </row>
    <row r="1347" spans="1:7" x14ac:dyDescent="0.3">
      <c r="A1347" s="17"/>
      <c r="B1347" s="18"/>
      <c r="C1347" s="18"/>
      <c r="D1347" s="18"/>
      <c r="E1347" s="10" t="str">
        <f>IF(B1347="","",IFERROR(INDEX(Harytlar!$C$5:$C$44,MATCH(B1347,Harytlar!$A$5:$A$44,0)),""))</f>
        <v/>
      </c>
      <c r="F1347" s="10" t="str">
        <f t="shared" si="20"/>
        <v/>
      </c>
      <c r="G1347" s="10" t="str">
        <f>IF(OR(C1347="",B1347=""),"",IFERROR(C1347*INDEX(Harytlar!$D$5:$D$44,MATCH(B1347,Harytlar!$A$5:$A$44,0)),""))</f>
        <v/>
      </c>
    </row>
    <row r="1348" spans="1:7" x14ac:dyDescent="0.3">
      <c r="A1348" s="17"/>
      <c r="B1348" s="18"/>
      <c r="C1348" s="18"/>
      <c r="D1348" s="18"/>
      <c r="E1348" s="10" t="str">
        <f>IF(B1348="","",IFERROR(INDEX(Harytlar!$C$5:$C$44,MATCH(B1348,Harytlar!$A$5:$A$44,0)),""))</f>
        <v/>
      </c>
      <c r="F1348" s="10" t="str">
        <f t="shared" si="20"/>
        <v/>
      </c>
      <c r="G1348" s="10" t="str">
        <f>IF(OR(C1348="",B1348=""),"",IFERROR(C1348*INDEX(Harytlar!$D$5:$D$44,MATCH(B1348,Harytlar!$A$5:$A$44,0)),""))</f>
        <v/>
      </c>
    </row>
    <row r="1349" spans="1:7" x14ac:dyDescent="0.3">
      <c r="A1349" s="17"/>
      <c r="B1349" s="18"/>
      <c r="C1349" s="18"/>
      <c r="D1349" s="18"/>
      <c r="E1349" s="10" t="str">
        <f>IF(B1349="","",IFERROR(INDEX(Harytlar!$C$5:$C$44,MATCH(B1349,Harytlar!$A$5:$A$44,0)),""))</f>
        <v/>
      </c>
      <c r="F1349" s="10" t="str">
        <f t="shared" si="20"/>
        <v/>
      </c>
      <c r="G1349" s="10" t="str">
        <f>IF(OR(C1349="",B1349=""),"",IFERROR(C1349*INDEX(Harytlar!$D$5:$D$44,MATCH(B1349,Harytlar!$A$5:$A$44,0)),""))</f>
        <v/>
      </c>
    </row>
    <row r="1350" spans="1:7" x14ac:dyDescent="0.3">
      <c r="A1350" s="17"/>
      <c r="B1350" s="18"/>
      <c r="C1350" s="18"/>
      <c r="D1350" s="18"/>
      <c r="E1350" s="10" t="str">
        <f>IF(B1350="","",IFERROR(INDEX(Harytlar!$C$5:$C$44,MATCH(B1350,Harytlar!$A$5:$A$44,0)),""))</f>
        <v/>
      </c>
      <c r="F1350" s="10" t="str">
        <f t="shared" ref="F1350:F1413" si="21">IF(OR(C1350="",E1350=""),"",C1350*E1350)</f>
        <v/>
      </c>
      <c r="G1350" s="10" t="str">
        <f>IF(OR(C1350="",B1350=""),"",IFERROR(C1350*INDEX(Harytlar!$D$5:$D$44,MATCH(B1350,Harytlar!$A$5:$A$44,0)),""))</f>
        <v/>
      </c>
    </row>
    <row r="1351" spans="1:7" x14ac:dyDescent="0.3">
      <c r="A1351" s="17"/>
      <c r="B1351" s="18"/>
      <c r="C1351" s="18"/>
      <c r="D1351" s="18"/>
      <c r="E1351" s="10" t="str">
        <f>IF(B1351="","",IFERROR(INDEX(Harytlar!$C$5:$C$44,MATCH(B1351,Harytlar!$A$5:$A$44,0)),""))</f>
        <v/>
      </c>
      <c r="F1351" s="10" t="str">
        <f t="shared" si="21"/>
        <v/>
      </c>
      <c r="G1351" s="10" t="str">
        <f>IF(OR(C1351="",B1351=""),"",IFERROR(C1351*INDEX(Harytlar!$D$5:$D$44,MATCH(B1351,Harytlar!$A$5:$A$44,0)),""))</f>
        <v/>
      </c>
    </row>
    <row r="1352" spans="1:7" x14ac:dyDescent="0.3">
      <c r="A1352" s="17"/>
      <c r="B1352" s="18"/>
      <c r="C1352" s="18"/>
      <c r="D1352" s="18"/>
      <c r="E1352" s="10" t="str">
        <f>IF(B1352="","",IFERROR(INDEX(Harytlar!$C$5:$C$44,MATCH(B1352,Harytlar!$A$5:$A$44,0)),""))</f>
        <v/>
      </c>
      <c r="F1352" s="10" t="str">
        <f t="shared" si="21"/>
        <v/>
      </c>
      <c r="G1352" s="10" t="str">
        <f>IF(OR(C1352="",B1352=""),"",IFERROR(C1352*INDEX(Harytlar!$D$5:$D$44,MATCH(B1352,Harytlar!$A$5:$A$44,0)),""))</f>
        <v/>
      </c>
    </row>
    <row r="1353" spans="1:7" x14ac:dyDescent="0.3">
      <c r="A1353" s="17"/>
      <c r="B1353" s="18"/>
      <c r="C1353" s="18"/>
      <c r="D1353" s="18"/>
      <c r="E1353" s="10" t="str">
        <f>IF(B1353="","",IFERROR(INDEX(Harytlar!$C$5:$C$44,MATCH(B1353,Harytlar!$A$5:$A$44,0)),""))</f>
        <v/>
      </c>
      <c r="F1353" s="10" t="str">
        <f t="shared" si="21"/>
        <v/>
      </c>
      <c r="G1353" s="10" t="str">
        <f>IF(OR(C1353="",B1353=""),"",IFERROR(C1353*INDEX(Harytlar!$D$5:$D$44,MATCH(B1353,Harytlar!$A$5:$A$44,0)),""))</f>
        <v/>
      </c>
    </row>
    <row r="1354" spans="1:7" x14ac:dyDescent="0.3">
      <c r="A1354" s="17"/>
      <c r="B1354" s="18"/>
      <c r="C1354" s="18"/>
      <c r="D1354" s="18"/>
      <c r="E1354" s="10" t="str">
        <f>IF(B1354="","",IFERROR(INDEX(Harytlar!$C$5:$C$44,MATCH(B1354,Harytlar!$A$5:$A$44,0)),""))</f>
        <v/>
      </c>
      <c r="F1354" s="10" t="str">
        <f t="shared" si="21"/>
        <v/>
      </c>
      <c r="G1354" s="10" t="str">
        <f>IF(OR(C1354="",B1354=""),"",IFERROR(C1354*INDEX(Harytlar!$D$5:$D$44,MATCH(B1354,Harytlar!$A$5:$A$44,0)),""))</f>
        <v/>
      </c>
    </row>
    <row r="1355" spans="1:7" x14ac:dyDescent="0.3">
      <c r="A1355" s="17"/>
      <c r="B1355" s="18"/>
      <c r="C1355" s="18"/>
      <c r="D1355" s="18"/>
      <c r="E1355" s="10" t="str">
        <f>IF(B1355="","",IFERROR(INDEX(Harytlar!$C$5:$C$44,MATCH(B1355,Harytlar!$A$5:$A$44,0)),""))</f>
        <v/>
      </c>
      <c r="F1355" s="10" t="str">
        <f t="shared" si="21"/>
        <v/>
      </c>
      <c r="G1355" s="10" t="str">
        <f>IF(OR(C1355="",B1355=""),"",IFERROR(C1355*INDEX(Harytlar!$D$5:$D$44,MATCH(B1355,Harytlar!$A$5:$A$44,0)),""))</f>
        <v/>
      </c>
    </row>
    <row r="1356" spans="1:7" x14ac:dyDescent="0.3">
      <c r="A1356" s="17"/>
      <c r="B1356" s="18"/>
      <c r="C1356" s="18"/>
      <c r="D1356" s="18"/>
      <c r="E1356" s="10" t="str">
        <f>IF(B1356="","",IFERROR(INDEX(Harytlar!$C$5:$C$44,MATCH(B1356,Harytlar!$A$5:$A$44,0)),""))</f>
        <v/>
      </c>
      <c r="F1356" s="10" t="str">
        <f t="shared" si="21"/>
        <v/>
      </c>
      <c r="G1356" s="10" t="str">
        <f>IF(OR(C1356="",B1356=""),"",IFERROR(C1356*INDEX(Harytlar!$D$5:$D$44,MATCH(B1356,Harytlar!$A$5:$A$44,0)),""))</f>
        <v/>
      </c>
    </row>
    <row r="1357" spans="1:7" x14ac:dyDescent="0.3">
      <c r="A1357" s="17"/>
      <c r="B1357" s="18"/>
      <c r="C1357" s="18"/>
      <c r="D1357" s="18"/>
      <c r="E1357" s="10" t="str">
        <f>IF(B1357="","",IFERROR(INDEX(Harytlar!$C$5:$C$44,MATCH(B1357,Harytlar!$A$5:$A$44,0)),""))</f>
        <v/>
      </c>
      <c r="F1357" s="10" t="str">
        <f t="shared" si="21"/>
        <v/>
      </c>
      <c r="G1357" s="10" t="str">
        <f>IF(OR(C1357="",B1357=""),"",IFERROR(C1357*INDEX(Harytlar!$D$5:$D$44,MATCH(B1357,Harytlar!$A$5:$A$44,0)),""))</f>
        <v/>
      </c>
    </row>
    <row r="1358" spans="1:7" x14ac:dyDescent="0.3">
      <c r="A1358" s="17"/>
      <c r="B1358" s="18"/>
      <c r="C1358" s="18"/>
      <c r="D1358" s="18"/>
      <c r="E1358" s="10" t="str">
        <f>IF(B1358="","",IFERROR(INDEX(Harytlar!$C$5:$C$44,MATCH(B1358,Harytlar!$A$5:$A$44,0)),""))</f>
        <v/>
      </c>
      <c r="F1358" s="10" t="str">
        <f t="shared" si="21"/>
        <v/>
      </c>
      <c r="G1358" s="10" t="str">
        <f>IF(OR(C1358="",B1358=""),"",IFERROR(C1358*INDEX(Harytlar!$D$5:$D$44,MATCH(B1358,Harytlar!$A$5:$A$44,0)),""))</f>
        <v/>
      </c>
    </row>
    <row r="1359" spans="1:7" x14ac:dyDescent="0.3">
      <c r="A1359" s="17"/>
      <c r="B1359" s="18"/>
      <c r="C1359" s="18"/>
      <c r="D1359" s="18"/>
      <c r="E1359" s="10" t="str">
        <f>IF(B1359="","",IFERROR(INDEX(Harytlar!$C$5:$C$44,MATCH(B1359,Harytlar!$A$5:$A$44,0)),""))</f>
        <v/>
      </c>
      <c r="F1359" s="10" t="str">
        <f t="shared" si="21"/>
        <v/>
      </c>
      <c r="G1359" s="10" t="str">
        <f>IF(OR(C1359="",B1359=""),"",IFERROR(C1359*INDEX(Harytlar!$D$5:$D$44,MATCH(B1359,Harytlar!$A$5:$A$44,0)),""))</f>
        <v/>
      </c>
    </row>
    <row r="1360" spans="1:7" x14ac:dyDescent="0.3">
      <c r="A1360" s="17"/>
      <c r="B1360" s="18"/>
      <c r="C1360" s="18"/>
      <c r="D1360" s="18"/>
      <c r="E1360" s="10" t="str">
        <f>IF(B1360="","",IFERROR(INDEX(Harytlar!$C$5:$C$44,MATCH(B1360,Harytlar!$A$5:$A$44,0)),""))</f>
        <v/>
      </c>
      <c r="F1360" s="10" t="str">
        <f t="shared" si="21"/>
        <v/>
      </c>
      <c r="G1360" s="10" t="str">
        <f>IF(OR(C1360="",B1360=""),"",IFERROR(C1360*INDEX(Harytlar!$D$5:$D$44,MATCH(B1360,Harytlar!$A$5:$A$44,0)),""))</f>
        <v/>
      </c>
    </row>
    <row r="1361" spans="1:7" x14ac:dyDescent="0.3">
      <c r="A1361" s="17"/>
      <c r="B1361" s="18"/>
      <c r="C1361" s="18"/>
      <c r="D1361" s="18"/>
      <c r="E1361" s="10" t="str">
        <f>IF(B1361="","",IFERROR(INDEX(Harytlar!$C$5:$C$44,MATCH(B1361,Harytlar!$A$5:$A$44,0)),""))</f>
        <v/>
      </c>
      <c r="F1361" s="10" t="str">
        <f t="shared" si="21"/>
        <v/>
      </c>
      <c r="G1361" s="10" t="str">
        <f>IF(OR(C1361="",B1361=""),"",IFERROR(C1361*INDEX(Harytlar!$D$5:$D$44,MATCH(B1361,Harytlar!$A$5:$A$44,0)),""))</f>
        <v/>
      </c>
    </row>
    <row r="1362" spans="1:7" x14ac:dyDescent="0.3">
      <c r="A1362" s="17"/>
      <c r="B1362" s="18"/>
      <c r="C1362" s="18"/>
      <c r="D1362" s="18"/>
      <c r="E1362" s="10" t="str">
        <f>IF(B1362="","",IFERROR(INDEX(Harytlar!$C$5:$C$44,MATCH(B1362,Harytlar!$A$5:$A$44,0)),""))</f>
        <v/>
      </c>
      <c r="F1362" s="10" t="str">
        <f t="shared" si="21"/>
        <v/>
      </c>
      <c r="G1362" s="10" t="str">
        <f>IF(OR(C1362="",B1362=""),"",IFERROR(C1362*INDEX(Harytlar!$D$5:$D$44,MATCH(B1362,Harytlar!$A$5:$A$44,0)),""))</f>
        <v/>
      </c>
    </row>
    <row r="1363" spans="1:7" x14ac:dyDescent="0.3">
      <c r="A1363" s="17"/>
      <c r="B1363" s="18"/>
      <c r="C1363" s="18"/>
      <c r="D1363" s="18"/>
      <c r="E1363" s="10" t="str">
        <f>IF(B1363="","",IFERROR(INDEX(Harytlar!$C$5:$C$44,MATCH(B1363,Harytlar!$A$5:$A$44,0)),""))</f>
        <v/>
      </c>
      <c r="F1363" s="10" t="str">
        <f t="shared" si="21"/>
        <v/>
      </c>
      <c r="G1363" s="10" t="str">
        <f>IF(OR(C1363="",B1363=""),"",IFERROR(C1363*INDEX(Harytlar!$D$5:$D$44,MATCH(B1363,Harytlar!$A$5:$A$44,0)),""))</f>
        <v/>
      </c>
    </row>
    <row r="1364" spans="1:7" x14ac:dyDescent="0.3">
      <c r="A1364" s="17"/>
      <c r="B1364" s="18"/>
      <c r="C1364" s="18"/>
      <c r="D1364" s="18"/>
      <c r="E1364" s="10" t="str">
        <f>IF(B1364="","",IFERROR(INDEX(Harytlar!$C$5:$C$44,MATCH(B1364,Harytlar!$A$5:$A$44,0)),""))</f>
        <v/>
      </c>
      <c r="F1364" s="10" t="str">
        <f t="shared" si="21"/>
        <v/>
      </c>
      <c r="G1364" s="10" t="str">
        <f>IF(OR(C1364="",B1364=""),"",IFERROR(C1364*INDEX(Harytlar!$D$5:$D$44,MATCH(B1364,Harytlar!$A$5:$A$44,0)),""))</f>
        <v/>
      </c>
    </row>
    <row r="1365" spans="1:7" x14ac:dyDescent="0.3">
      <c r="A1365" s="17"/>
      <c r="B1365" s="18"/>
      <c r="C1365" s="18"/>
      <c r="D1365" s="18"/>
      <c r="E1365" s="10" t="str">
        <f>IF(B1365="","",IFERROR(INDEX(Harytlar!$C$5:$C$44,MATCH(B1365,Harytlar!$A$5:$A$44,0)),""))</f>
        <v/>
      </c>
      <c r="F1365" s="10" t="str">
        <f t="shared" si="21"/>
        <v/>
      </c>
      <c r="G1365" s="10" t="str">
        <f>IF(OR(C1365="",B1365=""),"",IFERROR(C1365*INDEX(Harytlar!$D$5:$D$44,MATCH(B1365,Harytlar!$A$5:$A$44,0)),""))</f>
        <v/>
      </c>
    </row>
    <row r="1366" spans="1:7" x14ac:dyDescent="0.3">
      <c r="A1366" s="17"/>
      <c r="B1366" s="18"/>
      <c r="C1366" s="18"/>
      <c r="D1366" s="18"/>
      <c r="E1366" s="10" t="str">
        <f>IF(B1366="","",IFERROR(INDEX(Harytlar!$C$5:$C$44,MATCH(B1366,Harytlar!$A$5:$A$44,0)),""))</f>
        <v/>
      </c>
      <c r="F1366" s="10" t="str">
        <f t="shared" si="21"/>
        <v/>
      </c>
      <c r="G1366" s="10" t="str">
        <f>IF(OR(C1366="",B1366=""),"",IFERROR(C1366*INDEX(Harytlar!$D$5:$D$44,MATCH(B1366,Harytlar!$A$5:$A$44,0)),""))</f>
        <v/>
      </c>
    </row>
    <row r="1367" spans="1:7" x14ac:dyDescent="0.3">
      <c r="A1367" s="17"/>
      <c r="B1367" s="18"/>
      <c r="C1367" s="18"/>
      <c r="D1367" s="18"/>
      <c r="E1367" s="10" t="str">
        <f>IF(B1367="","",IFERROR(INDEX(Harytlar!$C$5:$C$44,MATCH(B1367,Harytlar!$A$5:$A$44,0)),""))</f>
        <v/>
      </c>
      <c r="F1367" s="10" t="str">
        <f t="shared" si="21"/>
        <v/>
      </c>
      <c r="G1367" s="10" t="str">
        <f>IF(OR(C1367="",B1367=""),"",IFERROR(C1367*INDEX(Harytlar!$D$5:$D$44,MATCH(B1367,Harytlar!$A$5:$A$44,0)),""))</f>
        <v/>
      </c>
    </row>
    <row r="1368" spans="1:7" x14ac:dyDescent="0.3">
      <c r="A1368" s="17"/>
      <c r="B1368" s="18"/>
      <c r="C1368" s="18"/>
      <c r="D1368" s="18"/>
      <c r="E1368" s="10" t="str">
        <f>IF(B1368="","",IFERROR(INDEX(Harytlar!$C$5:$C$44,MATCH(B1368,Harytlar!$A$5:$A$44,0)),""))</f>
        <v/>
      </c>
      <c r="F1368" s="10" t="str">
        <f t="shared" si="21"/>
        <v/>
      </c>
      <c r="G1368" s="10" t="str">
        <f>IF(OR(C1368="",B1368=""),"",IFERROR(C1368*INDEX(Harytlar!$D$5:$D$44,MATCH(B1368,Harytlar!$A$5:$A$44,0)),""))</f>
        <v/>
      </c>
    </row>
    <row r="1369" spans="1:7" x14ac:dyDescent="0.3">
      <c r="A1369" s="17"/>
      <c r="B1369" s="18"/>
      <c r="C1369" s="18"/>
      <c r="D1369" s="18"/>
      <c r="E1369" s="10" t="str">
        <f>IF(B1369="","",IFERROR(INDEX(Harytlar!$C$5:$C$44,MATCH(B1369,Harytlar!$A$5:$A$44,0)),""))</f>
        <v/>
      </c>
      <c r="F1369" s="10" t="str">
        <f t="shared" si="21"/>
        <v/>
      </c>
      <c r="G1369" s="10" t="str">
        <f>IF(OR(C1369="",B1369=""),"",IFERROR(C1369*INDEX(Harytlar!$D$5:$D$44,MATCH(B1369,Harytlar!$A$5:$A$44,0)),""))</f>
        <v/>
      </c>
    </row>
    <row r="1370" spans="1:7" x14ac:dyDescent="0.3">
      <c r="A1370" s="17"/>
      <c r="B1370" s="18"/>
      <c r="C1370" s="18"/>
      <c r="D1370" s="18"/>
      <c r="E1370" s="10" t="str">
        <f>IF(B1370="","",IFERROR(INDEX(Harytlar!$C$5:$C$44,MATCH(B1370,Harytlar!$A$5:$A$44,0)),""))</f>
        <v/>
      </c>
      <c r="F1370" s="10" t="str">
        <f t="shared" si="21"/>
        <v/>
      </c>
      <c r="G1370" s="10" t="str">
        <f>IF(OR(C1370="",B1370=""),"",IFERROR(C1370*INDEX(Harytlar!$D$5:$D$44,MATCH(B1370,Harytlar!$A$5:$A$44,0)),""))</f>
        <v/>
      </c>
    </row>
    <row r="1371" spans="1:7" x14ac:dyDescent="0.3">
      <c r="A1371" s="17"/>
      <c r="B1371" s="18"/>
      <c r="C1371" s="18"/>
      <c r="D1371" s="18"/>
      <c r="E1371" s="10" t="str">
        <f>IF(B1371="","",IFERROR(INDEX(Harytlar!$C$5:$C$44,MATCH(B1371,Harytlar!$A$5:$A$44,0)),""))</f>
        <v/>
      </c>
      <c r="F1371" s="10" t="str">
        <f t="shared" si="21"/>
        <v/>
      </c>
      <c r="G1371" s="10" t="str">
        <f>IF(OR(C1371="",B1371=""),"",IFERROR(C1371*INDEX(Harytlar!$D$5:$D$44,MATCH(B1371,Harytlar!$A$5:$A$44,0)),""))</f>
        <v/>
      </c>
    </row>
    <row r="1372" spans="1:7" x14ac:dyDescent="0.3">
      <c r="A1372" s="17"/>
      <c r="B1372" s="18"/>
      <c r="C1372" s="18"/>
      <c r="D1372" s="18"/>
      <c r="E1372" s="10" t="str">
        <f>IF(B1372="","",IFERROR(INDEX(Harytlar!$C$5:$C$44,MATCH(B1372,Harytlar!$A$5:$A$44,0)),""))</f>
        <v/>
      </c>
      <c r="F1372" s="10" t="str">
        <f t="shared" si="21"/>
        <v/>
      </c>
      <c r="G1372" s="10" t="str">
        <f>IF(OR(C1372="",B1372=""),"",IFERROR(C1372*INDEX(Harytlar!$D$5:$D$44,MATCH(B1372,Harytlar!$A$5:$A$44,0)),""))</f>
        <v/>
      </c>
    </row>
    <row r="1373" spans="1:7" x14ac:dyDescent="0.3">
      <c r="A1373" s="17"/>
      <c r="B1373" s="18"/>
      <c r="C1373" s="18"/>
      <c r="D1373" s="18"/>
      <c r="E1373" s="10" t="str">
        <f>IF(B1373="","",IFERROR(INDEX(Harytlar!$C$5:$C$44,MATCH(B1373,Harytlar!$A$5:$A$44,0)),""))</f>
        <v/>
      </c>
      <c r="F1373" s="10" t="str">
        <f t="shared" si="21"/>
        <v/>
      </c>
      <c r="G1373" s="10" t="str">
        <f>IF(OR(C1373="",B1373=""),"",IFERROR(C1373*INDEX(Harytlar!$D$5:$D$44,MATCH(B1373,Harytlar!$A$5:$A$44,0)),""))</f>
        <v/>
      </c>
    </row>
    <row r="1374" spans="1:7" x14ac:dyDescent="0.3">
      <c r="A1374" s="17"/>
      <c r="B1374" s="18"/>
      <c r="C1374" s="18"/>
      <c r="D1374" s="18"/>
      <c r="E1374" s="10" t="str">
        <f>IF(B1374="","",IFERROR(INDEX(Harytlar!$C$5:$C$44,MATCH(B1374,Harytlar!$A$5:$A$44,0)),""))</f>
        <v/>
      </c>
      <c r="F1374" s="10" t="str">
        <f t="shared" si="21"/>
        <v/>
      </c>
      <c r="G1374" s="10" t="str">
        <f>IF(OR(C1374="",B1374=""),"",IFERROR(C1374*INDEX(Harytlar!$D$5:$D$44,MATCH(B1374,Harytlar!$A$5:$A$44,0)),""))</f>
        <v/>
      </c>
    </row>
    <row r="1375" spans="1:7" x14ac:dyDescent="0.3">
      <c r="A1375" s="17"/>
      <c r="B1375" s="18"/>
      <c r="C1375" s="18"/>
      <c r="D1375" s="18"/>
      <c r="E1375" s="10" t="str">
        <f>IF(B1375="","",IFERROR(INDEX(Harytlar!$C$5:$C$44,MATCH(B1375,Harytlar!$A$5:$A$44,0)),""))</f>
        <v/>
      </c>
      <c r="F1375" s="10" t="str">
        <f t="shared" si="21"/>
        <v/>
      </c>
      <c r="G1375" s="10" t="str">
        <f>IF(OR(C1375="",B1375=""),"",IFERROR(C1375*INDEX(Harytlar!$D$5:$D$44,MATCH(B1375,Harytlar!$A$5:$A$44,0)),""))</f>
        <v/>
      </c>
    </row>
    <row r="1376" spans="1:7" x14ac:dyDescent="0.3">
      <c r="A1376" s="17"/>
      <c r="B1376" s="18"/>
      <c r="C1376" s="18"/>
      <c r="D1376" s="18"/>
      <c r="E1376" s="10" t="str">
        <f>IF(B1376="","",IFERROR(INDEX(Harytlar!$C$5:$C$44,MATCH(B1376,Harytlar!$A$5:$A$44,0)),""))</f>
        <v/>
      </c>
      <c r="F1376" s="10" t="str">
        <f t="shared" si="21"/>
        <v/>
      </c>
      <c r="G1376" s="10" t="str">
        <f>IF(OR(C1376="",B1376=""),"",IFERROR(C1376*INDEX(Harytlar!$D$5:$D$44,MATCH(B1376,Harytlar!$A$5:$A$44,0)),""))</f>
        <v/>
      </c>
    </row>
    <row r="1377" spans="1:7" x14ac:dyDescent="0.3">
      <c r="A1377" s="17"/>
      <c r="B1377" s="18"/>
      <c r="C1377" s="18"/>
      <c r="D1377" s="18"/>
      <c r="E1377" s="10" t="str">
        <f>IF(B1377="","",IFERROR(INDEX(Harytlar!$C$5:$C$44,MATCH(B1377,Harytlar!$A$5:$A$44,0)),""))</f>
        <v/>
      </c>
      <c r="F1377" s="10" t="str">
        <f t="shared" si="21"/>
        <v/>
      </c>
      <c r="G1377" s="10" t="str">
        <f>IF(OR(C1377="",B1377=""),"",IFERROR(C1377*INDEX(Harytlar!$D$5:$D$44,MATCH(B1377,Harytlar!$A$5:$A$44,0)),""))</f>
        <v/>
      </c>
    </row>
    <row r="1378" spans="1:7" x14ac:dyDescent="0.3">
      <c r="A1378" s="17"/>
      <c r="B1378" s="18"/>
      <c r="C1378" s="18"/>
      <c r="D1378" s="18"/>
      <c r="E1378" s="10" t="str">
        <f>IF(B1378="","",IFERROR(INDEX(Harytlar!$C$5:$C$44,MATCH(B1378,Harytlar!$A$5:$A$44,0)),""))</f>
        <v/>
      </c>
      <c r="F1378" s="10" t="str">
        <f t="shared" si="21"/>
        <v/>
      </c>
      <c r="G1378" s="10" t="str">
        <f>IF(OR(C1378="",B1378=""),"",IFERROR(C1378*INDEX(Harytlar!$D$5:$D$44,MATCH(B1378,Harytlar!$A$5:$A$44,0)),""))</f>
        <v/>
      </c>
    </row>
    <row r="1379" spans="1:7" x14ac:dyDescent="0.3">
      <c r="A1379" s="17"/>
      <c r="B1379" s="18"/>
      <c r="C1379" s="18"/>
      <c r="D1379" s="18"/>
      <c r="E1379" s="10" t="str">
        <f>IF(B1379="","",IFERROR(INDEX(Harytlar!$C$5:$C$44,MATCH(B1379,Harytlar!$A$5:$A$44,0)),""))</f>
        <v/>
      </c>
      <c r="F1379" s="10" t="str">
        <f t="shared" si="21"/>
        <v/>
      </c>
      <c r="G1379" s="10" t="str">
        <f>IF(OR(C1379="",B1379=""),"",IFERROR(C1379*INDEX(Harytlar!$D$5:$D$44,MATCH(B1379,Harytlar!$A$5:$A$44,0)),""))</f>
        <v/>
      </c>
    </row>
    <row r="1380" spans="1:7" x14ac:dyDescent="0.3">
      <c r="A1380" s="17"/>
      <c r="B1380" s="18"/>
      <c r="C1380" s="18"/>
      <c r="D1380" s="18"/>
      <c r="E1380" s="10" t="str">
        <f>IF(B1380="","",IFERROR(INDEX(Harytlar!$C$5:$C$44,MATCH(B1380,Harytlar!$A$5:$A$44,0)),""))</f>
        <v/>
      </c>
      <c r="F1380" s="10" t="str">
        <f t="shared" si="21"/>
        <v/>
      </c>
      <c r="G1380" s="10" t="str">
        <f>IF(OR(C1380="",B1380=""),"",IFERROR(C1380*INDEX(Harytlar!$D$5:$D$44,MATCH(B1380,Harytlar!$A$5:$A$44,0)),""))</f>
        <v/>
      </c>
    </row>
    <row r="1381" spans="1:7" x14ac:dyDescent="0.3">
      <c r="A1381" s="17"/>
      <c r="B1381" s="18"/>
      <c r="C1381" s="18"/>
      <c r="D1381" s="18"/>
      <c r="E1381" s="10" t="str">
        <f>IF(B1381="","",IFERROR(INDEX(Harytlar!$C$5:$C$44,MATCH(B1381,Harytlar!$A$5:$A$44,0)),""))</f>
        <v/>
      </c>
      <c r="F1381" s="10" t="str">
        <f t="shared" si="21"/>
        <v/>
      </c>
      <c r="G1381" s="10" t="str">
        <f>IF(OR(C1381="",B1381=""),"",IFERROR(C1381*INDEX(Harytlar!$D$5:$D$44,MATCH(B1381,Harytlar!$A$5:$A$44,0)),""))</f>
        <v/>
      </c>
    </row>
    <row r="1382" spans="1:7" x14ac:dyDescent="0.3">
      <c r="A1382" s="17"/>
      <c r="B1382" s="18"/>
      <c r="C1382" s="18"/>
      <c r="D1382" s="18"/>
      <c r="E1382" s="10" t="str">
        <f>IF(B1382="","",IFERROR(INDEX(Harytlar!$C$5:$C$44,MATCH(B1382,Harytlar!$A$5:$A$44,0)),""))</f>
        <v/>
      </c>
      <c r="F1382" s="10" t="str">
        <f t="shared" si="21"/>
        <v/>
      </c>
      <c r="G1382" s="10" t="str">
        <f>IF(OR(C1382="",B1382=""),"",IFERROR(C1382*INDEX(Harytlar!$D$5:$D$44,MATCH(B1382,Harytlar!$A$5:$A$44,0)),""))</f>
        <v/>
      </c>
    </row>
    <row r="1383" spans="1:7" x14ac:dyDescent="0.3">
      <c r="A1383" s="17"/>
      <c r="B1383" s="18"/>
      <c r="C1383" s="18"/>
      <c r="D1383" s="18"/>
      <c r="E1383" s="10" t="str">
        <f>IF(B1383="","",IFERROR(INDEX(Harytlar!$C$5:$C$44,MATCH(B1383,Harytlar!$A$5:$A$44,0)),""))</f>
        <v/>
      </c>
      <c r="F1383" s="10" t="str">
        <f t="shared" si="21"/>
        <v/>
      </c>
      <c r="G1383" s="10" t="str">
        <f>IF(OR(C1383="",B1383=""),"",IFERROR(C1383*INDEX(Harytlar!$D$5:$D$44,MATCH(B1383,Harytlar!$A$5:$A$44,0)),""))</f>
        <v/>
      </c>
    </row>
    <row r="1384" spans="1:7" x14ac:dyDescent="0.3">
      <c r="A1384" s="17"/>
      <c r="B1384" s="18"/>
      <c r="C1384" s="18"/>
      <c r="D1384" s="18"/>
      <c r="E1384" s="10" t="str">
        <f>IF(B1384="","",IFERROR(INDEX(Harytlar!$C$5:$C$44,MATCH(B1384,Harytlar!$A$5:$A$44,0)),""))</f>
        <v/>
      </c>
      <c r="F1384" s="10" t="str">
        <f t="shared" si="21"/>
        <v/>
      </c>
      <c r="G1384" s="10" t="str">
        <f>IF(OR(C1384="",B1384=""),"",IFERROR(C1384*INDEX(Harytlar!$D$5:$D$44,MATCH(B1384,Harytlar!$A$5:$A$44,0)),""))</f>
        <v/>
      </c>
    </row>
    <row r="1385" spans="1:7" x14ac:dyDescent="0.3">
      <c r="A1385" s="17"/>
      <c r="B1385" s="18"/>
      <c r="C1385" s="18"/>
      <c r="D1385" s="18"/>
      <c r="E1385" s="10" t="str">
        <f>IF(B1385="","",IFERROR(INDEX(Harytlar!$C$5:$C$44,MATCH(B1385,Harytlar!$A$5:$A$44,0)),""))</f>
        <v/>
      </c>
      <c r="F1385" s="10" t="str">
        <f t="shared" si="21"/>
        <v/>
      </c>
      <c r="G1385" s="10" t="str">
        <f>IF(OR(C1385="",B1385=""),"",IFERROR(C1385*INDEX(Harytlar!$D$5:$D$44,MATCH(B1385,Harytlar!$A$5:$A$44,0)),""))</f>
        <v/>
      </c>
    </row>
    <row r="1386" spans="1:7" x14ac:dyDescent="0.3">
      <c r="A1386" s="17"/>
      <c r="B1386" s="18"/>
      <c r="C1386" s="18"/>
      <c r="D1386" s="18"/>
      <c r="E1386" s="10" t="str">
        <f>IF(B1386="","",IFERROR(INDEX(Harytlar!$C$5:$C$44,MATCH(B1386,Harytlar!$A$5:$A$44,0)),""))</f>
        <v/>
      </c>
      <c r="F1386" s="10" t="str">
        <f t="shared" si="21"/>
        <v/>
      </c>
      <c r="G1386" s="10" t="str">
        <f>IF(OR(C1386="",B1386=""),"",IFERROR(C1386*INDEX(Harytlar!$D$5:$D$44,MATCH(B1386,Harytlar!$A$5:$A$44,0)),""))</f>
        <v/>
      </c>
    </row>
    <row r="1387" spans="1:7" x14ac:dyDescent="0.3">
      <c r="A1387" s="17"/>
      <c r="B1387" s="18"/>
      <c r="C1387" s="18"/>
      <c r="D1387" s="18"/>
      <c r="E1387" s="10" t="str">
        <f>IF(B1387="","",IFERROR(INDEX(Harytlar!$C$5:$C$44,MATCH(B1387,Harytlar!$A$5:$A$44,0)),""))</f>
        <v/>
      </c>
      <c r="F1387" s="10" t="str">
        <f t="shared" si="21"/>
        <v/>
      </c>
      <c r="G1387" s="10" t="str">
        <f>IF(OR(C1387="",B1387=""),"",IFERROR(C1387*INDEX(Harytlar!$D$5:$D$44,MATCH(B1387,Harytlar!$A$5:$A$44,0)),""))</f>
        <v/>
      </c>
    </row>
    <row r="1388" spans="1:7" x14ac:dyDescent="0.3">
      <c r="A1388" s="17"/>
      <c r="B1388" s="18"/>
      <c r="C1388" s="18"/>
      <c r="D1388" s="18"/>
      <c r="E1388" s="10" t="str">
        <f>IF(B1388="","",IFERROR(INDEX(Harytlar!$C$5:$C$44,MATCH(B1388,Harytlar!$A$5:$A$44,0)),""))</f>
        <v/>
      </c>
      <c r="F1388" s="10" t="str">
        <f t="shared" si="21"/>
        <v/>
      </c>
      <c r="G1388" s="10" t="str">
        <f>IF(OR(C1388="",B1388=""),"",IFERROR(C1388*INDEX(Harytlar!$D$5:$D$44,MATCH(B1388,Harytlar!$A$5:$A$44,0)),""))</f>
        <v/>
      </c>
    </row>
    <row r="1389" spans="1:7" x14ac:dyDescent="0.3">
      <c r="A1389" s="17"/>
      <c r="B1389" s="18"/>
      <c r="C1389" s="18"/>
      <c r="D1389" s="18"/>
      <c r="E1389" s="10" t="str">
        <f>IF(B1389="","",IFERROR(INDEX(Harytlar!$C$5:$C$44,MATCH(B1389,Harytlar!$A$5:$A$44,0)),""))</f>
        <v/>
      </c>
      <c r="F1389" s="10" t="str">
        <f t="shared" si="21"/>
        <v/>
      </c>
      <c r="G1389" s="10" t="str">
        <f>IF(OR(C1389="",B1389=""),"",IFERROR(C1389*INDEX(Harytlar!$D$5:$D$44,MATCH(B1389,Harytlar!$A$5:$A$44,0)),""))</f>
        <v/>
      </c>
    </row>
    <row r="1390" spans="1:7" x14ac:dyDescent="0.3">
      <c r="A1390" s="17"/>
      <c r="B1390" s="18"/>
      <c r="C1390" s="18"/>
      <c r="D1390" s="18"/>
      <c r="E1390" s="10" t="str">
        <f>IF(B1390="","",IFERROR(INDEX(Harytlar!$C$5:$C$44,MATCH(B1390,Harytlar!$A$5:$A$44,0)),""))</f>
        <v/>
      </c>
      <c r="F1390" s="10" t="str">
        <f t="shared" si="21"/>
        <v/>
      </c>
      <c r="G1390" s="10" t="str">
        <f>IF(OR(C1390="",B1390=""),"",IFERROR(C1390*INDEX(Harytlar!$D$5:$D$44,MATCH(B1390,Harytlar!$A$5:$A$44,0)),""))</f>
        <v/>
      </c>
    </row>
    <row r="1391" spans="1:7" x14ac:dyDescent="0.3">
      <c r="A1391" s="17"/>
      <c r="B1391" s="18"/>
      <c r="C1391" s="18"/>
      <c r="D1391" s="18"/>
      <c r="E1391" s="10" t="str">
        <f>IF(B1391="","",IFERROR(INDEX(Harytlar!$C$5:$C$44,MATCH(B1391,Harytlar!$A$5:$A$44,0)),""))</f>
        <v/>
      </c>
      <c r="F1391" s="10" t="str">
        <f t="shared" si="21"/>
        <v/>
      </c>
      <c r="G1391" s="10" t="str">
        <f>IF(OR(C1391="",B1391=""),"",IFERROR(C1391*INDEX(Harytlar!$D$5:$D$44,MATCH(B1391,Harytlar!$A$5:$A$44,0)),""))</f>
        <v/>
      </c>
    </row>
    <row r="1392" spans="1:7" x14ac:dyDescent="0.3">
      <c r="A1392" s="17"/>
      <c r="B1392" s="18"/>
      <c r="C1392" s="18"/>
      <c r="D1392" s="18"/>
      <c r="E1392" s="10" t="str">
        <f>IF(B1392="","",IFERROR(INDEX(Harytlar!$C$5:$C$44,MATCH(B1392,Harytlar!$A$5:$A$44,0)),""))</f>
        <v/>
      </c>
      <c r="F1392" s="10" t="str">
        <f t="shared" si="21"/>
        <v/>
      </c>
      <c r="G1392" s="10" t="str">
        <f>IF(OR(C1392="",B1392=""),"",IFERROR(C1392*INDEX(Harytlar!$D$5:$D$44,MATCH(B1392,Harytlar!$A$5:$A$44,0)),""))</f>
        <v/>
      </c>
    </row>
    <row r="1393" spans="1:7" x14ac:dyDescent="0.3">
      <c r="A1393" s="17"/>
      <c r="B1393" s="18"/>
      <c r="C1393" s="18"/>
      <c r="D1393" s="18"/>
      <c r="E1393" s="10" t="str">
        <f>IF(B1393="","",IFERROR(INDEX(Harytlar!$C$5:$C$44,MATCH(B1393,Harytlar!$A$5:$A$44,0)),""))</f>
        <v/>
      </c>
      <c r="F1393" s="10" t="str">
        <f t="shared" si="21"/>
        <v/>
      </c>
      <c r="G1393" s="10" t="str">
        <f>IF(OR(C1393="",B1393=""),"",IFERROR(C1393*INDEX(Harytlar!$D$5:$D$44,MATCH(B1393,Harytlar!$A$5:$A$44,0)),""))</f>
        <v/>
      </c>
    </row>
    <row r="1394" spans="1:7" x14ac:dyDescent="0.3">
      <c r="A1394" s="17"/>
      <c r="B1394" s="18"/>
      <c r="C1394" s="18"/>
      <c r="D1394" s="18"/>
      <c r="E1394" s="10" t="str">
        <f>IF(B1394="","",IFERROR(INDEX(Harytlar!$C$5:$C$44,MATCH(B1394,Harytlar!$A$5:$A$44,0)),""))</f>
        <v/>
      </c>
      <c r="F1394" s="10" t="str">
        <f t="shared" si="21"/>
        <v/>
      </c>
      <c r="G1394" s="10" t="str">
        <f>IF(OR(C1394="",B1394=""),"",IFERROR(C1394*INDEX(Harytlar!$D$5:$D$44,MATCH(B1394,Harytlar!$A$5:$A$44,0)),""))</f>
        <v/>
      </c>
    </row>
    <row r="1395" spans="1:7" x14ac:dyDescent="0.3">
      <c r="A1395" s="17"/>
      <c r="B1395" s="18"/>
      <c r="C1395" s="18"/>
      <c r="D1395" s="18"/>
      <c r="E1395" s="10" t="str">
        <f>IF(B1395="","",IFERROR(INDEX(Harytlar!$C$5:$C$44,MATCH(B1395,Harytlar!$A$5:$A$44,0)),""))</f>
        <v/>
      </c>
      <c r="F1395" s="10" t="str">
        <f t="shared" si="21"/>
        <v/>
      </c>
      <c r="G1395" s="10" t="str">
        <f>IF(OR(C1395="",B1395=""),"",IFERROR(C1395*INDEX(Harytlar!$D$5:$D$44,MATCH(B1395,Harytlar!$A$5:$A$44,0)),""))</f>
        <v/>
      </c>
    </row>
    <row r="1396" spans="1:7" x14ac:dyDescent="0.3">
      <c r="A1396" s="17"/>
      <c r="B1396" s="18"/>
      <c r="C1396" s="18"/>
      <c r="D1396" s="18"/>
      <c r="E1396" s="10" t="str">
        <f>IF(B1396="","",IFERROR(INDEX(Harytlar!$C$5:$C$44,MATCH(B1396,Harytlar!$A$5:$A$44,0)),""))</f>
        <v/>
      </c>
      <c r="F1396" s="10" t="str">
        <f t="shared" si="21"/>
        <v/>
      </c>
      <c r="G1396" s="10" t="str">
        <f>IF(OR(C1396="",B1396=""),"",IFERROR(C1396*INDEX(Harytlar!$D$5:$D$44,MATCH(B1396,Harytlar!$A$5:$A$44,0)),""))</f>
        <v/>
      </c>
    </row>
    <row r="1397" spans="1:7" x14ac:dyDescent="0.3">
      <c r="A1397" s="17"/>
      <c r="B1397" s="18"/>
      <c r="C1397" s="18"/>
      <c r="D1397" s="18"/>
      <c r="E1397" s="10" t="str">
        <f>IF(B1397="","",IFERROR(INDEX(Harytlar!$C$5:$C$44,MATCH(B1397,Harytlar!$A$5:$A$44,0)),""))</f>
        <v/>
      </c>
      <c r="F1397" s="10" t="str">
        <f t="shared" si="21"/>
        <v/>
      </c>
      <c r="G1397" s="10" t="str">
        <f>IF(OR(C1397="",B1397=""),"",IFERROR(C1397*INDEX(Harytlar!$D$5:$D$44,MATCH(B1397,Harytlar!$A$5:$A$44,0)),""))</f>
        <v/>
      </c>
    </row>
    <row r="1398" spans="1:7" x14ac:dyDescent="0.3">
      <c r="A1398" s="17"/>
      <c r="B1398" s="18"/>
      <c r="C1398" s="18"/>
      <c r="D1398" s="18"/>
      <c r="E1398" s="10" t="str">
        <f>IF(B1398="","",IFERROR(INDEX(Harytlar!$C$5:$C$44,MATCH(B1398,Harytlar!$A$5:$A$44,0)),""))</f>
        <v/>
      </c>
      <c r="F1398" s="10" t="str">
        <f t="shared" si="21"/>
        <v/>
      </c>
      <c r="G1398" s="10" t="str">
        <f>IF(OR(C1398="",B1398=""),"",IFERROR(C1398*INDEX(Harytlar!$D$5:$D$44,MATCH(B1398,Harytlar!$A$5:$A$44,0)),""))</f>
        <v/>
      </c>
    </row>
    <row r="1399" spans="1:7" x14ac:dyDescent="0.3">
      <c r="A1399" s="17"/>
      <c r="B1399" s="18"/>
      <c r="C1399" s="18"/>
      <c r="D1399" s="18"/>
      <c r="E1399" s="10" t="str">
        <f>IF(B1399="","",IFERROR(INDEX(Harytlar!$C$5:$C$44,MATCH(B1399,Harytlar!$A$5:$A$44,0)),""))</f>
        <v/>
      </c>
      <c r="F1399" s="10" t="str">
        <f t="shared" si="21"/>
        <v/>
      </c>
      <c r="G1399" s="10" t="str">
        <f>IF(OR(C1399="",B1399=""),"",IFERROR(C1399*INDEX(Harytlar!$D$5:$D$44,MATCH(B1399,Harytlar!$A$5:$A$44,0)),""))</f>
        <v/>
      </c>
    </row>
    <row r="1400" spans="1:7" x14ac:dyDescent="0.3">
      <c r="A1400" s="17"/>
      <c r="B1400" s="18"/>
      <c r="C1400" s="18"/>
      <c r="D1400" s="18"/>
      <c r="E1400" s="10" t="str">
        <f>IF(B1400="","",IFERROR(INDEX(Harytlar!$C$5:$C$44,MATCH(B1400,Harytlar!$A$5:$A$44,0)),""))</f>
        <v/>
      </c>
      <c r="F1400" s="10" t="str">
        <f t="shared" si="21"/>
        <v/>
      </c>
      <c r="G1400" s="10" t="str">
        <f>IF(OR(C1400="",B1400=""),"",IFERROR(C1400*INDEX(Harytlar!$D$5:$D$44,MATCH(B1400,Harytlar!$A$5:$A$44,0)),""))</f>
        <v/>
      </c>
    </row>
    <row r="1401" spans="1:7" x14ac:dyDescent="0.3">
      <c r="A1401" s="17"/>
      <c r="B1401" s="18"/>
      <c r="C1401" s="18"/>
      <c r="D1401" s="18"/>
      <c r="E1401" s="10" t="str">
        <f>IF(B1401="","",IFERROR(INDEX(Harytlar!$C$5:$C$44,MATCH(B1401,Harytlar!$A$5:$A$44,0)),""))</f>
        <v/>
      </c>
      <c r="F1401" s="10" t="str">
        <f t="shared" si="21"/>
        <v/>
      </c>
      <c r="G1401" s="10" t="str">
        <f>IF(OR(C1401="",B1401=""),"",IFERROR(C1401*INDEX(Harytlar!$D$5:$D$44,MATCH(B1401,Harytlar!$A$5:$A$44,0)),""))</f>
        <v/>
      </c>
    </row>
    <row r="1402" spans="1:7" x14ac:dyDescent="0.3">
      <c r="A1402" s="17"/>
      <c r="B1402" s="18"/>
      <c r="C1402" s="18"/>
      <c r="D1402" s="18"/>
      <c r="E1402" s="10" t="str">
        <f>IF(B1402="","",IFERROR(INDEX(Harytlar!$C$5:$C$44,MATCH(B1402,Harytlar!$A$5:$A$44,0)),""))</f>
        <v/>
      </c>
      <c r="F1402" s="10" t="str">
        <f t="shared" si="21"/>
        <v/>
      </c>
      <c r="G1402" s="10" t="str">
        <f>IF(OR(C1402="",B1402=""),"",IFERROR(C1402*INDEX(Harytlar!$D$5:$D$44,MATCH(B1402,Harytlar!$A$5:$A$44,0)),""))</f>
        <v/>
      </c>
    </row>
    <row r="1403" spans="1:7" x14ac:dyDescent="0.3">
      <c r="A1403" s="17"/>
      <c r="B1403" s="18"/>
      <c r="C1403" s="18"/>
      <c r="D1403" s="18"/>
      <c r="E1403" s="10" t="str">
        <f>IF(B1403="","",IFERROR(INDEX(Harytlar!$C$5:$C$44,MATCH(B1403,Harytlar!$A$5:$A$44,0)),""))</f>
        <v/>
      </c>
      <c r="F1403" s="10" t="str">
        <f t="shared" si="21"/>
        <v/>
      </c>
      <c r="G1403" s="10" t="str">
        <f>IF(OR(C1403="",B1403=""),"",IFERROR(C1403*INDEX(Harytlar!$D$5:$D$44,MATCH(B1403,Harytlar!$A$5:$A$44,0)),""))</f>
        <v/>
      </c>
    </row>
    <row r="1404" spans="1:7" x14ac:dyDescent="0.3">
      <c r="A1404" s="17"/>
      <c r="B1404" s="18"/>
      <c r="C1404" s="18"/>
      <c r="D1404" s="18"/>
      <c r="E1404" s="10" t="str">
        <f>IF(B1404="","",IFERROR(INDEX(Harytlar!$C$5:$C$44,MATCH(B1404,Harytlar!$A$5:$A$44,0)),""))</f>
        <v/>
      </c>
      <c r="F1404" s="10" t="str">
        <f t="shared" si="21"/>
        <v/>
      </c>
      <c r="G1404" s="10" t="str">
        <f>IF(OR(C1404="",B1404=""),"",IFERROR(C1404*INDEX(Harytlar!$D$5:$D$44,MATCH(B1404,Harytlar!$A$5:$A$44,0)),""))</f>
        <v/>
      </c>
    </row>
    <row r="1405" spans="1:7" x14ac:dyDescent="0.3">
      <c r="A1405" s="17"/>
      <c r="B1405" s="18"/>
      <c r="C1405" s="18"/>
      <c r="D1405" s="18"/>
      <c r="E1405" s="10" t="str">
        <f>IF(B1405="","",IFERROR(INDEX(Harytlar!$C$5:$C$44,MATCH(B1405,Harytlar!$A$5:$A$44,0)),""))</f>
        <v/>
      </c>
      <c r="F1405" s="10" t="str">
        <f t="shared" si="21"/>
        <v/>
      </c>
      <c r="G1405" s="10" t="str">
        <f>IF(OR(C1405="",B1405=""),"",IFERROR(C1405*INDEX(Harytlar!$D$5:$D$44,MATCH(B1405,Harytlar!$A$5:$A$44,0)),""))</f>
        <v/>
      </c>
    </row>
    <row r="1406" spans="1:7" x14ac:dyDescent="0.3">
      <c r="A1406" s="17"/>
      <c r="B1406" s="18"/>
      <c r="C1406" s="18"/>
      <c r="D1406" s="18"/>
      <c r="E1406" s="10" t="str">
        <f>IF(B1406="","",IFERROR(INDEX(Harytlar!$C$5:$C$44,MATCH(B1406,Harytlar!$A$5:$A$44,0)),""))</f>
        <v/>
      </c>
      <c r="F1406" s="10" t="str">
        <f t="shared" si="21"/>
        <v/>
      </c>
      <c r="G1406" s="10" t="str">
        <f>IF(OR(C1406="",B1406=""),"",IFERROR(C1406*INDEX(Harytlar!$D$5:$D$44,MATCH(B1406,Harytlar!$A$5:$A$44,0)),""))</f>
        <v/>
      </c>
    </row>
    <row r="1407" spans="1:7" x14ac:dyDescent="0.3">
      <c r="A1407" s="17"/>
      <c r="B1407" s="18"/>
      <c r="C1407" s="18"/>
      <c r="D1407" s="18"/>
      <c r="E1407" s="10" t="str">
        <f>IF(B1407="","",IFERROR(INDEX(Harytlar!$C$5:$C$44,MATCH(B1407,Harytlar!$A$5:$A$44,0)),""))</f>
        <v/>
      </c>
      <c r="F1407" s="10" t="str">
        <f t="shared" si="21"/>
        <v/>
      </c>
      <c r="G1407" s="10" t="str">
        <f>IF(OR(C1407="",B1407=""),"",IFERROR(C1407*INDEX(Harytlar!$D$5:$D$44,MATCH(B1407,Harytlar!$A$5:$A$44,0)),""))</f>
        <v/>
      </c>
    </row>
    <row r="1408" spans="1:7" x14ac:dyDescent="0.3">
      <c r="A1408" s="17"/>
      <c r="B1408" s="18"/>
      <c r="C1408" s="18"/>
      <c r="D1408" s="18"/>
      <c r="E1408" s="10" t="str">
        <f>IF(B1408="","",IFERROR(INDEX(Harytlar!$C$5:$C$44,MATCH(B1408,Harytlar!$A$5:$A$44,0)),""))</f>
        <v/>
      </c>
      <c r="F1408" s="10" t="str">
        <f t="shared" si="21"/>
        <v/>
      </c>
      <c r="G1408" s="10" t="str">
        <f>IF(OR(C1408="",B1408=""),"",IFERROR(C1408*INDEX(Harytlar!$D$5:$D$44,MATCH(B1408,Harytlar!$A$5:$A$44,0)),""))</f>
        <v/>
      </c>
    </row>
    <row r="1409" spans="1:7" x14ac:dyDescent="0.3">
      <c r="A1409" s="17"/>
      <c r="B1409" s="18"/>
      <c r="C1409" s="18"/>
      <c r="D1409" s="18"/>
      <c r="E1409" s="10" t="str">
        <f>IF(B1409="","",IFERROR(INDEX(Harytlar!$C$5:$C$44,MATCH(B1409,Harytlar!$A$5:$A$44,0)),""))</f>
        <v/>
      </c>
      <c r="F1409" s="10" t="str">
        <f t="shared" si="21"/>
        <v/>
      </c>
      <c r="G1409" s="10" t="str">
        <f>IF(OR(C1409="",B1409=""),"",IFERROR(C1409*INDEX(Harytlar!$D$5:$D$44,MATCH(B1409,Harytlar!$A$5:$A$44,0)),""))</f>
        <v/>
      </c>
    </row>
    <row r="1410" spans="1:7" x14ac:dyDescent="0.3">
      <c r="A1410" s="17"/>
      <c r="B1410" s="18"/>
      <c r="C1410" s="18"/>
      <c r="D1410" s="18"/>
      <c r="E1410" s="10" t="str">
        <f>IF(B1410="","",IFERROR(INDEX(Harytlar!$C$5:$C$44,MATCH(B1410,Harytlar!$A$5:$A$44,0)),""))</f>
        <v/>
      </c>
      <c r="F1410" s="10" t="str">
        <f t="shared" si="21"/>
        <v/>
      </c>
      <c r="G1410" s="10" t="str">
        <f>IF(OR(C1410="",B1410=""),"",IFERROR(C1410*INDEX(Harytlar!$D$5:$D$44,MATCH(B1410,Harytlar!$A$5:$A$44,0)),""))</f>
        <v/>
      </c>
    </row>
    <row r="1411" spans="1:7" x14ac:dyDescent="0.3">
      <c r="A1411" s="17"/>
      <c r="B1411" s="18"/>
      <c r="C1411" s="18"/>
      <c r="D1411" s="18"/>
      <c r="E1411" s="10" t="str">
        <f>IF(B1411="","",IFERROR(INDEX(Harytlar!$C$5:$C$44,MATCH(B1411,Harytlar!$A$5:$A$44,0)),""))</f>
        <v/>
      </c>
      <c r="F1411" s="10" t="str">
        <f t="shared" si="21"/>
        <v/>
      </c>
      <c r="G1411" s="10" t="str">
        <f>IF(OR(C1411="",B1411=""),"",IFERROR(C1411*INDEX(Harytlar!$D$5:$D$44,MATCH(B1411,Harytlar!$A$5:$A$44,0)),""))</f>
        <v/>
      </c>
    </row>
    <row r="1412" spans="1:7" x14ac:dyDescent="0.3">
      <c r="A1412" s="17"/>
      <c r="B1412" s="18"/>
      <c r="C1412" s="18"/>
      <c r="D1412" s="18"/>
      <c r="E1412" s="10" t="str">
        <f>IF(B1412="","",IFERROR(INDEX(Harytlar!$C$5:$C$44,MATCH(B1412,Harytlar!$A$5:$A$44,0)),""))</f>
        <v/>
      </c>
      <c r="F1412" s="10" t="str">
        <f t="shared" si="21"/>
        <v/>
      </c>
      <c r="G1412" s="10" t="str">
        <f>IF(OR(C1412="",B1412=""),"",IFERROR(C1412*INDEX(Harytlar!$D$5:$D$44,MATCH(B1412,Harytlar!$A$5:$A$44,0)),""))</f>
        <v/>
      </c>
    </row>
    <row r="1413" spans="1:7" x14ac:dyDescent="0.3">
      <c r="A1413" s="17"/>
      <c r="B1413" s="18"/>
      <c r="C1413" s="18"/>
      <c r="D1413" s="18"/>
      <c r="E1413" s="10" t="str">
        <f>IF(B1413="","",IFERROR(INDEX(Harytlar!$C$5:$C$44,MATCH(B1413,Harytlar!$A$5:$A$44,0)),""))</f>
        <v/>
      </c>
      <c r="F1413" s="10" t="str">
        <f t="shared" si="21"/>
        <v/>
      </c>
      <c r="G1413" s="10" t="str">
        <f>IF(OR(C1413="",B1413=""),"",IFERROR(C1413*INDEX(Harytlar!$D$5:$D$44,MATCH(B1413,Harytlar!$A$5:$A$44,0)),""))</f>
        <v/>
      </c>
    </row>
    <row r="1414" spans="1:7" x14ac:dyDescent="0.3">
      <c r="A1414" s="17"/>
      <c r="B1414" s="18"/>
      <c r="C1414" s="18"/>
      <c r="D1414" s="18"/>
      <c r="E1414" s="10" t="str">
        <f>IF(B1414="","",IFERROR(INDEX(Harytlar!$C$5:$C$44,MATCH(B1414,Harytlar!$A$5:$A$44,0)),""))</f>
        <v/>
      </c>
      <c r="F1414" s="10" t="str">
        <f t="shared" ref="F1414:F1477" si="22">IF(OR(C1414="",E1414=""),"",C1414*E1414)</f>
        <v/>
      </c>
      <c r="G1414" s="10" t="str">
        <f>IF(OR(C1414="",B1414=""),"",IFERROR(C1414*INDEX(Harytlar!$D$5:$D$44,MATCH(B1414,Harytlar!$A$5:$A$44,0)),""))</f>
        <v/>
      </c>
    </row>
    <row r="1415" spans="1:7" x14ac:dyDescent="0.3">
      <c r="A1415" s="17"/>
      <c r="B1415" s="18"/>
      <c r="C1415" s="18"/>
      <c r="D1415" s="18"/>
      <c r="E1415" s="10" t="str">
        <f>IF(B1415="","",IFERROR(INDEX(Harytlar!$C$5:$C$44,MATCH(B1415,Harytlar!$A$5:$A$44,0)),""))</f>
        <v/>
      </c>
      <c r="F1415" s="10" t="str">
        <f t="shared" si="22"/>
        <v/>
      </c>
      <c r="G1415" s="10" t="str">
        <f>IF(OR(C1415="",B1415=""),"",IFERROR(C1415*INDEX(Harytlar!$D$5:$D$44,MATCH(B1415,Harytlar!$A$5:$A$44,0)),""))</f>
        <v/>
      </c>
    </row>
    <row r="1416" spans="1:7" x14ac:dyDescent="0.3">
      <c r="A1416" s="17"/>
      <c r="B1416" s="18"/>
      <c r="C1416" s="18"/>
      <c r="D1416" s="18"/>
      <c r="E1416" s="10" t="str">
        <f>IF(B1416="","",IFERROR(INDEX(Harytlar!$C$5:$C$44,MATCH(B1416,Harytlar!$A$5:$A$44,0)),""))</f>
        <v/>
      </c>
      <c r="F1416" s="10" t="str">
        <f t="shared" si="22"/>
        <v/>
      </c>
      <c r="G1416" s="10" t="str">
        <f>IF(OR(C1416="",B1416=""),"",IFERROR(C1416*INDEX(Harytlar!$D$5:$D$44,MATCH(B1416,Harytlar!$A$5:$A$44,0)),""))</f>
        <v/>
      </c>
    </row>
    <row r="1417" spans="1:7" x14ac:dyDescent="0.3">
      <c r="A1417" s="17"/>
      <c r="B1417" s="18"/>
      <c r="C1417" s="18"/>
      <c r="D1417" s="18"/>
      <c r="E1417" s="10" t="str">
        <f>IF(B1417="","",IFERROR(INDEX(Harytlar!$C$5:$C$44,MATCH(B1417,Harytlar!$A$5:$A$44,0)),""))</f>
        <v/>
      </c>
      <c r="F1417" s="10" t="str">
        <f t="shared" si="22"/>
        <v/>
      </c>
      <c r="G1417" s="10" t="str">
        <f>IF(OR(C1417="",B1417=""),"",IFERROR(C1417*INDEX(Harytlar!$D$5:$D$44,MATCH(B1417,Harytlar!$A$5:$A$44,0)),""))</f>
        <v/>
      </c>
    </row>
    <row r="1418" spans="1:7" x14ac:dyDescent="0.3">
      <c r="A1418" s="17"/>
      <c r="B1418" s="18"/>
      <c r="C1418" s="18"/>
      <c r="D1418" s="18"/>
      <c r="E1418" s="10" t="str">
        <f>IF(B1418="","",IFERROR(INDEX(Harytlar!$C$5:$C$44,MATCH(B1418,Harytlar!$A$5:$A$44,0)),""))</f>
        <v/>
      </c>
      <c r="F1418" s="10" t="str">
        <f t="shared" si="22"/>
        <v/>
      </c>
      <c r="G1418" s="10" t="str">
        <f>IF(OR(C1418="",B1418=""),"",IFERROR(C1418*INDEX(Harytlar!$D$5:$D$44,MATCH(B1418,Harytlar!$A$5:$A$44,0)),""))</f>
        <v/>
      </c>
    </row>
    <row r="1419" spans="1:7" x14ac:dyDescent="0.3">
      <c r="A1419" s="17"/>
      <c r="B1419" s="18"/>
      <c r="C1419" s="18"/>
      <c r="D1419" s="18"/>
      <c r="E1419" s="10" t="str">
        <f>IF(B1419="","",IFERROR(INDEX(Harytlar!$C$5:$C$44,MATCH(B1419,Harytlar!$A$5:$A$44,0)),""))</f>
        <v/>
      </c>
      <c r="F1419" s="10" t="str">
        <f t="shared" si="22"/>
        <v/>
      </c>
      <c r="G1419" s="10" t="str">
        <f>IF(OR(C1419="",B1419=""),"",IFERROR(C1419*INDEX(Harytlar!$D$5:$D$44,MATCH(B1419,Harytlar!$A$5:$A$44,0)),""))</f>
        <v/>
      </c>
    </row>
    <row r="1420" spans="1:7" x14ac:dyDescent="0.3">
      <c r="A1420" s="17"/>
      <c r="B1420" s="18"/>
      <c r="C1420" s="18"/>
      <c r="D1420" s="18"/>
      <c r="E1420" s="10" t="str">
        <f>IF(B1420="","",IFERROR(INDEX(Harytlar!$C$5:$C$44,MATCH(B1420,Harytlar!$A$5:$A$44,0)),""))</f>
        <v/>
      </c>
      <c r="F1420" s="10" t="str">
        <f t="shared" si="22"/>
        <v/>
      </c>
      <c r="G1420" s="10" t="str">
        <f>IF(OR(C1420="",B1420=""),"",IFERROR(C1420*INDEX(Harytlar!$D$5:$D$44,MATCH(B1420,Harytlar!$A$5:$A$44,0)),""))</f>
        <v/>
      </c>
    </row>
    <row r="1421" spans="1:7" x14ac:dyDescent="0.3">
      <c r="A1421" s="17"/>
      <c r="B1421" s="18"/>
      <c r="C1421" s="18"/>
      <c r="D1421" s="18"/>
      <c r="E1421" s="10" t="str">
        <f>IF(B1421="","",IFERROR(INDEX(Harytlar!$C$5:$C$44,MATCH(B1421,Harytlar!$A$5:$A$44,0)),""))</f>
        <v/>
      </c>
      <c r="F1421" s="10" t="str">
        <f t="shared" si="22"/>
        <v/>
      </c>
      <c r="G1421" s="10" t="str">
        <f>IF(OR(C1421="",B1421=""),"",IFERROR(C1421*INDEX(Harytlar!$D$5:$D$44,MATCH(B1421,Harytlar!$A$5:$A$44,0)),""))</f>
        <v/>
      </c>
    </row>
    <row r="1422" spans="1:7" x14ac:dyDescent="0.3">
      <c r="A1422" s="17"/>
      <c r="B1422" s="18"/>
      <c r="C1422" s="18"/>
      <c r="D1422" s="18"/>
      <c r="E1422" s="10" t="str">
        <f>IF(B1422="","",IFERROR(INDEX(Harytlar!$C$5:$C$44,MATCH(B1422,Harytlar!$A$5:$A$44,0)),""))</f>
        <v/>
      </c>
      <c r="F1422" s="10" t="str">
        <f t="shared" si="22"/>
        <v/>
      </c>
      <c r="G1422" s="10" t="str">
        <f>IF(OR(C1422="",B1422=""),"",IFERROR(C1422*INDEX(Harytlar!$D$5:$D$44,MATCH(B1422,Harytlar!$A$5:$A$44,0)),""))</f>
        <v/>
      </c>
    </row>
    <row r="1423" spans="1:7" x14ac:dyDescent="0.3">
      <c r="A1423" s="17"/>
      <c r="B1423" s="18"/>
      <c r="C1423" s="18"/>
      <c r="D1423" s="18"/>
      <c r="E1423" s="10" t="str">
        <f>IF(B1423="","",IFERROR(INDEX(Harytlar!$C$5:$C$44,MATCH(B1423,Harytlar!$A$5:$A$44,0)),""))</f>
        <v/>
      </c>
      <c r="F1423" s="10" t="str">
        <f t="shared" si="22"/>
        <v/>
      </c>
      <c r="G1423" s="10" t="str">
        <f>IF(OR(C1423="",B1423=""),"",IFERROR(C1423*INDEX(Harytlar!$D$5:$D$44,MATCH(B1423,Harytlar!$A$5:$A$44,0)),""))</f>
        <v/>
      </c>
    </row>
    <row r="1424" spans="1:7" x14ac:dyDescent="0.3">
      <c r="A1424" s="17"/>
      <c r="B1424" s="18"/>
      <c r="C1424" s="18"/>
      <c r="D1424" s="18"/>
      <c r="E1424" s="10" t="str">
        <f>IF(B1424="","",IFERROR(INDEX(Harytlar!$C$5:$C$44,MATCH(B1424,Harytlar!$A$5:$A$44,0)),""))</f>
        <v/>
      </c>
      <c r="F1424" s="10" t="str">
        <f t="shared" si="22"/>
        <v/>
      </c>
      <c r="G1424" s="10" t="str">
        <f>IF(OR(C1424="",B1424=""),"",IFERROR(C1424*INDEX(Harytlar!$D$5:$D$44,MATCH(B1424,Harytlar!$A$5:$A$44,0)),""))</f>
        <v/>
      </c>
    </row>
    <row r="1425" spans="1:7" x14ac:dyDescent="0.3">
      <c r="A1425" s="17"/>
      <c r="B1425" s="18"/>
      <c r="C1425" s="18"/>
      <c r="D1425" s="18"/>
      <c r="E1425" s="10" t="str">
        <f>IF(B1425="","",IFERROR(INDEX(Harytlar!$C$5:$C$44,MATCH(B1425,Harytlar!$A$5:$A$44,0)),""))</f>
        <v/>
      </c>
      <c r="F1425" s="10" t="str">
        <f t="shared" si="22"/>
        <v/>
      </c>
      <c r="G1425" s="10" t="str">
        <f>IF(OR(C1425="",B1425=""),"",IFERROR(C1425*INDEX(Harytlar!$D$5:$D$44,MATCH(B1425,Harytlar!$A$5:$A$44,0)),""))</f>
        <v/>
      </c>
    </row>
    <row r="1426" spans="1:7" x14ac:dyDescent="0.3">
      <c r="A1426" s="17"/>
      <c r="B1426" s="18"/>
      <c r="C1426" s="18"/>
      <c r="D1426" s="18"/>
      <c r="E1426" s="10" t="str">
        <f>IF(B1426="","",IFERROR(INDEX(Harytlar!$C$5:$C$44,MATCH(B1426,Harytlar!$A$5:$A$44,0)),""))</f>
        <v/>
      </c>
      <c r="F1426" s="10" t="str">
        <f t="shared" si="22"/>
        <v/>
      </c>
      <c r="G1426" s="10" t="str">
        <f>IF(OR(C1426="",B1426=""),"",IFERROR(C1426*INDEX(Harytlar!$D$5:$D$44,MATCH(B1426,Harytlar!$A$5:$A$44,0)),""))</f>
        <v/>
      </c>
    </row>
    <row r="1427" spans="1:7" x14ac:dyDescent="0.3">
      <c r="A1427" s="17"/>
      <c r="B1427" s="18"/>
      <c r="C1427" s="18"/>
      <c r="D1427" s="18"/>
      <c r="E1427" s="10" t="str">
        <f>IF(B1427="","",IFERROR(INDEX(Harytlar!$C$5:$C$44,MATCH(B1427,Harytlar!$A$5:$A$44,0)),""))</f>
        <v/>
      </c>
      <c r="F1427" s="10" t="str">
        <f t="shared" si="22"/>
        <v/>
      </c>
      <c r="G1427" s="10" t="str">
        <f>IF(OR(C1427="",B1427=""),"",IFERROR(C1427*INDEX(Harytlar!$D$5:$D$44,MATCH(B1427,Harytlar!$A$5:$A$44,0)),""))</f>
        <v/>
      </c>
    </row>
    <row r="1428" spans="1:7" x14ac:dyDescent="0.3">
      <c r="A1428" s="17"/>
      <c r="B1428" s="18"/>
      <c r="C1428" s="18"/>
      <c r="D1428" s="18"/>
      <c r="E1428" s="10" t="str">
        <f>IF(B1428="","",IFERROR(INDEX(Harytlar!$C$5:$C$44,MATCH(B1428,Harytlar!$A$5:$A$44,0)),""))</f>
        <v/>
      </c>
      <c r="F1428" s="10" t="str">
        <f t="shared" si="22"/>
        <v/>
      </c>
      <c r="G1428" s="10" t="str">
        <f>IF(OR(C1428="",B1428=""),"",IFERROR(C1428*INDEX(Harytlar!$D$5:$D$44,MATCH(B1428,Harytlar!$A$5:$A$44,0)),""))</f>
        <v/>
      </c>
    </row>
    <row r="1429" spans="1:7" x14ac:dyDescent="0.3">
      <c r="A1429" s="17"/>
      <c r="B1429" s="18"/>
      <c r="C1429" s="18"/>
      <c r="D1429" s="18"/>
      <c r="E1429" s="10" t="str">
        <f>IF(B1429="","",IFERROR(INDEX(Harytlar!$C$5:$C$44,MATCH(B1429,Harytlar!$A$5:$A$44,0)),""))</f>
        <v/>
      </c>
      <c r="F1429" s="10" t="str">
        <f t="shared" si="22"/>
        <v/>
      </c>
      <c r="G1429" s="10" t="str">
        <f>IF(OR(C1429="",B1429=""),"",IFERROR(C1429*INDEX(Harytlar!$D$5:$D$44,MATCH(B1429,Harytlar!$A$5:$A$44,0)),""))</f>
        <v/>
      </c>
    </row>
    <row r="1430" spans="1:7" x14ac:dyDescent="0.3">
      <c r="A1430" s="17"/>
      <c r="B1430" s="18"/>
      <c r="C1430" s="18"/>
      <c r="D1430" s="18"/>
      <c r="E1430" s="10" t="str">
        <f>IF(B1430="","",IFERROR(INDEX(Harytlar!$C$5:$C$44,MATCH(B1430,Harytlar!$A$5:$A$44,0)),""))</f>
        <v/>
      </c>
      <c r="F1430" s="10" t="str">
        <f t="shared" si="22"/>
        <v/>
      </c>
      <c r="G1430" s="10" t="str">
        <f>IF(OR(C1430="",B1430=""),"",IFERROR(C1430*INDEX(Harytlar!$D$5:$D$44,MATCH(B1430,Harytlar!$A$5:$A$44,0)),""))</f>
        <v/>
      </c>
    </row>
    <row r="1431" spans="1:7" x14ac:dyDescent="0.3">
      <c r="A1431" s="17"/>
      <c r="B1431" s="18"/>
      <c r="C1431" s="18"/>
      <c r="D1431" s="18"/>
      <c r="E1431" s="10" t="str">
        <f>IF(B1431="","",IFERROR(INDEX(Harytlar!$C$5:$C$44,MATCH(B1431,Harytlar!$A$5:$A$44,0)),""))</f>
        <v/>
      </c>
      <c r="F1431" s="10" t="str">
        <f t="shared" si="22"/>
        <v/>
      </c>
      <c r="G1431" s="10" t="str">
        <f>IF(OR(C1431="",B1431=""),"",IFERROR(C1431*INDEX(Harytlar!$D$5:$D$44,MATCH(B1431,Harytlar!$A$5:$A$44,0)),""))</f>
        <v/>
      </c>
    </row>
    <row r="1432" spans="1:7" x14ac:dyDescent="0.3">
      <c r="A1432" s="17"/>
      <c r="B1432" s="18"/>
      <c r="C1432" s="18"/>
      <c r="D1432" s="18"/>
      <c r="E1432" s="10" t="str">
        <f>IF(B1432="","",IFERROR(INDEX(Harytlar!$C$5:$C$44,MATCH(B1432,Harytlar!$A$5:$A$44,0)),""))</f>
        <v/>
      </c>
      <c r="F1432" s="10" t="str">
        <f t="shared" si="22"/>
        <v/>
      </c>
      <c r="G1432" s="10" t="str">
        <f>IF(OR(C1432="",B1432=""),"",IFERROR(C1432*INDEX(Harytlar!$D$5:$D$44,MATCH(B1432,Harytlar!$A$5:$A$44,0)),""))</f>
        <v/>
      </c>
    </row>
    <row r="1433" spans="1:7" x14ac:dyDescent="0.3">
      <c r="A1433" s="17"/>
      <c r="B1433" s="18"/>
      <c r="C1433" s="18"/>
      <c r="D1433" s="18"/>
      <c r="E1433" s="10" t="str">
        <f>IF(B1433="","",IFERROR(INDEX(Harytlar!$C$5:$C$44,MATCH(B1433,Harytlar!$A$5:$A$44,0)),""))</f>
        <v/>
      </c>
      <c r="F1433" s="10" t="str">
        <f t="shared" si="22"/>
        <v/>
      </c>
      <c r="G1433" s="10" t="str">
        <f>IF(OR(C1433="",B1433=""),"",IFERROR(C1433*INDEX(Harytlar!$D$5:$D$44,MATCH(B1433,Harytlar!$A$5:$A$44,0)),""))</f>
        <v/>
      </c>
    </row>
    <row r="1434" spans="1:7" x14ac:dyDescent="0.3">
      <c r="A1434" s="17"/>
      <c r="B1434" s="18"/>
      <c r="C1434" s="18"/>
      <c r="D1434" s="18"/>
      <c r="E1434" s="10" t="str">
        <f>IF(B1434="","",IFERROR(INDEX(Harytlar!$C$5:$C$44,MATCH(B1434,Harytlar!$A$5:$A$44,0)),""))</f>
        <v/>
      </c>
      <c r="F1434" s="10" t="str">
        <f t="shared" si="22"/>
        <v/>
      </c>
      <c r="G1434" s="10" t="str">
        <f>IF(OR(C1434="",B1434=""),"",IFERROR(C1434*INDEX(Harytlar!$D$5:$D$44,MATCH(B1434,Harytlar!$A$5:$A$44,0)),""))</f>
        <v/>
      </c>
    </row>
    <row r="1435" spans="1:7" x14ac:dyDescent="0.3">
      <c r="A1435" s="17"/>
      <c r="B1435" s="18"/>
      <c r="C1435" s="18"/>
      <c r="D1435" s="18"/>
      <c r="E1435" s="10" t="str">
        <f>IF(B1435="","",IFERROR(INDEX(Harytlar!$C$5:$C$44,MATCH(B1435,Harytlar!$A$5:$A$44,0)),""))</f>
        <v/>
      </c>
      <c r="F1435" s="10" t="str">
        <f t="shared" si="22"/>
        <v/>
      </c>
      <c r="G1435" s="10" t="str">
        <f>IF(OR(C1435="",B1435=""),"",IFERROR(C1435*INDEX(Harytlar!$D$5:$D$44,MATCH(B1435,Harytlar!$A$5:$A$44,0)),""))</f>
        <v/>
      </c>
    </row>
    <row r="1436" spans="1:7" x14ac:dyDescent="0.3">
      <c r="A1436" s="17"/>
      <c r="B1436" s="18"/>
      <c r="C1436" s="18"/>
      <c r="D1436" s="18"/>
      <c r="E1436" s="10" t="str">
        <f>IF(B1436="","",IFERROR(INDEX(Harytlar!$C$5:$C$44,MATCH(B1436,Harytlar!$A$5:$A$44,0)),""))</f>
        <v/>
      </c>
      <c r="F1436" s="10" t="str">
        <f t="shared" si="22"/>
        <v/>
      </c>
      <c r="G1436" s="10" t="str">
        <f>IF(OR(C1436="",B1436=""),"",IFERROR(C1436*INDEX(Harytlar!$D$5:$D$44,MATCH(B1436,Harytlar!$A$5:$A$44,0)),""))</f>
        <v/>
      </c>
    </row>
    <row r="1437" spans="1:7" x14ac:dyDescent="0.3">
      <c r="A1437" s="17"/>
      <c r="B1437" s="18"/>
      <c r="C1437" s="18"/>
      <c r="D1437" s="18"/>
      <c r="E1437" s="10" t="str">
        <f>IF(B1437="","",IFERROR(INDEX(Harytlar!$C$5:$C$44,MATCH(B1437,Harytlar!$A$5:$A$44,0)),""))</f>
        <v/>
      </c>
      <c r="F1437" s="10" t="str">
        <f t="shared" si="22"/>
        <v/>
      </c>
      <c r="G1437" s="10" t="str">
        <f>IF(OR(C1437="",B1437=""),"",IFERROR(C1437*INDEX(Harytlar!$D$5:$D$44,MATCH(B1437,Harytlar!$A$5:$A$44,0)),""))</f>
        <v/>
      </c>
    </row>
    <row r="1438" spans="1:7" x14ac:dyDescent="0.3">
      <c r="A1438" s="17"/>
      <c r="B1438" s="18"/>
      <c r="C1438" s="18"/>
      <c r="D1438" s="18"/>
      <c r="E1438" s="10" t="str">
        <f>IF(B1438="","",IFERROR(INDEX(Harytlar!$C$5:$C$44,MATCH(B1438,Harytlar!$A$5:$A$44,0)),""))</f>
        <v/>
      </c>
      <c r="F1438" s="10" t="str">
        <f t="shared" si="22"/>
        <v/>
      </c>
      <c r="G1438" s="10" t="str">
        <f>IF(OR(C1438="",B1438=""),"",IFERROR(C1438*INDEX(Harytlar!$D$5:$D$44,MATCH(B1438,Harytlar!$A$5:$A$44,0)),""))</f>
        <v/>
      </c>
    </row>
    <row r="1439" spans="1:7" x14ac:dyDescent="0.3">
      <c r="A1439" s="17"/>
      <c r="B1439" s="18"/>
      <c r="C1439" s="18"/>
      <c r="D1439" s="18"/>
      <c r="E1439" s="10" t="str">
        <f>IF(B1439="","",IFERROR(INDEX(Harytlar!$C$5:$C$44,MATCH(B1439,Harytlar!$A$5:$A$44,0)),""))</f>
        <v/>
      </c>
      <c r="F1439" s="10" t="str">
        <f t="shared" si="22"/>
        <v/>
      </c>
      <c r="G1439" s="10" t="str">
        <f>IF(OR(C1439="",B1439=""),"",IFERROR(C1439*INDEX(Harytlar!$D$5:$D$44,MATCH(B1439,Harytlar!$A$5:$A$44,0)),""))</f>
        <v/>
      </c>
    </row>
    <row r="1440" spans="1:7" x14ac:dyDescent="0.3">
      <c r="A1440" s="17"/>
      <c r="B1440" s="18"/>
      <c r="C1440" s="18"/>
      <c r="D1440" s="18"/>
      <c r="E1440" s="10" t="str">
        <f>IF(B1440="","",IFERROR(INDEX(Harytlar!$C$5:$C$44,MATCH(B1440,Harytlar!$A$5:$A$44,0)),""))</f>
        <v/>
      </c>
      <c r="F1440" s="10" t="str">
        <f t="shared" si="22"/>
        <v/>
      </c>
      <c r="G1440" s="10" t="str">
        <f>IF(OR(C1440="",B1440=""),"",IFERROR(C1440*INDEX(Harytlar!$D$5:$D$44,MATCH(B1440,Harytlar!$A$5:$A$44,0)),""))</f>
        <v/>
      </c>
    </row>
    <row r="1441" spans="1:7" x14ac:dyDescent="0.3">
      <c r="A1441" s="17"/>
      <c r="B1441" s="18"/>
      <c r="C1441" s="18"/>
      <c r="D1441" s="18"/>
      <c r="E1441" s="10" t="str">
        <f>IF(B1441="","",IFERROR(INDEX(Harytlar!$C$5:$C$44,MATCH(B1441,Harytlar!$A$5:$A$44,0)),""))</f>
        <v/>
      </c>
      <c r="F1441" s="10" t="str">
        <f t="shared" si="22"/>
        <v/>
      </c>
      <c r="G1441" s="10" t="str">
        <f>IF(OR(C1441="",B1441=""),"",IFERROR(C1441*INDEX(Harytlar!$D$5:$D$44,MATCH(B1441,Harytlar!$A$5:$A$44,0)),""))</f>
        <v/>
      </c>
    </row>
    <row r="1442" spans="1:7" x14ac:dyDescent="0.3">
      <c r="A1442" s="17"/>
      <c r="B1442" s="18"/>
      <c r="C1442" s="18"/>
      <c r="D1442" s="18"/>
      <c r="E1442" s="10" t="str">
        <f>IF(B1442="","",IFERROR(INDEX(Harytlar!$C$5:$C$44,MATCH(B1442,Harytlar!$A$5:$A$44,0)),""))</f>
        <v/>
      </c>
      <c r="F1442" s="10" t="str">
        <f t="shared" si="22"/>
        <v/>
      </c>
      <c r="G1442" s="10" t="str">
        <f>IF(OR(C1442="",B1442=""),"",IFERROR(C1442*INDEX(Harytlar!$D$5:$D$44,MATCH(B1442,Harytlar!$A$5:$A$44,0)),""))</f>
        <v/>
      </c>
    </row>
    <row r="1443" spans="1:7" x14ac:dyDescent="0.3">
      <c r="A1443" s="17"/>
      <c r="B1443" s="18"/>
      <c r="C1443" s="18"/>
      <c r="D1443" s="18"/>
      <c r="E1443" s="10" t="str">
        <f>IF(B1443="","",IFERROR(INDEX(Harytlar!$C$5:$C$44,MATCH(B1443,Harytlar!$A$5:$A$44,0)),""))</f>
        <v/>
      </c>
      <c r="F1443" s="10" t="str">
        <f t="shared" si="22"/>
        <v/>
      </c>
      <c r="G1443" s="10" t="str">
        <f>IF(OR(C1443="",B1443=""),"",IFERROR(C1443*INDEX(Harytlar!$D$5:$D$44,MATCH(B1443,Harytlar!$A$5:$A$44,0)),""))</f>
        <v/>
      </c>
    </row>
    <row r="1444" spans="1:7" x14ac:dyDescent="0.3">
      <c r="A1444" s="17"/>
      <c r="B1444" s="18"/>
      <c r="C1444" s="18"/>
      <c r="D1444" s="18"/>
      <c r="E1444" s="10" t="str">
        <f>IF(B1444="","",IFERROR(INDEX(Harytlar!$C$5:$C$44,MATCH(B1444,Harytlar!$A$5:$A$44,0)),""))</f>
        <v/>
      </c>
      <c r="F1444" s="10" t="str">
        <f t="shared" si="22"/>
        <v/>
      </c>
      <c r="G1444" s="10" t="str">
        <f>IF(OR(C1444="",B1444=""),"",IFERROR(C1444*INDEX(Harytlar!$D$5:$D$44,MATCH(B1444,Harytlar!$A$5:$A$44,0)),""))</f>
        <v/>
      </c>
    </row>
    <row r="1445" spans="1:7" x14ac:dyDescent="0.3">
      <c r="A1445" s="17"/>
      <c r="B1445" s="18"/>
      <c r="C1445" s="18"/>
      <c r="D1445" s="18"/>
      <c r="E1445" s="10" t="str">
        <f>IF(B1445="","",IFERROR(INDEX(Harytlar!$C$5:$C$44,MATCH(B1445,Harytlar!$A$5:$A$44,0)),""))</f>
        <v/>
      </c>
      <c r="F1445" s="10" t="str">
        <f t="shared" si="22"/>
        <v/>
      </c>
      <c r="G1445" s="10" t="str">
        <f>IF(OR(C1445="",B1445=""),"",IFERROR(C1445*INDEX(Harytlar!$D$5:$D$44,MATCH(B1445,Harytlar!$A$5:$A$44,0)),""))</f>
        <v/>
      </c>
    </row>
    <row r="1446" spans="1:7" x14ac:dyDescent="0.3">
      <c r="A1446" s="17"/>
      <c r="B1446" s="18"/>
      <c r="C1446" s="18"/>
      <c r="D1446" s="18"/>
      <c r="E1446" s="10" t="str">
        <f>IF(B1446="","",IFERROR(INDEX(Harytlar!$C$5:$C$44,MATCH(B1446,Harytlar!$A$5:$A$44,0)),""))</f>
        <v/>
      </c>
      <c r="F1446" s="10" t="str">
        <f t="shared" si="22"/>
        <v/>
      </c>
      <c r="G1446" s="10" t="str">
        <f>IF(OR(C1446="",B1446=""),"",IFERROR(C1446*INDEX(Harytlar!$D$5:$D$44,MATCH(B1446,Harytlar!$A$5:$A$44,0)),""))</f>
        <v/>
      </c>
    </row>
    <row r="1447" spans="1:7" x14ac:dyDescent="0.3">
      <c r="A1447" s="17"/>
      <c r="B1447" s="18"/>
      <c r="C1447" s="18"/>
      <c r="D1447" s="18"/>
      <c r="E1447" s="10" t="str">
        <f>IF(B1447="","",IFERROR(INDEX(Harytlar!$C$5:$C$44,MATCH(B1447,Harytlar!$A$5:$A$44,0)),""))</f>
        <v/>
      </c>
      <c r="F1447" s="10" t="str">
        <f t="shared" si="22"/>
        <v/>
      </c>
      <c r="G1447" s="10" t="str">
        <f>IF(OR(C1447="",B1447=""),"",IFERROR(C1447*INDEX(Harytlar!$D$5:$D$44,MATCH(B1447,Harytlar!$A$5:$A$44,0)),""))</f>
        <v/>
      </c>
    </row>
    <row r="1448" spans="1:7" x14ac:dyDescent="0.3">
      <c r="A1448" s="17"/>
      <c r="B1448" s="18"/>
      <c r="C1448" s="18"/>
      <c r="D1448" s="18"/>
      <c r="E1448" s="10" t="str">
        <f>IF(B1448="","",IFERROR(INDEX(Harytlar!$C$5:$C$44,MATCH(B1448,Harytlar!$A$5:$A$44,0)),""))</f>
        <v/>
      </c>
      <c r="F1448" s="10" t="str">
        <f t="shared" si="22"/>
        <v/>
      </c>
      <c r="G1448" s="10" t="str">
        <f>IF(OR(C1448="",B1448=""),"",IFERROR(C1448*INDEX(Harytlar!$D$5:$D$44,MATCH(B1448,Harytlar!$A$5:$A$44,0)),""))</f>
        <v/>
      </c>
    </row>
    <row r="1449" spans="1:7" x14ac:dyDescent="0.3">
      <c r="A1449" s="17"/>
      <c r="B1449" s="18"/>
      <c r="C1449" s="18"/>
      <c r="D1449" s="18"/>
      <c r="E1449" s="10" t="str">
        <f>IF(B1449="","",IFERROR(INDEX(Harytlar!$C$5:$C$44,MATCH(B1449,Harytlar!$A$5:$A$44,0)),""))</f>
        <v/>
      </c>
      <c r="F1449" s="10" t="str">
        <f t="shared" si="22"/>
        <v/>
      </c>
      <c r="G1449" s="10" t="str">
        <f>IF(OR(C1449="",B1449=""),"",IFERROR(C1449*INDEX(Harytlar!$D$5:$D$44,MATCH(B1449,Harytlar!$A$5:$A$44,0)),""))</f>
        <v/>
      </c>
    </row>
    <row r="1450" spans="1:7" x14ac:dyDescent="0.3">
      <c r="A1450" s="17"/>
      <c r="B1450" s="18"/>
      <c r="C1450" s="18"/>
      <c r="D1450" s="18"/>
      <c r="E1450" s="10" t="str">
        <f>IF(B1450="","",IFERROR(INDEX(Harytlar!$C$5:$C$44,MATCH(B1450,Harytlar!$A$5:$A$44,0)),""))</f>
        <v/>
      </c>
      <c r="F1450" s="10" t="str">
        <f t="shared" si="22"/>
        <v/>
      </c>
      <c r="G1450" s="10" t="str">
        <f>IF(OR(C1450="",B1450=""),"",IFERROR(C1450*INDEX(Harytlar!$D$5:$D$44,MATCH(B1450,Harytlar!$A$5:$A$44,0)),""))</f>
        <v/>
      </c>
    </row>
    <row r="1451" spans="1:7" x14ac:dyDescent="0.3">
      <c r="A1451" s="17"/>
      <c r="B1451" s="18"/>
      <c r="C1451" s="18"/>
      <c r="D1451" s="18"/>
      <c r="E1451" s="10" t="str">
        <f>IF(B1451="","",IFERROR(INDEX(Harytlar!$C$5:$C$44,MATCH(B1451,Harytlar!$A$5:$A$44,0)),""))</f>
        <v/>
      </c>
      <c r="F1451" s="10" t="str">
        <f t="shared" si="22"/>
        <v/>
      </c>
      <c r="G1451" s="10" t="str">
        <f>IF(OR(C1451="",B1451=""),"",IFERROR(C1451*INDEX(Harytlar!$D$5:$D$44,MATCH(B1451,Harytlar!$A$5:$A$44,0)),""))</f>
        <v/>
      </c>
    </row>
    <row r="1452" spans="1:7" x14ac:dyDescent="0.3">
      <c r="A1452" s="17"/>
      <c r="B1452" s="18"/>
      <c r="C1452" s="18"/>
      <c r="D1452" s="18"/>
      <c r="E1452" s="10" t="str">
        <f>IF(B1452="","",IFERROR(INDEX(Harytlar!$C$5:$C$44,MATCH(B1452,Harytlar!$A$5:$A$44,0)),""))</f>
        <v/>
      </c>
      <c r="F1452" s="10" t="str">
        <f t="shared" si="22"/>
        <v/>
      </c>
      <c r="G1452" s="10" t="str">
        <f>IF(OR(C1452="",B1452=""),"",IFERROR(C1452*INDEX(Harytlar!$D$5:$D$44,MATCH(B1452,Harytlar!$A$5:$A$44,0)),""))</f>
        <v/>
      </c>
    </row>
    <row r="1453" spans="1:7" x14ac:dyDescent="0.3">
      <c r="A1453" s="17"/>
      <c r="B1453" s="18"/>
      <c r="C1453" s="18"/>
      <c r="D1453" s="18"/>
      <c r="E1453" s="10" t="str">
        <f>IF(B1453="","",IFERROR(INDEX(Harytlar!$C$5:$C$44,MATCH(B1453,Harytlar!$A$5:$A$44,0)),""))</f>
        <v/>
      </c>
      <c r="F1453" s="10" t="str">
        <f t="shared" si="22"/>
        <v/>
      </c>
      <c r="G1453" s="10" t="str">
        <f>IF(OR(C1453="",B1453=""),"",IFERROR(C1453*INDEX(Harytlar!$D$5:$D$44,MATCH(B1453,Harytlar!$A$5:$A$44,0)),""))</f>
        <v/>
      </c>
    </row>
    <row r="1454" spans="1:7" x14ac:dyDescent="0.3">
      <c r="A1454" s="17"/>
      <c r="B1454" s="18"/>
      <c r="C1454" s="18"/>
      <c r="D1454" s="18"/>
      <c r="E1454" s="10" t="str">
        <f>IF(B1454="","",IFERROR(INDEX(Harytlar!$C$5:$C$44,MATCH(B1454,Harytlar!$A$5:$A$44,0)),""))</f>
        <v/>
      </c>
      <c r="F1454" s="10" t="str">
        <f t="shared" si="22"/>
        <v/>
      </c>
      <c r="G1454" s="10" t="str">
        <f>IF(OR(C1454="",B1454=""),"",IFERROR(C1454*INDEX(Harytlar!$D$5:$D$44,MATCH(B1454,Harytlar!$A$5:$A$44,0)),""))</f>
        <v/>
      </c>
    </row>
    <row r="1455" spans="1:7" x14ac:dyDescent="0.3">
      <c r="A1455" s="17"/>
      <c r="B1455" s="18"/>
      <c r="C1455" s="18"/>
      <c r="D1455" s="18"/>
      <c r="E1455" s="10" t="str">
        <f>IF(B1455="","",IFERROR(INDEX(Harytlar!$C$5:$C$44,MATCH(B1455,Harytlar!$A$5:$A$44,0)),""))</f>
        <v/>
      </c>
      <c r="F1455" s="10" t="str">
        <f t="shared" si="22"/>
        <v/>
      </c>
      <c r="G1455" s="10" t="str">
        <f>IF(OR(C1455="",B1455=""),"",IFERROR(C1455*INDEX(Harytlar!$D$5:$D$44,MATCH(B1455,Harytlar!$A$5:$A$44,0)),""))</f>
        <v/>
      </c>
    </row>
    <row r="1456" spans="1:7" x14ac:dyDescent="0.3">
      <c r="A1456" s="17"/>
      <c r="B1456" s="18"/>
      <c r="C1456" s="18"/>
      <c r="D1456" s="18"/>
      <c r="E1456" s="10" t="str">
        <f>IF(B1456="","",IFERROR(INDEX(Harytlar!$C$5:$C$44,MATCH(B1456,Harytlar!$A$5:$A$44,0)),""))</f>
        <v/>
      </c>
      <c r="F1456" s="10" t="str">
        <f t="shared" si="22"/>
        <v/>
      </c>
      <c r="G1456" s="10" t="str">
        <f>IF(OR(C1456="",B1456=""),"",IFERROR(C1456*INDEX(Harytlar!$D$5:$D$44,MATCH(B1456,Harytlar!$A$5:$A$44,0)),""))</f>
        <v/>
      </c>
    </row>
    <row r="1457" spans="1:7" x14ac:dyDescent="0.3">
      <c r="A1457" s="17"/>
      <c r="B1457" s="18"/>
      <c r="C1457" s="18"/>
      <c r="D1457" s="18"/>
      <c r="E1457" s="10" t="str">
        <f>IF(B1457="","",IFERROR(INDEX(Harytlar!$C$5:$C$44,MATCH(B1457,Harytlar!$A$5:$A$44,0)),""))</f>
        <v/>
      </c>
      <c r="F1457" s="10" t="str">
        <f t="shared" si="22"/>
        <v/>
      </c>
      <c r="G1457" s="10" t="str">
        <f>IF(OR(C1457="",B1457=""),"",IFERROR(C1457*INDEX(Harytlar!$D$5:$D$44,MATCH(B1457,Harytlar!$A$5:$A$44,0)),""))</f>
        <v/>
      </c>
    </row>
    <row r="1458" spans="1:7" x14ac:dyDescent="0.3">
      <c r="A1458" s="17"/>
      <c r="B1458" s="18"/>
      <c r="C1458" s="18"/>
      <c r="D1458" s="18"/>
      <c r="E1458" s="10" t="str">
        <f>IF(B1458="","",IFERROR(INDEX(Harytlar!$C$5:$C$44,MATCH(B1458,Harytlar!$A$5:$A$44,0)),""))</f>
        <v/>
      </c>
      <c r="F1458" s="10" t="str">
        <f t="shared" si="22"/>
        <v/>
      </c>
      <c r="G1458" s="10" t="str">
        <f>IF(OR(C1458="",B1458=""),"",IFERROR(C1458*INDEX(Harytlar!$D$5:$D$44,MATCH(B1458,Harytlar!$A$5:$A$44,0)),""))</f>
        <v/>
      </c>
    </row>
    <row r="1459" spans="1:7" x14ac:dyDescent="0.3">
      <c r="A1459" s="17"/>
      <c r="B1459" s="18"/>
      <c r="C1459" s="18"/>
      <c r="D1459" s="18"/>
      <c r="E1459" s="10" t="str">
        <f>IF(B1459="","",IFERROR(INDEX(Harytlar!$C$5:$C$44,MATCH(B1459,Harytlar!$A$5:$A$44,0)),""))</f>
        <v/>
      </c>
      <c r="F1459" s="10" t="str">
        <f t="shared" si="22"/>
        <v/>
      </c>
      <c r="G1459" s="10" t="str">
        <f>IF(OR(C1459="",B1459=""),"",IFERROR(C1459*INDEX(Harytlar!$D$5:$D$44,MATCH(B1459,Harytlar!$A$5:$A$44,0)),""))</f>
        <v/>
      </c>
    </row>
    <row r="1460" spans="1:7" x14ac:dyDescent="0.3">
      <c r="A1460" s="17"/>
      <c r="B1460" s="18"/>
      <c r="C1460" s="18"/>
      <c r="D1460" s="18"/>
      <c r="E1460" s="10" t="str">
        <f>IF(B1460="","",IFERROR(INDEX(Harytlar!$C$5:$C$44,MATCH(B1460,Harytlar!$A$5:$A$44,0)),""))</f>
        <v/>
      </c>
      <c r="F1460" s="10" t="str">
        <f t="shared" si="22"/>
        <v/>
      </c>
      <c r="G1460" s="10" t="str">
        <f>IF(OR(C1460="",B1460=""),"",IFERROR(C1460*INDEX(Harytlar!$D$5:$D$44,MATCH(B1460,Harytlar!$A$5:$A$44,0)),""))</f>
        <v/>
      </c>
    </row>
    <row r="1461" spans="1:7" x14ac:dyDescent="0.3">
      <c r="A1461" s="17"/>
      <c r="B1461" s="18"/>
      <c r="C1461" s="18"/>
      <c r="D1461" s="18"/>
      <c r="E1461" s="10" t="str">
        <f>IF(B1461="","",IFERROR(INDEX(Harytlar!$C$5:$C$44,MATCH(B1461,Harytlar!$A$5:$A$44,0)),""))</f>
        <v/>
      </c>
      <c r="F1461" s="10" t="str">
        <f t="shared" si="22"/>
        <v/>
      </c>
      <c r="G1461" s="10" t="str">
        <f>IF(OR(C1461="",B1461=""),"",IFERROR(C1461*INDEX(Harytlar!$D$5:$D$44,MATCH(B1461,Harytlar!$A$5:$A$44,0)),""))</f>
        <v/>
      </c>
    </row>
    <row r="1462" spans="1:7" x14ac:dyDescent="0.3">
      <c r="A1462" s="17"/>
      <c r="B1462" s="18"/>
      <c r="C1462" s="18"/>
      <c r="D1462" s="18"/>
      <c r="E1462" s="10" t="str">
        <f>IF(B1462="","",IFERROR(INDEX(Harytlar!$C$5:$C$44,MATCH(B1462,Harytlar!$A$5:$A$44,0)),""))</f>
        <v/>
      </c>
      <c r="F1462" s="10" t="str">
        <f t="shared" si="22"/>
        <v/>
      </c>
      <c r="G1462" s="10" t="str">
        <f>IF(OR(C1462="",B1462=""),"",IFERROR(C1462*INDEX(Harytlar!$D$5:$D$44,MATCH(B1462,Harytlar!$A$5:$A$44,0)),""))</f>
        <v/>
      </c>
    </row>
    <row r="1463" spans="1:7" x14ac:dyDescent="0.3">
      <c r="A1463" s="17"/>
      <c r="B1463" s="18"/>
      <c r="C1463" s="18"/>
      <c r="D1463" s="18"/>
      <c r="E1463" s="10" t="str">
        <f>IF(B1463="","",IFERROR(INDEX(Harytlar!$C$5:$C$44,MATCH(B1463,Harytlar!$A$5:$A$44,0)),""))</f>
        <v/>
      </c>
      <c r="F1463" s="10" t="str">
        <f t="shared" si="22"/>
        <v/>
      </c>
      <c r="G1463" s="10" t="str">
        <f>IF(OR(C1463="",B1463=""),"",IFERROR(C1463*INDEX(Harytlar!$D$5:$D$44,MATCH(B1463,Harytlar!$A$5:$A$44,0)),""))</f>
        <v/>
      </c>
    </row>
    <row r="1464" spans="1:7" x14ac:dyDescent="0.3">
      <c r="A1464" s="17"/>
      <c r="B1464" s="18"/>
      <c r="C1464" s="18"/>
      <c r="D1464" s="18"/>
      <c r="E1464" s="10" t="str">
        <f>IF(B1464="","",IFERROR(INDEX(Harytlar!$C$5:$C$44,MATCH(B1464,Harytlar!$A$5:$A$44,0)),""))</f>
        <v/>
      </c>
      <c r="F1464" s="10" t="str">
        <f t="shared" si="22"/>
        <v/>
      </c>
      <c r="G1464" s="10" t="str">
        <f>IF(OR(C1464="",B1464=""),"",IFERROR(C1464*INDEX(Harytlar!$D$5:$D$44,MATCH(B1464,Harytlar!$A$5:$A$44,0)),""))</f>
        <v/>
      </c>
    </row>
    <row r="1465" spans="1:7" x14ac:dyDescent="0.3">
      <c r="A1465" s="17"/>
      <c r="B1465" s="18"/>
      <c r="C1465" s="18"/>
      <c r="D1465" s="18"/>
      <c r="E1465" s="10" t="str">
        <f>IF(B1465="","",IFERROR(INDEX(Harytlar!$C$5:$C$44,MATCH(B1465,Harytlar!$A$5:$A$44,0)),""))</f>
        <v/>
      </c>
      <c r="F1465" s="10" t="str">
        <f t="shared" si="22"/>
        <v/>
      </c>
      <c r="G1465" s="10" t="str">
        <f>IF(OR(C1465="",B1465=""),"",IFERROR(C1465*INDEX(Harytlar!$D$5:$D$44,MATCH(B1465,Harytlar!$A$5:$A$44,0)),""))</f>
        <v/>
      </c>
    </row>
    <row r="1466" spans="1:7" x14ac:dyDescent="0.3">
      <c r="A1466" s="17"/>
      <c r="B1466" s="18"/>
      <c r="C1466" s="18"/>
      <c r="D1466" s="18"/>
      <c r="E1466" s="10" t="str">
        <f>IF(B1466="","",IFERROR(INDEX(Harytlar!$C$5:$C$44,MATCH(B1466,Harytlar!$A$5:$A$44,0)),""))</f>
        <v/>
      </c>
      <c r="F1466" s="10" t="str">
        <f t="shared" si="22"/>
        <v/>
      </c>
      <c r="G1466" s="10" t="str">
        <f>IF(OR(C1466="",B1466=""),"",IFERROR(C1466*INDEX(Harytlar!$D$5:$D$44,MATCH(B1466,Harytlar!$A$5:$A$44,0)),""))</f>
        <v/>
      </c>
    </row>
    <row r="1467" spans="1:7" x14ac:dyDescent="0.3">
      <c r="A1467" s="17"/>
      <c r="B1467" s="18"/>
      <c r="C1467" s="18"/>
      <c r="D1467" s="18"/>
      <c r="E1467" s="10" t="str">
        <f>IF(B1467="","",IFERROR(INDEX(Harytlar!$C$5:$C$44,MATCH(B1467,Harytlar!$A$5:$A$44,0)),""))</f>
        <v/>
      </c>
      <c r="F1467" s="10" t="str">
        <f t="shared" si="22"/>
        <v/>
      </c>
      <c r="G1467" s="10" t="str">
        <f>IF(OR(C1467="",B1467=""),"",IFERROR(C1467*INDEX(Harytlar!$D$5:$D$44,MATCH(B1467,Harytlar!$A$5:$A$44,0)),""))</f>
        <v/>
      </c>
    </row>
    <row r="1468" spans="1:7" x14ac:dyDescent="0.3">
      <c r="A1468" s="17"/>
      <c r="B1468" s="18"/>
      <c r="C1468" s="18"/>
      <c r="D1468" s="18"/>
      <c r="E1468" s="10" t="str">
        <f>IF(B1468="","",IFERROR(INDEX(Harytlar!$C$5:$C$44,MATCH(B1468,Harytlar!$A$5:$A$44,0)),""))</f>
        <v/>
      </c>
      <c r="F1468" s="10" t="str">
        <f t="shared" si="22"/>
        <v/>
      </c>
      <c r="G1468" s="10" t="str">
        <f>IF(OR(C1468="",B1468=""),"",IFERROR(C1468*INDEX(Harytlar!$D$5:$D$44,MATCH(B1468,Harytlar!$A$5:$A$44,0)),""))</f>
        <v/>
      </c>
    </row>
    <row r="1469" spans="1:7" x14ac:dyDescent="0.3">
      <c r="A1469" s="17"/>
      <c r="B1469" s="18"/>
      <c r="C1469" s="18"/>
      <c r="D1469" s="18"/>
      <c r="E1469" s="10" t="str">
        <f>IF(B1469="","",IFERROR(INDEX(Harytlar!$C$5:$C$44,MATCH(B1469,Harytlar!$A$5:$A$44,0)),""))</f>
        <v/>
      </c>
      <c r="F1469" s="10" t="str">
        <f t="shared" si="22"/>
        <v/>
      </c>
      <c r="G1469" s="10" t="str">
        <f>IF(OR(C1469="",B1469=""),"",IFERROR(C1469*INDEX(Harytlar!$D$5:$D$44,MATCH(B1469,Harytlar!$A$5:$A$44,0)),""))</f>
        <v/>
      </c>
    </row>
    <row r="1470" spans="1:7" x14ac:dyDescent="0.3">
      <c r="A1470" s="17"/>
      <c r="B1470" s="18"/>
      <c r="C1470" s="18"/>
      <c r="D1470" s="18"/>
      <c r="E1470" s="10" t="str">
        <f>IF(B1470="","",IFERROR(INDEX(Harytlar!$C$5:$C$44,MATCH(B1470,Harytlar!$A$5:$A$44,0)),""))</f>
        <v/>
      </c>
      <c r="F1470" s="10" t="str">
        <f t="shared" si="22"/>
        <v/>
      </c>
      <c r="G1470" s="10" t="str">
        <f>IF(OR(C1470="",B1470=""),"",IFERROR(C1470*INDEX(Harytlar!$D$5:$D$44,MATCH(B1470,Harytlar!$A$5:$A$44,0)),""))</f>
        <v/>
      </c>
    </row>
    <row r="1471" spans="1:7" x14ac:dyDescent="0.3">
      <c r="A1471" s="17"/>
      <c r="B1471" s="18"/>
      <c r="C1471" s="18"/>
      <c r="D1471" s="18"/>
      <c r="E1471" s="10" t="str">
        <f>IF(B1471="","",IFERROR(INDEX(Harytlar!$C$5:$C$44,MATCH(B1471,Harytlar!$A$5:$A$44,0)),""))</f>
        <v/>
      </c>
      <c r="F1471" s="10" t="str">
        <f t="shared" si="22"/>
        <v/>
      </c>
      <c r="G1471" s="10" t="str">
        <f>IF(OR(C1471="",B1471=""),"",IFERROR(C1471*INDEX(Harytlar!$D$5:$D$44,MATCH(B1471,Harytlar!$A$5:$A$44,0)),""))</f>
        <v/>
      </c>
    </row>
    <row r="1472" spans="1:7" x14ac:dyDescent="0.3">
      <c r="A1472" s="17"/>
      <c r="B1472" s="18"/>
      <c r="C1472" s="18"/>
      <c r="D1472" s="18"/>
      <c r="E1472" s="10" t="str">
        <f>IF(B1472="","",IFERROR(INDEX(Harytlar!$C$5:$C$44,MATCH(B1472,Harytlar!$A$5:$A$44,0)),""))</f>
        <v/>
      </c>
      <c r="F1472" s="10" t="str">
        <f t="shared" si="22"/>
        <v/>
      </c>
      <c r="G1472" s="10" t="str">
        <f>IF(OR(C1472="",B1472=""),"",IFERROR(C1472*INDEX(Harytlar!$D$5:$D$44,MATCH(B1472,Harytlar!$A$5:$A$44,0)),""))</f>
        <v/>
      </c>
    </row>
    <row r="1473" spans="1:7" x14ac:dyDescent="0.3">
      <c r="A1473" s="17"/>
      <c r="B1473" s="18"/>
      <c r="C1473" s="18"/>
      <c r="D1473" s="18"/>
      <c r="E1473" s="10" t="str">
        <f>IF(B1473="","",IFERROR(INDEX(Harytlar!$C$5:$C$44,MATCH(B1473,Harytlar!$A$5:$A$44,0)),""))</f>
        <v/>
      </c>
      <c r="F1473" s="10" t="str">
        <f t="shared" si="22"/>
        <v/>
      </c>
      <c r="G1473" s="10" t="str">
        <f>IF(OR(C1473="",B1473=""),"",IFERROR(C1473*INDEX(Harytlar!$D$5:$D$44,MATCH(B1473,Harytlar!$A$5:$A$44,0)),""))</f>
        <v/>
      </c>
    </row>
    <row r="1474" spans="1:7" x14ac:dyDescent="0.3">
      <c r="A1474" s="17"/>
      <c r="B1474" s="18"/>
      <c r="C1474" s="18"/>
      <c r="D1474" s="18"/>
      <c r="E1474" s="10" t="str">
        <f>IF(B1474="","",IFERROR(INDEX(Harytlar!$C$5:$C$44,MATCH(B1474,Harytlar!$A$5:$A$44,0)),""))</f>
        <v/>
      </c>
      <c r="F1474" s="10" t="str">
        <f t="shared" si="22"/>
        <v/>
      </c>
      <c r="G1474" s="10" t="str">
        <f>IF(OR(C1474="",B1474=""),"",IFERROR(C1474*INDEX(Harytlar!$D$5:$D$44,MATCH(B1474,Harytlar!$A$5:$A$44,0)),""))</f>
        <v/>
      </c>
    </row>
    <row r="1475" spans="1:7" x14ac:dyDescent="0.3">
      <c r="A1475" s="17"/>
      <c r="B1475" s="18"/>
      <c r="C1475" s="18"/>
      <c r="D1475" s="18"/>
      <c r="E1475" s="10" t="str">
        <f>IF(B1475="","",IFERROR(INDEX(Harytlar!$C$5:$C$44,MATCH(B1475,Harytlar!$A$5:$A$44,0)),""))</f>
        <v/>
      </c>
      <c r="F1475" s="10" t="str">
        <f t="shared" si="22"/>
        <v/>
      </c>
      <c r="G1475" s="10" t="str">
        <f>IF(OR(C1475="",B1475=""),"",IFERROR(C1475*INDEX(Harytlar!$D$5:$D$44,MATCH(B1475,Harytlar!$A$5:$A$44,0)),""))</f>
        <v/>
      </c>
    </row>
    <row r="1476" spans="1:7" x14ac:dyDescent="0.3">
      <c r="A1476" s="17"/>
      <c r="B1476" s="18"/>
      <c r="C1476" s="18"/>
      <c r="D1476" s="18"/>
      <c r="E1476" s="10" t="str">
        <f>IF(B1476="","",IFERROR(INDEX(Harytlar!$C$5:$C$44,MATCH(B1476,Harytlar!$A$5:$A$44,0)),""))</f>
        <v/>
      </c>
      <c r="F1476" s="10" t="str">
        <f t="shared" si="22"/>
        <v/>
      </c>
      <c r="G1476" s="10" t="str">
        <f>IF(OR(C1476="",B1476=""),"",IFERROR(C1476*INDEX(Harytlar!$D$5:$D$44,MATCH(B1476,Harytlar!$A$5:$A$44,0)),""))</f>
        <v/>
      </c>
    </row>
    <row r="1477" spans="1:7" x14ac:dyDescent="0.3">
      <c r="A1477" s="17"/>
      <c r="B1477" s="18"/>
      <c r="C1477" s="18"/>
      <c r="D1477" s="18"/>
      <c r="E1477" s="10" t="str">
        <f>IF(B1477="","",IFERROR(INDEX(Harytlar!$C$5:$C$44,MATCH(B1477,Harytlar!$A$5:$A$44,0)),""))</f>
        <v/>
      </c>
      <c r="F1477" s="10" t="str">
        <f t="shared" si="22"/>
        <v/>
      </c>
      <c r="G1477" s="10" t="str">
        <f>IF(OR(C1477="",B1477=""),"",IFERROR(C1477*INDEX(Harytlar!$D$5:$D$44,MATCH(B1477,Harytlar!$A$5:$A$44,0)),""))</f>
        <v/>
      </c>
    </row>
    <row r="1478" spans="1:7" x14ac:dyDescent="0.3">
      <c r="A1478" s="17"/>
      <c r="B1478" s="18"/>
      <c r="C1478" s="18"/>
      <c r="D1478" s="18"/>
      <c r="E1478" s="10" t="str">
        <f>IF(B1478="","",IFERROR(INDEX(Harytlar!$C$5:$C$44,MATCH(B1478,Harytlar!$A$5:$A$44,0)),""))</f>
        <v/>
      </c>
      <c r="F1478" s="10" t="str">
        <f t="shared" ref="F1478:F1541" si="23">IF(OR(C1478="",E1478=""),"",C1478*E1478)</f>
        <v/>
      </c>
      <c r="G1478" s="10" t="str">
        <f>IF(OR(C1478="",B1478=""),"",IFERROR(C1478*INDEX(Harytlar!$D$5:$D$44,MATCH(B1478,Harytlar!$A$5:$A$44,0)),""))</f>
        <v/>
      </c>
    </row>
    <row r="1479" spans="1:7" x14ac:dyDescent="0.3">
      <c r="A1479" s="17"/>
      <c r="B1479" s="18"/>
      <c r="C1479" s="18"/>
      <c r="D1479" s="18"/>
      <c r="E1479" s="10" t="str">
        <f>IF(B1479="","",IFERROR(INDEX(Harytlar!$C$5:$C$44,MATCH(B1479,Harytlar!$A$5:$A$44,0)),""))</f>
        <v/>
      </c>
      <c r="F1479" s="10" t="str">
        <f t="shared" si="23"/>
        <v/>
      </c>
      <c r="G1479" s="10" t="str">
        <f>IF(OR(C1479="",B1479=""),"",IFERROR(C1479*INDEX(Harytlar!$D$5:$D$44,MATCH(B1479,Harytlar!$A$5:$A$44,0)),""))</f>
        <v/>
      </c>
    </row>
    <row r="1480" spans="1:7" x14ac:dyDescent="0.3">
      <c r="A1480" s="17"/>
      <c r="B1480" s="18"/>
      <c r="C1480" s="18"/>
      <c r="D1480" s="18"/>
      <c r="E1480" s="10" t="str">
        <f>IF(B1480="","",IFERROR(INDEX(Harytlar!$C$5:$C$44,MATCH(B1480,Harytlar!$A$5:$A$44,0)),""))</f>
        <v/>
      </c>
      <c r="F1480" s="10" t="str">
        <f t="shared" si="23"/>
        <v/>
      </c>
      <c r="G1480" s="10" t="str">
        <f>IF(OR(C1480="",B1480=""),"",IFERROR(C1480*INDEX(Harytlar!$D$5:$D$44,MATCH(B1480,Harytlar!$A$5:$A$44,0)),""))</f>
        <v/>
      </c>
    </row>
    <row r="1481" spans="1:7" x14ac:dyDescent="0.3">
      <c r="A1481" s="17"/>
      <c r="B1481" s="18"/>
      <c r="C1481" s="18"/>
      <c r="D1481" s="18"/>
      <c r="E1481" s="10" t="str">
        <f>IF(B1481="","",IFERROR(INDEX(Harytlar!$C$5:$C$44,MATCH(B1481,Harytlar!$A$5:$A$44,0)),""))</f>
        <v/>
      </c>
      <c r="F1481" s="10" t="str">
        <f t="shared" si="23"/>
        <v/>
      </c>
      <c r="G1481" s="10" t="str">
        <f>IF(OR(C1481="",B1481=""),"",IFERROR(C1481*INDEX(Harytlar!$D$5:$D$44,MATCH(B1481,Harytlar!$A$5:$A$44,0)),""))</f>
        <v/>
      </c>
    </row>
    <row r="1482" spans="1:7" x14ac:dyDescent="0.3">
      <c r="A1482" s="17"/>
      <c r="B1482" s="18"/>
      <c r="C1482" s="18"/>
      <c r="D1482" s="18"/>
      <c r="E1482" s="10" t="str">
        <f>IF(B1482="","",IFERROR(INDEX(Harytlar!$C$5:$C$44,MATCH(B1482,Harytlar!$A$5:$A$44,0)),""))</f>
        <v/>
      </c>
      <c r="F1482" s="10" t="str">
        <f t="shared" si="23"/>
        <v/>
      </c>
      <c r="G1482" s="10" t="str">
        <f>IF(OR(C1482="",B1482=""),"",IFERROR(C1482*INDEX(Harytlar!$D$5:$D$44,MATCH(B1482,Harytlar!$A$5:$A$44,0)),""))</f>
        <v/>
      </c>
    </row>
    <row r="1483" spans="1:7" x14ac:dyDescent="0.3">
      <c r="A1483" s="17"/>
      <c r="B1483" s="18"/>
      <c r="C1483" s="18"/>
      <c r="D1483" s="18"/>
      <c r="E1483" s="10" t="str">
        <f>IF(B1483="","",IFERROR(INDEX(Harytlar!$C$5:$C$44,MATCH(B1483,Harytlar!$A$5:$A$44,0)),""))</f>
        <v/>
      </c>
      <c r="F1483" s="10" t="str">
        <f t="shared" si="23"/>
        <v/>
      </c>
      <c r="G1483" s="10" t="str">
        <f>IF(OR(C1483="",B1483=""),"",IFERROR(C1483*INDEX(Harytlar!$D$5:$D$44,MATCH(B1483,Harytlar!$A$5:$A$44,0)),""))</f>
        <v/>
      </c>
    </row>
    <row r="1484" spans="1:7" x14ac:dyDescent="0.3">
      <c r="A1484" s="17"/>
      <c r="B1484" s="18"/>
      <c r="C1484" s="18"/>
      <c r="D1484" s="18"/>
      <c r="E1484" s="10" t="str">
        <f>IF(B1484="","",IFERROR(INDEX(Harytlar!$C$5:$C$44,MATCH(B1484,Harytlar!$A$5:$A$44,0)),""))</f>
        <v/>
      </c>
      <c r="F1484" s="10" t="str">
        <f t="shared" si="23"/>
        <v/>
      </c>
      <c r="G1484" s="10" t="str">
        <f>IF(OR(C1484="",B1484=""),"",IFERROR(C1484*INDEX(Harytlar!$D$5:$D$44,MATCH(B1484,Harytlar!$A$5:$A$44,0)),""))</f>
        <v/>
      </c>
    </row>
    <row r="1485" spans="1:7" x14ac:dyDescent="0.3">
      <c r="A1485" s="17"/>
      <c r="B1485" s="18"/>
      <c r="C1485" s="18"/>
      <c r="D1485" s="18"/>
      <c r="E1485" s="10" t="str">
        <f>IF(B1485="","",IFERROR(INDEX(Harytlar!$C$5:$C$44,MATCH(B1485,Harytlar!$A$5:$A$44,0)),""))</f>
        <v/>
      </c>
      <c r="F1485" s="10" t="str">
        <f t="shared" si="23"/>
        <v/>
      </c>
      <c r="G1485" s="10" t="str">
        <f>IF(OR(C1485="",B1485=""),"",IFERROR(C1485*INDEX(Harytlar!$D$5:$D$44,MATCH(B1485,Harytlar!$A$5:$A$44,0)),""))</f>
        <v/>
      </c>
    </row>
    <row r="1486" spans="1:7" x14ac:dyDescent="0.3">
      <c r="A1486" s="17"/>
      <c r="B1486" s="18"/>
      <c r="C1486" s="18"/>
      <c r="D1486" s="18"/>
      <c r="E1486" s="10" t="str">
        <f>IF(B1486="","",IFERROR(INDEX(Harytlar!$C$5:$C$44,MATCH(B1486,Harytlar!$A$5:$A$44,0)),""))</f>
        <v/>
      </c>
      <c r="F1486" s="10" t="str">
        <f t="shared" si="23"/>
        <v/>
      </c>
      <c r="G1486" s="10" t="str">
        <f>IF(OR(C1486="",B1486=""),"",IFERROR(C1486*INDEX(Harytlar!$D$5:$D$44,MATCH(B1486,Harytlar!$A$5:$A$44,0)),""))</f>
        <v/>
      </c>
    </row>
    <row r="1487" spans="1:7" x14ac:dyDescent="0.3">
      <c r="A1487" s="17"/>
      <c r="B1487" s="18"/>
      <c r="C1487" s="18"/>
      <c r="D1487" s="18"/>
      <c r="E1487" s="10" t="str">
        <f>IF(B1487="","",IFERROR(INDEX(Harytlar!$C$5:$C$44,MATCH(B1487,Harytlar!$A$5:$A$44,0)),""))</f>
        <v/>
      </c>
      <c r="F1487" s="10" t="str">
        <f t="shared" si="23"/>
        <v/>
      </c>
      <c r="G1487" s="10" t="str">
        <f>IF(OR(C1487="",B1487=""),"",IFERROR(C1487*INDEX(Harytlar!$D$5:$D$44,MATCH(B1487,Harytlar!$A$5:$A$44,0)),""))</f>
        <v/>
      </c>
    </row>
    <row r="1488" spans="1:7" x14ac:dyDescent="0.3">
      <c r="A1488" s="17"/>
      <c r="B1488" s="18"/>
      <c r="C1488" s="18"/>
      <c r="D1488" s="18"/>
      <c r="E1488" s="10" t="str">
        <f>IF(B1488="","",IFERROR(INDEX(Harytlar!$C$5:$C$44,MATCH(B1488,Harytlar!$A$5:$A$44,0)),""))</f>
        <v/>
      </c>
      <c r="F1488" s="10" t="str">
        <f t="shared" si="23"/>
        <v/>
      </c>
      <c r="G1488" s="10" t="str">
        <f>IF(OR(C1488="",B1488=""),"",IFERROR(C1488*INDEX(Harytlar!$D$5:$D$44,MATCH(B1488,Harytlar!$A$5:$A$44,0)),""))</f>
        <v/>
      </c>
    </row>
    <row r="1489" spans="1:7" x14ac:dyDescent="0.3">
      <c r="A1489" s="17"/>
      <c r="B1489" s="18"/>
      <c r="C1489" s="18"/>
      <c r="D1489" s="18"/>
      <c r="E1489" s="10" t="str">
        <f>IF(B1489="","",IFERROR(INDEX(Harytlar!$C$5:$C$44,MATCH(B1489,Harytlar!$A$5:$A$44,0)),""))</f>
        <v/>
      </c>
      <c r="F1489" s="10" t="str">
        <f t="shared" si="23"/>
        <v/>
      </c>
      <c r="G1489" s="10" t="str">
        <f>IF(OR(C1489="",B1489=""),"",IFERROR(C1489*INDEX(Harytlar!$D$5:$D$44,MATCH(B1489,Harytlar!$A$5:$A$44,0)),""))</f>
        <v/>
      </c>
    </row>
    <row r="1490" spans="1:7" x14ac:dyDescent="0.3">
      <c r="A1490" s="17"/>
      <c r="B1490" s="18"/>
      <c r="C1490" s="18"/>
      <c r="D1490" s="18"/>
      <c r="E1490" s="10" t="str">
        <f>IF(B1490="","",IFERROR(INDEX(Harytlar!$C$5:$C$44,MATCH(B1490,Harytlar!$A$5:$A$44,0)),""))</f>
        <v/>
      </c>
      <c r="F1490" s="10" t="str">
        <f t="shared" si="23"/>
        <v/>
      </c>
      <c r="G1490" s="10" t="str">
        <f>IF(OR(C1490="",B1490=""),"",IFERROR(C1490*INDEX(Harytlar!$D$5:$D$44,MATCH(B1490,Harytlar!$A$5:$A$44,0)),""))</f>
        <v/>
      </c>
    </row>
    <row r="1491" spans="1:7" x14ac:dyDescent="0.3">
      <c r="A1491" s="17"/>
      <c r="B1491" s="18"/>
      <c r="C1491" s="18"/>
      <c r="D1491" s="18"/>
      <c r="E1491" s="10" t="str">
        <f>IF(B1491="","",IFERROR(INDEX(Harytlar!$C$5:$C$44,MATCH(B1491,Harytlar!$A$5:$A$44,0)),""))</f>
        <v/>
      </c>
      <c r="F1491" s="10" t="str">
        <f t="shared" si="23"/>
        <v/>
      </c>
      <c r="G1491" s="10" t="str">
        <f>IF(OR(C1491="",B1491=""),"",IFERROR(C1491*INDEX(Harytlar!$D$5:$D$44,MATCH(B1491,Harytlar!$A$5:$A$44,0)),""))</f>
        <v/>
      </c>
    </row>
    <row r="1492" spans="1:7" x14ac:dyDescent="0.3">
      <c r="A1492" s="17"/>
      <c r="B1492" s="18"/>
      <c r="C1492" s="18"/>
      <c r="D1492" s="18"/>
      <c r="E1492" s="10" t="str">
        <f>IF(B1492="","",IFERROR(INDEX(Harytlar!$C$5:$C$44,MATCH(B1492,Harytlar!$A$5:$A$44,0)),""))</f>
        <v/>
      </c>
      <c r="F1492" s="10" t="str">
        <f t="shared" si="23"/>
        <v/>
      </c>
      <c r="G1492" s="10" t="str">
        <f>IF(OR(C1492="",B1492=""),"",IFERROR(C1492*INDEX(Harytlar!$D$5:$D$44,MATCH(B1492,Harytlar!$A$5:$A$44,0)),""))</f>
        <v/>
      </c>
    </row>
    <row r="1493" spans="1:7" x14ac:dyDescent="0.3">
      <c r="A1493" s="17"/>
      <c r="B1493" s="18"/>
      <c r="C1493" s="18"/>
      <c r="D1493" s="18"/>
      <c r="E1493" s="10" t="str">
        <f>IF(B1493="","",IFERROR(INDEX(Harytlar!$C$5:$C$44,MATCH(B1493,Harytlar!$A$5:$A$44,0)),""))</f>
        <v/>
      </c>
      <c r="F1493" s="10" t="str">
        <f t="shared" si="23"/>
        <v/>
      </c>
      <c r="G1493" s="10" t="str">
        <f>IF(OR(C1493="",B1493=""),"",IFERROR(C1493*INDEX(Harytlar!$D$5:$D$44,MATCH(B1493,Harytlar!$A$5:$A$44,0)),""))</f>
        <v/>
      </c>
    </row>
    <row r="1494" spans="1:7" x14ac:dyDescent="0.3">
      <c r="A1494" s="17"/>
      <c r="B1494" s="18"/>
      <c r="C1494" s="18"/>
      <c r="D1494" s="18"/>
      <c r="E1494" s="10" t="str">
        <f>IF(B1494="","",IFERROR(INDEX(Harytlar!$C$5:$C$44,MATCH(B1494,Harytlar!$A$5:$A$44,0)),""))</f>
        <v/>
      </c>
      <c r="F1494" s="10" t="str">
        <f t="shared" si="23"/>
        <v/>
      </c>
      <c r="G1494" s="10" t="str">
        <f>IF(OR(C1494="",B1494=""),"",IFERROR(C1494*INDEX(Harytlar!$D$5:$D$44,MATCH(B1494,Harytlar!$A$5:$A$44,0)),""))</f>
        <v/>
      </c>
    </row>
    <row r="1495" spans="1:7" x14ac:dyDescent="0.3">
      <c r="A1495" s="17"/>
      <c r="B1495" s="18"/>
      <c r="C1495" s="18"/>
      <c r="D1495" s="18"/>
      <c r="E1495" s="10" t="str">
        <f>IF(B1495="","",IFERROR(INDEX(Harytlar!$C$5:$C$44,MATCH(B1495,Harytlar!$A$5:$A$44,0)),""))</f>
        <v/>
      </c>
      <c r="F1495" s="10" t="str">
        <f t="shared" si="23"/>
        <v/>
      </c>
      <c r="G1495" s="10" t="str">
        <f>IF(OR(C1495="",B1495=""),"",IFERROR(C1495*INDEX(Harytlar!$D$5:$D$44,MATCH(B1495,Harytlar!$A$5:$A$44,0)),""))</f>
        <v/>
      </c>
    </row>
    <row r="1496" spans="1:7" x14ac:dyDescent="0.3">
      <c r="A1496" s="17"/>
      <c r="B1496" s="18"/>
      <c r="C1496" s="18"/>
      <c r="D1496" s="18"/>
      <c r="E1496" s="10" t="str">
        <f>IF(B1496="","",IFERROR(INDEX(Harytlar!$C$5:$C$44,MATCH(B1496,Harytlar!$A$5:$A$44,0)),""))</f>
        <v/>
      </c>
      <c r="F1496" s="10" t="str">
        <f t="shared" si="23"/>
        <v/>
      </c>
      <c r="G1496" s="10" t="str">
        <f>IF(OR(C1496="",B1496=""),"",IFERROR(C1496*INDEX(Harytlar!$D$5:$D$44,MATCH(B1496,Harytlar!$A$5:$A$44,0)),""))</f>
        <v/>
      </c>
    </row>
    <row r="1497" spans="1:7" x14ac:dyDescent="0.3">
      <c r="A1497" s="17"/>
      <c r="B1497" s="18"/>
      <c r="C1497" s="18"/>
      <c r="D1497" s="18"/>
      <c r="E1497" s="10" t="str">
        <f>IF(B1497="","",IFERROR(INDEX(Harytlar!$C$5:$C$44,MATCH(B1497,Harytlar!$A$5:$A$44,0)),""))</f>
        <v/>
      </c>
      <c r="F1497" s="10" t="str">
        <f t="shared" si="23"/>
        <v/>
      </c>
      <c r="G1497" s="10" t="str">
        <f>IF(OR(C1497="",B1497=""),"",IFERROR(C1497*INDEX(Harytlar!$D$5:$D$44,MATCH(B1497,Harytlar!$A$5:$A$44,0)),""))</f>
        <v/>
      </c>
    </row>
    <row r="1498" spans="1:7" x14ac:dyDescent="0.3">
      <c r="A1498" s="17"/>
      <c r="B1498" s="18"/>
      <c r="C1498" s="18"/>
      <c r="D1498" s="18"/>
      <c r="E1498" s="10" t="str">
        <f>IF(B1498="","",IFERROR(INDEX(Harytlar!$C$5:$C$44,MATCH(B1498,Harytlar!$A$5:$A$44,0)),""))</f>
        <v/>
      </c>
      <c r="F1498" s="10" t="str">
        <f t="shared" si="23"/>
        <v/>
      </c>
      <c r="G1498" s="10" t="str">
        <f>IF(OR(C1498="",B1498=""),"",IFERROR(C1498*INDEX(Harytlar!$D$5:$D$44,MATCH(B1498,Harytlar!$A$5:$A$44,0)),""))</f>
        <v/>
      </c>
    </row>
    <row r="1499" spans="1:7" x14ac:dyDescent="0.3">
      <c r="A1499" s="17"/>
      <c r="B1499" s="18"/>
      <c r="C1499" s="18"/>
      <c r="D1499" s="18"/>
      <c r="E1499" s="10" t="str">
        <f>IF(B1499="","",IFERROR(INDEX(Harytlar!$C$5:$C$44,MATCH(B1499,Harytlar!$A$5:$A$44,0)),""))</f>
        <v/>
      </c>
      <c r="F1499" s="10" t="str">
        <f t="shared" si="23"/>
        <v/>
      </c>
      <c r="G1499" s="10" t="str">
        <f>IF(OR(C1499="",B1499=""),"",IFERROR(C1499*INDEX(Harytlar!$D$5:$D$44,MATCH(B1499,Harytlar!$A$5:$A$44,0)),""))</f>
        <v/>
      </c>
    </row>
    <row r="1500" spans="1:7" x14ac:dyDescent="0.3">
      <c r="A1500" s="17"/>
      <c r="B1500" s="18"/>
      <c r="C1500" s="18"/>
      <c r="D1500" s="18"/>
      <c r="E1500" s="10" t="str">
        <f>IF(B1500="","",IFERROR(INDEX(Harytlar!$C$5:$C$44,MATCH(B1500,Harytlar!$A$5:$A$44,0)),""))</f>
        <v/>
      </c>
      <c r="F1500" s="10" t="str">
        <f t="shared" si="23"/>
        <v/>
      </c>
      <c r="G1500" s="10" t="str">
        <f>IF(OR(C1500="",B1500=""),"",IFERROR(C1500*INDEX(Harytlar!$D$5:$D$44,MATCH(B1500,Harytlar!$A$5:$A$44,0)),""))</f>
        <v/>
      </c>
    </row>
    <row r="1501" spans="1:7" x14ac:dyDescent="0.3">
      <c r="A1501" s="17"/>
      <c r="B1501" s="18"/>
      <c r="C1501" s="18"/>
      <c r="D1501" s="18"/>
      <c r="E1501" s="10" t="str">
        <f>IF(B1501="","",IFERROR(INDEX(Harytlar!$C$5:$C$44,MATCH(B1501,Harytlar!$A$5:$A$44,0)),""))</f>
        <v/>
      </c>
      <c r="F1501" s="10" t="str">
        <f t="shared" si="23"/>
        <v/>
      </c>
      <c r="G1501" s="10" t="str">
        <f>IF(OR(C1501="",B1501=""),"",IFERROR(C1501*INDEX(Harytlar!$D$5:$D$44,MATCH(B1501,Harytlar!$A$5:$A$44,0)),""))</f>
        <v/>
      </c>
    </row>
    <row r="1502" spans="1:7" x14ac:dyDescent="0.3">
      <c r="A1502" s="17"/>
      <c r="B1502" s="18"/>
      <c r="C1502" s="18"/>
      <c r="D1502" s="18"/>
      <c r="E1502" s="10" t="str">
        <f>IF(B1502="","",IFERROR(INDEX(Harytlar!$C$5:$C$44,MATCH(B1502,Harytlar!$A$5:$A$44,0)),""))</f>
        <v/>
      </c>
      <c r="F1502" s="10" t="str">
        <f t="shared" si="23"/>
        <v/>
      </c>
      <c r="G1502" s="10" t="str">
        <f>IF(OR(C1502="",B1502=""),"",IFERROR(C1502*INDEX(Harytlar!$D$5:$D$44,MATCH(B1502,Harytlar!$A$5:$A$44,0)),""))</f>
        <v/>
      </c>
    </row>
    <row r="1503" spans="1:7" x14ac:dyDescent="0.3">
      <c r="A1503" s="17"/>
      <c r="B1503" s="18"/>
      <c r="C1503" s="18"/>
      <c r="D1503" s="18"/>
      <c r="E1503" s="10" t="str">
        <f>IF(B1503="","",IFERROR(INDEX(Harytlar!$C$5:$C$44,MATCH(B1503,Harytlar!$A$5:$A$44,0)),""))</f>
        <v/>
      </c>
      <c r="F1503" s="10" t="str">
        <f t="shared" si="23"/>
        <v/>
      </c>
      <c r="G1503" s="10" t="str">
        <f>IF(OR(C1503="",B1503=""),"",IFERROR(C1503*INDEX(Harytlar!$D$5:$D$44,MATCH(B1503,Harytlar!$A$5:$A$44,0)),""))</f>
        <v/>
      </c>
    </row>
    <row r="1504" spans="1:7" x14ac:dyDescent="0.3">
      <c r="A1504" s="17"/>
      <c r="B1504" s="18"/>
      <c r="C1504" s="18"/>
      <c r="D1504" s="18"/>
      <c r="E1504" s="10" t="str">
        <f>IF(B1504="","",IFERROR(INDEX(Harytlar!$C$5:$C$44,MATCH(B1504,Harytlar!$A$5:$A$44,0)),""))</f>
        <v/>
      </c>
      <c r="F1504" s="10" t="str">
        <f t="shared" si="23"/>
        <v/>
      </c>
      <c r="G1504" s="10" t="str">
        <f>IF(OR(C1504="",B1504=""),"",IFERROR(C1504*INDEX(Harytlar!$D$5:$D$44,MATCH(B1504,Harytlar!$A$5:$A$44,0)),""))</f>
        <v/>
      </c>
    </row>
    <row r="1505" spans="1:7" x14ac:dyDescent="0.3">
      <c r="A1505" s="17"/>
      <c r="B1505" s="18"/>
      <c r="C1505" s="18"/>
      <c r="D1505" s="18"/>
      <c r="E1505" s="10" t="str">
        <f>IF(B1505="","",IFERROR(INDEX(Harytlar!$C$5:$C$44,MATCH(B1505,Harytlar!$A$5:$A$44,0)),""))</f>
        <v/>
      </c>
      <c r="F1505" s="10" t="str">
        <f t="shared" si="23"/>
        <v/>
      </c>
      <c r="G1505" s="10" t="str">
        <f>IF(OR(C1505="",B1505=""),"",IFERROR(C1505*INDEX(Harytlar!$D$5:$D$44,MATCH(B1505,Harytlar!$A$5:$A$44,0)),""))</f>
        <v/>
      </c>
    </row>
    <row r="1506" spans="1:7" x14ac:dyDescent="0.3">
      <c r="A1506" s="17"/>
      <c r="B1506" s="18"/>
      <c r="C1506" s="18"/>
      <c r="D1506" s="18"/>
      <c r="E1506" s="10" t="str">
        <f>IF(B1506="","",IFERROR(INDEX(Harytlar!$C$5:$C$44,MATCH(B1506,Harytlar!$A$5:$A$44,0)),""))</f>
        <v/>
      </c>
      <c r="F1506" s="10" t="str">
        <f t="shared" si="23"/>
        <v/>
      </c>
      <c r="G1506" s="10" t="str">
        <f>IF(OR(C1506="",B1506=""),"",IFERROR(C1506*INDEX(Harytlar!$D$5:$D$44,MATCH(B1506,Harytlar!$A$5:$A$44,0)),""))</f>
        <v/>
      </c>
    </row>
    <row r="1507" spans="1:7" x14ac:dyDescent="0.3">
      <c r="A1507" s="17"/>
      <c r="B1507" s="18"/>
      <c r="C1507" s="18"/>
      <c r="D1507" s="18"/>
      <c r="E1507" s="10" t="str">
        <f>IF(B1507="","",IFERROR(INDEX(Harytlar!$C$5:$C$44,MATCH(B1507,Harytlar!$A$5:$A$44,0)),""))</f>
        <v/>
      </c>
      <c r="F1507" s="10" t="str">
        <f t="shared" si="23"/>
        <v/>
      </c>
      <c r="G1507" s="10" t="str">
        <f>IF(OR(C1507="",B1507=""),"",IFERROR(C1507*INDEX(Harytlar!$D$5:$D$44,MATCH(B1507,Harytlar!$A$5:$A$44,0)),""))</f>
        <v/>
      </c>
    </row>
    <row r="1508" spans="1:7" x14ac:dyDescent="0.3">
      <c r="A1508" s="17"/>
      <c r="B1508" s="18"/>
      <c r="C1508" s="18"/>
      <c r="D1508" s="18"/>
      <c r="E1508" s="10" t="str">
        <f>IF(B1508="","",IFERROR(INDEX(Harytlar!$C$5:$C$44,MATCH(B1508,Harytlar!$A$5:$A$44,0)),""))</f>
        <v/>
      </c>
      <c r="F1508" s="10" t="str">
        <f t="shared" si="23"/>
        <v/>
      </c>
      <c r="G1508" s="10" t="str">
        <f>IF(OR(C1508="",B1508=""),"",IFERROR(C1508*INDEX(Harytlar!$D$5:$D$44,MATCH(B1508,Harytlar!$A$5:$A$44,0)),""))</f>
        <v/>
      </c>
    </row>
    <row r="1509" spans="1:7" x14ac:dyDescent="0.3">
      <c r="A1509" s="17"/>
      <c r="B1509" s="18"/>
      <c r="C1509" s="18"/>
      <c r="D1509" s="18"/>
      <c r="E1509" s="10" t="str">
        <f>IF(B1509="","",IFERROR(INDEX(Harytlar!$C$5:$C$44,MATCH(B1509,Harytlar!$A$5:$A$44,0)),""))</f>
        <v/>
      </c>
      <c r="F1509" s="10" t="str">
        <f t="shared" si="23"/>
        <v/>
      </c>
      <c r="G1509" s="10" t="str">
        <f>IF(OR(C1509="",B1509=""),"",IFERROR(C1509*INDEX(Harytlar!$D$5:$D$44,MATCH(B1509,Harytlar!$A$5:$A$44,0)),""))</f>
        <v/>
      </c>
    </row>
    <row r="1510" spans="1:7" x14ac:dyDescent="0.3">
      <c r="A1510" s="17"/>
      <c r="B1510" s="18"/>
      <c r="C1510" s="18"/>
      <c r="D1510" s="18"/>
      <c r="E1510" s="10" t="str">
        <f>IF(B1510="","",IFERROR(INDEX(Harytlar!$C$5:$C$44,MATCH(B1510,Harytlar!$A$5:$A$44,0)),""))</f>
        <v/>
      </c>
      <c r="F1510" s="10" t="str">
        <f t="shared" si="23"/>
        <v/>
      </c>
      <c r="G1510" s="10" t="str">
        <f>IF(OR(C1510="",B1510=""),"",IFERROR(C1510*INDEX(Harytlar!$D$5:$D$44,MATCH(B1510,Harytlar!$A$5:$A$44,0)),""))</f>
        <v/>
      </c>
    </row>
    <row r="1511" spans="1:7" x14ac:dyDescent="0.3">
      <c r="A1511" s="17"/>
      <c r="B1511" s="18"/>
      <c r="C1511" s="18"/>
      <c r="D1511" s="18"/>
      <c r="E1511" s="10" t="str">
        <f>IF(B1511="","",IFERROR(INDEX(Harytlar!$C$5:$C$44,MATCH(B1511,Harytlar!$A$5:$A$44,0)),""))</f>
        <v/>
      </c>
      <c r="F1511" s="10" t="str">
        <f t="shared" si="23"/>
        <v/>
      </c>
      <c r="G1511" s="10" t="str">
        <f>IF(OR(C1511="",B1511=""),"",IFERROR(C1511*INDEX(Harytlar!$D$5:$D$44,MATCH(B1511,Harytlar!$A$5:$A$44,0)),""))</f>
        <v/>
      </c>
    </row>
    <row r="1512" spans="1:7" x14ac:dyDescent="0.3">
      <c r="A1512" s="17"/>
      <c r="B1512" s="18"/>
      <c r="C1512" s="18"/>
      <c r="D1512" s="18"/>
      <c r="E1512" s="10" t="str">
        <f>IF(B1512="","",IFERROR(INDEX(Harytlar!$C$5:$C$44,MATCH(B1512,Harytlar!$A$5:$A$44,0)),""))</f>
        <v/>
      </c>
      <c r="F1512" s="10" t="str">
        <f t="shared" si="23"/>
        <v/>
      </c>
      <c r="G1512" s="10" t="str">
        <f>IF(OR(C1512="",B1512=""),"",IFERROR(C1512*INDEX(Harytlar!$D$5:$D$44,MATCH(B1512,Harytlar!$A$5:$A$44,0)),""))</f>
        <v/>
      </c>
    </row>
    <row r="1513" spans="1:7" x14ac:dyDescent="0.3">
      <c r="A1513" s="17"/>
      <c r="B1513" s="18"/>
      <c r="C1513" s="18"/>
      <c r="D1513" s="18"/>
      <c r="E1513" s="10" t="str">
        <f>IF(B1513="","",IFERROR(INDEX(Harytlar!$C$5:$C$44,MATCH(B1513,Harytlar!$A$5:$A$44,0)),""))</f>
        <v/>
      </c>
      <c r="F1513" s="10" t="str">
        <f t="shared" si="23"/>
        <v/>
      </c>
      <c r="G1513" s="10" t="str">
        <f>IF(OR(C1513="",B1513=""),"",IFERROR(C1513*INDEX(Harytlar!$D$5:$D$44,MATCH(B1513,Harytlar!$A$5:$A$44,0)),""))</f>
        <v/>
      </c>
    </row>
    <row r="1514" spans="1:7" x14ac:dyDescent="0.3">
      <c r="A1514" s="17"/>
      <c r="B1514" s="18"/>
      <c r="C1514" s="18"/>
      <c r="D1514" s="18"/>
      <c r="E1514" s="10" t="str">
        <f>IF(B1514="","",IFERROR(INDEX(Harytlar!$C$5:$C$44,MATCH(B1514,Harytlar!$A$5:$A$44,0)),""))</f>
        <v/>
      </c>
      <c r="F1514" s="10" t="str">
        <f t="shared" si="23"/>
        <v/>
      </c>
      <c r="G1514" s="10" t="str">
        <f>IF(OR(C1514="",B1514=""),"",IFERROR(C1514*INDEX(Harytlar!$D$5:$D$44,MATCH(B1514,Harytlar!$A$5:$A$44,0)),""))</f>
        <v/>
      </c>
    </row>
    <row r="1515" spans="1:7" x14ac:dyDescent="0.3">
      <c r="A1515" s="17"/>
      <c r="B1515" s="18"/>
      <c r="C1515" s="18"/>
      <c r="D1515" s="18"/>
      <c r="E1515" s="10" t="str">
        <f>IF(B1515="","",IFERROR(INDEX(Harytlar!$C$5:$C$44,MATCH(B1515,Harytlar!$A$5:$A$44,0)),""))</f>
        <v/>
      </c>
      <c r="F1515" s="10" t="str">
        <f t="shared" si="23"/>
        <v/>
      </c>
      <c r="G1515" s="10" t="str">
        <f>IF(OR(C1515="",B1515=""),"",IFERROR(C1515*INDEX(Harytlar!$D$5:$D$44,MATCH(B1515,Harytlar!$A$5:$A$44,0)),""))</f>
        <v/>
      </c>
    </row>
    <row r="1516" spans="1:7" x14ac:dyDescent="0.3">
      <c r="A1516" s="17"/>
      <c r="B1516" s="18"/>
      <c r="C1516" s="18"/>
      <c r="D1516" s="18"/>
      <c r="E1516" s="10" t="str">
        <f>IF(B1516="","",IFERROR(INDEX(Harytlar!$C$5:$C$44,MATCH(B1516,Harytlar!$A$5:$A$44,0)),""))</f>
        <v/>
      </c>
      <c r="F1516" s="10" t="str">
        <f t="shared" si="23"/>
        <v/>
      </c>
      <c r="G1516" s="10" t="str">
        <f>IF(OR(C1516="",B1516=""),"",IFERROR(C1516*INDEX(Harytlar!$D$5:$D$44,MATCH(B1516,Harytlar!$A$5:$A$44,0)),""))</f>
        <v/>
      </c>
    </row>
    <row r="1517" spans="1:7" x14ac:dyDescent="0.3">
      <c r="A1517" s="17"/>
      <c r="B1517" s="18"/>
      <c r="C1517" s="18"/>
      <c r="D1517" s="18"/>
      <c r="E1517" s="10" t="str">
        <f>IF(B1517="","",IFERROR(INDEX(Harytlar!$C$5:$C$44,MATCH(B1517,Harytlar!$A$5:$A$44,0)),""))</f>
        <v/>
      </c>
      <c r="F1517" s="10" t="str">
        <f t="shared" si="23"/>
        <v/>
      </c>
      <c r="G1517" s="10" t="str">
        <f>IF(OR(C1517="",B1517=""),"",IFERROR(C1517*INDEX(Harytlar!$D$5:$D$44,MATCH(B1517,Harytlar!$A$5:$A$44,0)),""))</f>
        <v/>
      </c>
    </row>
    <row r="1518" spans="1:7" x14ac:dyDescent="0.3">
      <c r="A1518" s="17"/>
      <c r="B1518" s="18"/>
      <c r="C1518" s="18"/>
      <c r="D1518" s="18"/>
      <c r="E1518" s="10" t="str">
        <f>IF(B1518="","",IFERROR(INDEX(Harytlar!$C$5:$C$44,MATCH(B1518,Harytlar!$A$5:$A$44,0)),""))</f>
        <v/>
      </c>
      <c r="F1518" s="10" t="str">
        <f t="shared" si="23"/>
        <v/>
      </c>
      <c r="G1518" s="10" t="str">
        <f>IF(OR(C1518="",B1518=""),"",IFERROR(C1518*INDEX(Harytlar!$D$5:$D$44,MATCH(B1518,Harytlar!$A$5:$A$44,0)),""))</f>
        <v/>
      </c>
    </row>
    <row r="1519" spans="1:7" x14ac:dyDescent="0.3">
      <c r="A1519" s="17"/>
      <c r="B1519" s="18"/>
      <c r="C1519" s="18"/>
      <c r="D1519" s="18"/>
      <c r="E1519" s="10" t="str">
        <f>IF(B1519="","",IFERROR(INDEX(Harytlar!$C$5:$C$44,MATCH(B1519,Harytlar!$A$5:$A$44,0)),""))</f>
        <v/>
      </c>
      <c r="F1519" s="10" t="str">
        <f t="shared" si="23"/>
        <v/>
      </c>
      <c r="G1519" s="10" t="str">
        <f>IF(OR(C1519="",B1519=""),"",IFERROR(C1519*INDEX(Harytlar!$D$5:$D$44,MATCH(B1519,Harytlar!$A$5:$A$44,0)),""))</f>
        <v/>
      </c>
    </row>
    <row r="1520" spans="1:7" x14ac:dyDescent="0.3">
      <c r="A1520" s="17"/>
      <c r="B1520" s="18"/>
      <c r="C1520" s="18"/>
      <c r="D1520" s="18"/>
      <c r="E1520" s="10" t="str">
        <f>IF(B1520="","",IFERROR(INDEX(Harytlar!$C$5:$C$44,MATCH(B1520,Harytlar!$A$5:$A$44,0)),""))</f>
        <v/>
      </c>
      <c r="F1520" s="10" t="str">
        <f t="shared" si="23"/>
        <v/>
      </c>
      <c r="G1520" s="10" t="str">
        <f>IF(OR(C1520="",B1520=""),"",IFERROR(C1520*INDEX(Harytlar!$D$5:$D$44,MATCH(B1520,Harytlar!$A$5:$A$44,0)),""))</f>
        <v/>
      </c>
    </row>
    <row r="1521" spans="1:7" x14ac:dyDescent="0.3">
      <c r="A1521" s="17"/>
      <c r="B1521" s="18"/>
      <c r="C1521" s="18"/>
      <c r="D1521" s="18"/>
      <c r="E1521" s="10" t="str">
        <f>IF(B1521="","",IFERROR(INDEX(Harytlar!$C$5:$C$44,MATCH(B1521,Harytlar!$A$5:$A$44,0)),""))</f>
        <v/>
      </c>
      <c r="F1521" s="10" t="str">
        <f t="shared" si="23"/>
        <v/>
      </c>
      <c r="G1521" s="10" t="str">
        <f>IF(OR(C1521="",B1521=""),"",IFERROR(C1521*INDEX(Harytlar!$D$5:$D$44,MATCH(B1521,Harytlar!$A$5:$A$44,0)),""))</f>
        <v/>
      </c>
    </row>
    <row r="1522" spans="1:7" x14ac:dyDescent="0.3">
      <c r="A1522" s="17"/>
      <c r="B1522" s="18"/>
      <c r="C1522" s="18"/>
      <c r="D1522" s="18"/>
      <c r="E1522" s="10" t="str">
        <f>IF(B1522="","",IFERROR(INDEX(Harytlar!$C$5:$C$44,MATCH(B1522,Harytlar!$A$5:$A$44,0)),""))</f>
        <v/>
      </c>
      <c r="F1522" s="10" t="str">
        <f t="shared" si="23"/>
        <v/>
      </c>
      <c r="G1522" s="10" t="str">
        <f>IF(OR(C1522="",B1522=""),"",IFERROR(C1522*INDEX(Harytlar!$D$5:$D$44,MATCH(B1522,Harytlar!$A$5:$A$44,0)),""))</f>
        <v/>
      </c>
    </row>
    <row r="1523" spans="1:7" x14ac:dyDescent="0.3">
      <c r="A1523" s="17"/>
      <c r="B1523" s="18"/>
      <c r="C1523" s="18"/>
      <c r="D1523" s="18"/>
      <c r="E1523" s="10" t="str">
        <f>IF(B1523="","",IFERROR(INDEX(Harytlar!$C$5:$C$44,MATCH(B1523,Harytlar!$A$5:$A$44,0)),""))</f>
        <v/>
      </c>
      <c r="F1523" s="10" t="str">
        <f t="shared" si="23"/>
        <v/>
      </c>
      <c r="G1523" s="10" t="str">
        <f>IF(OR(C1523="",B1523=""),"",IFERROR(C1523*INDEX(Harytlar!$D$5:$D$44,MATCH(B1523,Harytlar!$A$5:$A$44,0)),""))</f>
        <v/>
      </c>
    </row>
    <row r="1524" spans="1:7" x14ac:dyDescent="0.3">
      <c r="A1524" s="17"/>
      <c r="B1524" s="18"/>
      <c r="C1524" s="18"/>
      <c r="D1524" s="18"/>
      <c r="E1524" s="10" t="str">
        <f>IF(B1524="","",IFERROR(INDEX(Harytlar!$C$5:$C$44,MATCH(B1524,Harytlar!$A$5:$A$44,0)),""))</f>
        <v/>
      </c>
      <c r="F1524" s="10" t="str">
        <f t="shared" si="23"/>
        <v/>
      </c>
      <c r="G1524" s="10" t="str">
        <f>IF(OR(C1524="",B1524=""),"",IFERROR(C1524*INDEX(Harytlar!$D$5:$D$44,MATCH(B1524,Harytlar!$A$5:$A$44,0)),""))</f>
        <v/>
      </c>
    </row>
    <row r="1525" spans="1:7" x14ac:dyDescent="0.3">
      <c r="A1525" s="17"/>
      <c r="B1525" s="18"/>
      <c r="C1525" s="18"/>
      <c r="D1525" s="18"/>
      <c r="E1525" s="10" t="str">
        <f>IF(B1525="","",IFERROR(INDEX(Harytlar!$C$5:$C$44,MATCH(B1525,Harytlar!$A$5:$A$44,0)),""))</f>
        <v/>
      </c>
      <c r="F1525" s="10" t="str">
        <f t="shared" si="23"/>
        <v/>
      </c>
      <c r="G1525" s="10" t="str">
        <f>IF(OR(C1525="",B1525=""),"",IFERROR(C1525*INDEX(Harytlar!$D$5:$D$44,MATCH(B1525,Harytlar!$A$5:$A$44,0)),""))</f>
        <v/>
      </c>
    </row>
    <row r="1526" spans="1:7" x14ac:dyDescent="0.3">
      <c r="A1526" s="17"/>
      <c r="B1526" s="18"/>
      <c r="C1526" s="18"/>
      <c r="D1526" s="18"/>
      <c r="E1526" s="10" t="str">
        <f>IF(B1526="","",IFERROR(INDEX(Harytlar!$C$5:$C$44,MATCH(B1526,Harytlar!$A$5:$A$44,0)),""))</f>
        <v/>
      </c>
      <c r="F1526" s="10" t="str">
        <f t="shared" si="23"/>
        <v/>
      </c>
      <c r="G1526" s="10" t="str">
        <f>IF(OR(C1526="",B1526=""),"",IFERROR(C1526*INDEX(Harytlar!$D$5:$D$44,MATCH(B1526,Harytlar!$A$5:$A$44,0)),""))</f>
        <v/>
      </c>
    </row>
    <row r="1527" spans="1:7" x14ac:dyDescent="0.3">
      <c r="A1527" s="17"/>
      <c r="B1527" s="18"/>
      <c r="C1527" s="18"/>
      <c r="D1527" s="18"/>
      <c r="E1527" s="10" t="str">
        <f>IF(B1527="","",IFERROR(INDEX(Harytlar!$C$5:$C$44,MATCH(B1527,Harytlar!$A$5:$A$44,0)),""))</f>
        <v/>
      </c>
      <c r="F1527" s="10" t="str">
        <f t="shared" si="23"/>
        <v/>
      </c>
      <c r="G1527" s="10" t="str">
        <f>IF(OR(C1527="",B1527=""),"",IFERROR(C1527*INDEX(Harytlar!$D$5:$D$44,MATCH(B1527,Harytlar!$A$5:$A$44,0)),""))</f>
        <v/>
      </c>
    </row>
    <row r="1528" spans="1:7" x14ac:dyDescent="0.3">
      <c r="A1528" s="17"/>
      <c r="B1528" s="18"/>
      <c r="C1528" s="18"/>
      <c r="D1528" s="18"/>
      <c r="E1528" s="10" t="str">
        <f>IF(B1528="","",IFERROR(INDEX(Harytlar!$C$5:$C$44,MATCH(B1528,Harytlar!$A$5:$A$44,0)),""))</f>
        <v/>
      </c>
      <c r="F1528" s="10" t="str">
        <f t="shared" si="23"/>
        <v/>
      </c>
      <c r="G1528" s="10" t="str">
        <f>IF(OR(C1528="",B1528=""),"",IFERROR(C1528*INDEX(Harytlar!$D$5:$D$44,MATCH(B1528,Harytlar!$A$5:$A$44,0)),""))</f>
        <v/>
      </c>
    </row>
    <row r="1529" spans="1:7" x14ac:dyDescent="0.3">
      <c r="A1529" s="17"/>
      <c r="B1529" s="18"/>
      <c r="C1529" s="18"/>
      <c r="D1529" s="18"/>
      <c r="E1529" s="10" t="str">
        <f>IF(B1529="","",IFERROR(INDEX(Harytlar!$C$5:$C$44,MATCH(B1529,Harytlar!$A$5:$A$44,0)),""))</f>
        <v/>
      </c>
      <c r="F1529" s="10" t="str">
        <f t="shared" si="23"/>
        <v/>
      </c>
      <c r="G1529" s="10" t="str">
        <f>IF(OR(C1529="",B1529=""),"",IFERROR(C1529*INDEX(Harytlar!$D$5:$D$44,MATCH(B1529,Harytlar!$A$5:$A$44,0)),""))</f>
        <v/>
      </c>
    </row>
    <row r="1530" spans="1:7" x14ac:dyDescent="0.3">
      <c r="A1530" s="17"/>
      <c r="B1530" s="18"/>
      <c r="C1530" s="18"/>
      <c r="D1530" s="18"/>
      <c r="E1530" s="10" t="str">
        <f>IF(B1530="","",IFERROR(INDEX(Harytlar!$C$5:$C$44,MATCH(B1530,Harytlar!$A$5:$A$44,0)),""))</f>
        <v/>
      </c>
      <c r="F1530" s="10" t="str">
        <f t="shared" si="23"/>
        <v/>
      </c>
      <c r="G1530" s="10" t="str">
        <f>IF(OR(C1530="",B1530=""),"",IFERROR(C1530*INDEX(Harytlar!$D$5:$D$44,MATCH(B1530,Harytlar!$A$5:$A$44,0)),""))</f>
        <v/>
      </c>
    </row>
    <row r="1531" spans="1:7" x14ac:dyDescent="0.3">
      <c r="A1531" s="17"/>
      <c r="B1531" s="18"/>
      <c r="C1531" s="18"/>
      <c r="D1531" s="18"/>
      <c r="E1531" s="10" t="str">
        <f>IF(B1531="","",IFERROR(INDEX(Harytlar!$C$5:$C$44,MATCH(B1531,Harytlar!$A$5:$A$44,0)),""))</f>
        <v/>
      </c>
      <c r="F1531" s="10" t="str">
        <f t="shared" si="23"/>
        <v/>
      </c>
      <c r="G1531" s="10" t="str">
        <f>IF(OR(C1531="",B1531=""),"",IFERROR(C1531*INDEX(Harytlar!$D$5:$D$44,MATCH(B1531,Harytlar!$A$5:$A$44,0)),""))</f>
        <v/>
      </c>
    </row>
    <row r="1532" spans="1:7" x14ac:dyDescent="0.3">
      <c r="A1532" s="17"/>
      <c r="B1532" s="18"/>
      <c r="C1532" s="18"/>
      <c r="D1532" s="18"/>
      <c r="E1532" s="10" t="str">
        <f>IF(B1532="","",IFERROR(INDEX(Harytlar!$C$5:$C$44,MATCH(B1532,Harytlar!$A$5:$A$44,0)),""))</f>
        <v/>
      </c>
      <c r="F1532" s="10" t="str">
        <f t="shared" si="23"/>
        <v/>
      </c>
      <c r="G1532" s="10" t="str">
        <f>IF(OR(C1532="",B1532=""),"",IFERROR(C1532*INDEX(Harytlar!$D$5:$D$44,MATCH(B1532,Harytlar!$A$5:$A$44,0)),""))</f>
        <v/>
      </c>
    </row>
    <row r="1533" spans="1:7" x14ac:dyDescent="0.3">
      <c r="A1533" s="17"/>
      <c r="B1533" s="18"/>
      <c r="C1533" s="18"/>
      <c r="D1533" s="18"/>
      <c r="E1533" s="10" t="str">
        <f>IF(B1533="","",IFERROR(INDEX(Harytlar!$C$5:$C$44,MATCH(B1533,Harytlar!$A$5:$A$44,0)),""))</f>
        <v/>
      </c>
      <c r="F1533" s="10" t="str">
        <f t="shared" si="23"/>
        <v/>
      </c>
      <c r="G1533" s="10" t="str">
        <f>IF(OR(C1533="",B1533=""),"",IFERROR(C1533*INDEX(Harytlar!$D$5:$D$44,MATCH(B1533,Harytlar!$A$5:$A$44,0)),""))</f>
        <v/>
      </c>
    </row>
    <row r="1534" spans="1:7" x14ac:dyDescent="0.3">
      <c r="A1534" s="17"/>
      <c r="B1534" s="18"/>
      <c r="C1534" s="18"/>
      <c r="D1534" s="18"/>
      <c r="E1534" s="10" t="str">
        <f>IF(B1534="","",IFERROR(INDEX(Harytlar!$C$5:$C$44,MATCH(B1534,Harytlar!$A$5:$A$44,0)),""))</f>
        <v/>
      </c>
      <c r="F1534" s="10" t="str">
        <f t="shared" si="23"/>
        <v/>
      </c>
      <c r="G1534" s="10" t="str">
        <f>IF(OR(C1534="",B1534=""),"",IFERROR(C1534*INDEX(Harytlar!$D$5:$D$44,MATCH(B1534,Harytlar!$A$5:$A$44,0)),""))</f>
        <v/>
      </c>
    </row>
    <row r="1535" spans="1:7" x14ac:dyDescent="0.3">
      <c r="A1535" s="17"/>
      <c r="B1535" s="18"/>
      <c r="C1535" s="18"/>
      <c r="D1535" s="18"/>
      <c r="E1535" s="10" t="str">
        <f>IF(B1535="","",IFERROR(INDEX(Harytlar!$C$5:$C$44,MATCH(B1535,Harytlar!$A$5:$A$44,0)),""))</f>
        <v/>
      </c>
      <c r="F1535" s="10" t="str">
        <f t="shared" si="23"/>
        <v/>
      </c>
      <c r="G1535" s="10" t="str">
        <f>IF(OR(C1535="",B1535=""),"",IFERROR(C1535*INDEX(Harytlar!$D$5:$D$44,MATCH(B1535,Harytlar!$A$5:$A$44,0)),""))</f>
        <v/>
      </c>
    </row>
    <row r="1536" spans="1:7" x14ac:dyDescent="0.3">
      <c r="A1536" s="17"/>
      <c r="B1536" s="18"/>
      <c r="C1536" s="18"/>
      <c r="D1536" s="18"/>
      <c r="E1536" s="10" t="str">
        <f>IF(B1536="","",IFERROR(INDEX(Harytlar!$C$5:$C$44,MATCH(B1536,Harytlar!$A$5:$A$44,0)),""))</f>
        <v/>
      </c>
      <c r="F1536" s="10" t="str">
        <f t="shared" si="23"/>
        <v/>
      </c>
      <c r="G1536" s="10" t="str">
        <f>IF(OR(C1536="",B1536=""),"",IFERROR(C1536*INDEX(Harytlar!$D$5:$D$44,MATCH(B1536,Harytlar!$A$5:$A$44,0)),""))</f>
        <v/>
      </c>
    </row>
    <row r="1537" spans="1:7" x14ac:dyDescent="0.3">
      <c r="A1537" s="17"/>
      <c r="B1537" s="18"/>
      <c r="C1537" s="18"/>
      <c r="D1537" s="18"/>
      <c r="E1537" s="10" t="str">
        <f>IF(B1537="","",IFERROR(INDEX(Harytlar!$C$5:$C$44,MATCH(B1537,Harytlar!$A$5:$A$44,0)),""))</f>
        <v/>
      </c>
      <c r="F1537" s="10" t="str">
        <f t="shared" si="23"/>
        <v/>
      </c>
      <c r="G1537" s="10" t="str">
        <f>IF(OR(C1537="",B1537=""),"",IFERROR(C1537*INDEX(Harytlar!$D$5:$D$44,MATCH(B1537,Harytlar!$A$5:$A$44,0)),""))</f>
        <v/>
      </c>
    </row>
    <row r="1538" spans="1:7" x14ac:dyDescent="0.3">
      <c r="A1538" s="17"/>
      <c r="B1538" s="18"/>
      <c r="C1538" s="18"/>
      <c r="D1538" s="18"/>
      <c r="E1538" s="10" t="str">
        <f>IF(B1538="","",IFERROR(INDEX(Harytlar!$C$5:$C$44,MATCH(B1538,Harytlar!$A$5:$A$44,0)),""))</f>
        <v/>
      </c>
      <c r="F1538" s="10" t="str">
        <f t="shared" si="23"/>
        <v/>
      </c>
      <c r="G1538" s="10" t="str">
        <f>IF(OR(C1538="",B1538=""),"",IFERROR(C1538*INDEX(Harytlar!$D$5:$D$44,MATCH(B1538,Harytlar!$A$5:$A$44,0)),""))</f>
        <v/>
      </c>
    </row>
    <row r="1539" spans="1:7" x14ac:dyDescent="0.3">
      <c r="A1539" s="17"/>
      <c r="B1539" s="18"/>
      <c r="C1539" s="18"/>
      <c r="D1539" s="18"/>
      <c r="E1539" s="10" t="str">
        <f>IF(B1539="","",IFERROR(INDEX(Harytlar!$C$5:$C$44,MATCH(B1539,Harytlar!$A$5:$A$44,0)),""))</f>
        <v/>
      </c>
      <c r="F1539" s="10" t="str">
        <f t="shared" si="23"/>
        <v/>
      </c>
      <c r="G1539" s="10" t="str">
        <f>IF(OR(C1539="",B1539=""),"",IFERROR(C1539*INDEX(Harytlar!$D$5:$D$44,MATCH(B1539,Harytlar!$A$5:$A$44,0)),""))</f>
        <v/>
      </c>
    </row>
    <row r="1540" spans="1:7" x14ac:dyDescent="0.3">
      <c r="A1540" s="17"/>
      <c r="B1540" s="18"/>
      <c r="C1540" s="18"/>
      <c r="D1540" s="18"/>
      <c r="E1540" s="10" t="str">
        <f>IF(B1540="","",IFERROR(INDEX(Harytlar!$C$5:$C$44,MATCH(B1540,Harytlar!$A$5:$A$44,0)),""))</f>
        <v/>
      </c>
      <c r="F1540" s="10" t="str">
        <f t="shared" si="23"/>
        <v/>
      </c>
      <c r="G1540" s="10" t="str">
        <f>IF(OR(C1540="",B1540=""),"",IFERROR(C1540*INDEX(Harytlar!$D$5:$D$44,MATCH(B1540,Harytlar!$A$5:$A$44,0)),""))</f>
        <v/>
      </c>
    </row>
    <row r="1541" spans="1:7" x14ac:dyDescent="0.3">
      <c r="A1541" s="17"/>
      <c r="B1541" s="18"/>
      <c r="C1541" s="18"/>
      <c r="D1541" s="18"/>
      <c r="E1541" s="10" t="str">
        <f>IF(B1541="","",IFERROR(INDEX(Harytlar!$C$5:$C$44,MATCH(B1541,Harytlar!$A$5:$A$44,0)),""))</f>
        <v/>
      </c>
      <c r="F1541" s="10" t="str">
        <f t="shared" si="23"/>
        <v/>
      </c>
      <c r="G1541" s="10" t="str">
        <f>IF(OR(C1541="",B1541=""),"",IFERROR(C1541*INDEX(Harytlar!$D$5:$D$44,MATCH(B1541,Harytlar!$A$5:$A$44,0)),""))</f>
        <v/>
      </c>
    </row>
    <row r="1542" spans="1:7" x14ac:dyDescent="0.3">
      <c r="A1542" s="17"/>
      <c r="B1542" s="18"/>
      <c r="C1542" s="18"/>
      <c r="D1542" s="18"/>
      <c r="E1542" s="10" t="str">
        <f>IF(B1542="","",IFERROR(INDEX(Harytlar!$C$5:$C$44,MATCH(B1542,Harytlar!$A$5:$A$44,0)),""))</f>
        <v/>
      </c>
      <c r="F1542" s="10" t="str">
        <f t="shared" ref="F1542:F1605" si="24">IF(OR(C1542="",E1542=""),"",C1542*E1542)</f>
        <v/>
      </c>
      <c r="G1542" s="10" t="str">
        <f>IF(OR(C1542="",B1542=""),"",IFERROR(C1542*INDEX(Harytlar!$D$5:$D$44,MATCH(B1542,Harytlar!$A$5:$A$44,0)),""))</f>
        <v/>
      </c>
    </row>
    <row r="1543" spans="1:7" x14ac:dyDescent="0.3">
      <c r="A1543" s="17"/>
      <c r="B1543" s="18"/>
      <c r="C1543" s="18"/>
      <c r="D1543" s="18"/>
      <c r="E1543" s="10" t="str">
        <f>IF(B1543="","",IFERROR(INDEX(Harytlar!$C$5:$C$44,MATCH(B1543,Harytlar!$A$5:$A$44,0)),""))</f>
        <v/>
      </c>
      <c r="F1543" s="10" t="str">
        <f t="shared" si="24"/>
        <v/>
      </c>
      <c r="G1543" s="10" t="str">
        <f>IF(OR(C1543="",B1543=""),"",IFERROR(C1543*INDEX(Harytlar!$D$5:$D$44,MATCH(B1543,Harytlar!$A$5:$A$44,0)),""))</f>
        <v/>
      </c>
    </row>
    <row r="1544" spans="1:7" x14ac:dyDescent="0.3">
      <c r="A1544" s="17"/>
      <c r="B1544" s="18"/>
      <c r="C1544" s="18"/>
      <c r="D1544" s="18"/>
      <c r="E1544" s="10" t="str">
        <f>IF(B1544="","",IFERROR(INDEX(Harytlar!$C$5:$C$44,MATCH(B1544,Harytlar!$A$5:$A$44,0)),""))</f>
        <v/>
      </c>
      <c r="F1544" s="10" t="str">
        <f t="shared" si="24"/>
        <v/>
      </c>
      <c r="G1544" s="10" t="str">
        <f>IF(OR(C1544="",B1544=""),"",IFERROR(C1544*INDEX(Harytlar!$D$5:$D$44,MATCH(B1544,Harytlar!$A$5:$A$44,0)),""))</f>
        <v/>
      </c>
    </row>
    <row r="1545" spans="1:7" x14ac:dyDescent="0.3">
      <c r="A1545" s="17"/>
      <c r="B1545" s="18"/>
      <c r="C1545" s="18"/>
      <c r="D1545" s="18"/>
      <c r="E1545" s="10" t="str">
        <f>IF(B1545="","",IFERROR(INDEX(Harytlar!$C$5:$C$44,MATCH(B1545,Harytlar!$A$5:$A$44,0)),""))</f>
        <v/>
      </c>
      <c r="F1545" s="10" t="str">
        <f t="shared" si="24"/>
        <v/>
      </c>
      <c r="G1545" s="10" t="str">
        <f>IF(OR(C1545="",B1545=""),"",IFERROR(C1545*INDEX(Harytlar!$D$5:$D$44,MATCH(B1545,Harytlar!$A$5:$A$44,0)),""))</f>
        <v/>
      </c>
    </row>
    <row r="1546" spans="1:7" x14ac:dyDescent="0.3">
      <c r="A1546" s="17"/>
      <c r="B1546" s="18"/>
      <c r="C1546" s="18"/>
      <c r="D1546" s="18"/>
      <c r="E1546" s="10" t="str">
        <f>IF(B1546="","",IFERROR(INDEX(Harytlar!$C$5:$C$44,MATCH(B1546,Harytlar!$A$5:$A$44,0)),""))</f>
        <v/>
      </c>
      <c r="F1546" s="10" t="str">
        <f t="shared" si="24"/>
        <v/>
      </c>
      <c r="G1546" s="10" t="str">
        <f>IF(OR(C1546="",B1546=""),"",IFERROR(C1546*INDEX(Harytlar!$D$5:$D$44,MATCH(B1546,Harytlar!$A$5:$A$44,0)),""))</f>
        <v/>
      </c>
    </row>
    <row r="1547" spans="1:7" x14ac:dyDescent="0.3">
      <c r="A1547" s="17"/>
      <c r="B1547" s="18"/>
      <c r="C1547" s="18"/>
      <c r="D1547" s="18"/>
      <c r="E1547" s="10" t="str">
        <f>IF(B1547="","",IFERROR(INDEX(Harytlar!$C$5:$C$44,MATCH(B1547,Harytlar!$A$5:$A$44,0)),""))</f>
        <v/>
      </c>
      <c r="F1547" s="10" t="str">
        <f t="shared" si="24"/>
        <v/>
      </c>
      <c r="G1547" s="10" t="str">
        <f>IF(OR(C1547="",B1547=""),"",IFERROR(C1547*INDEX(Harytlar!$D$5:$D$44,MATCH(B1547,Harytlar!$A$5:$A$44,0)),""))</f>
        <v/>
      </c>
    </row>
    <row r="1548" spans="1:7" x14ac:dyDescent="0.3">
      <c r="A1548" s="17"/>
      <c r="B1548" s="18"/>
      <c r="C1548" s="18"/>
      <c r="D1548" s="18"/>
      <c r="E1548" s="10" t="str">
        <f>IF(B1548="","",IFERROR(INDEX(Harytlar!$C$5:$C$44,MATCH(B1548,Harytlar!$A$5:$A$44,0)),""))</f>
        <v/>
      </c>
      <c r="F1548" s="10" t="str">
        <f t="shared" si="24"/>
        <v/>
      </c>
      <c r="G1548" s="10" t="str">
        <f>IF(OR(C1548="",B1548=""),"",IFERROR(C1548*INDEX(Harytlar!$D$5:$D$44,MATCH(B1548,Harytlar!$A$5:$A$44,0)),""))</f>
        <v/>
      </c>
    </row>
    <row r="1549" spans="1:7" x14ac:dyDescent="0.3">
      <c r="A1549" s="17"/>
      <c r="B1549" s="18"/>
      <c r="C1549" s="18"/>
      <c r="D1549" s="18"/>
      <c r="E1549" s="10" t="str">
        <f>IF(B1549="","",IFERROR(INDEX(Harytlar!$C$5:$C$44,MATCH(B1549,Harytlar!$A$5:$A$44,0)),""))</f>
        <v/>
      </c>
      <c r="F1549" s="10" t="str">
        <f t="shared" si="24"/>
        <v/>
      </c>
      <c r="G1549" s="10" t="str">
        <f>IF(OR(C1549="",B1549=""),"",IFERROR(C1549*INDEX(Harytlar!$D$5:$D$44,MATCH(B1549,Harytlar!$A$5:$A$44,0)),""))</f>
        <v/>
      </c>
    </row>
    <row r="1550" spans="1:7" x14ac:dyDescent="0.3">
      <c r="A1550" s="17"/>
      <c r="B1550" s="18"/>
      <c r="C1550" s="18"/>
      <c r="D1550" s="18"/>
      <c r="E1550" s="10" t="str">
        <f>IF(B1550="","",IFERROR(INDEX(Harytlar!$C$5:$C$44,MATCH(B1550,Harytlar!$A$5:$A$44,0)),""))</f>
        <v/>
      </c>
      <c r="F1550" s="10" t="str">
        <f t="shared" si="24"/>
        <v/>
      </c>
      <c r="G1550" s="10" t="str">
        <f>IF(OR(C1550="",B1550=""),"",IFERROR(C1550*INDEX(Harytlar!$D$5:$D$44,MATCH(B1550,Harytlar!$A$5:$A$44,0)),""))</f>
        <v/>
      </c>
    </row>
    <row r="1551" spans="1:7" x14ac:dyDescent="0.3">
      <c r="A1551" s="17"/>
      <c r="B1551" s="18"/>
      <c r="C1551" s="18"/>
      <c r="D1551" s="18"/>
      <c r="E1551" s="10" t="str">
        <f>IF(B1551="","",IFERROR(INDEX(Harytlar!$C$5:$C$44,MATCH(B1551,Harytlar!$A$5:$A$44,0)),""))</f>
        <v/>
      </c>
      <c r="F1551" s="10" t="str">
        <f t="shared" si="24"/>
        <v/>
      </c>
      <c r="G1551" s="10" t="str">
        <f>IF(OR(C1551="",B1551=""),"",IFERROR(C1551*INDEX(Harytlar!$D$5:$D$44,MATCH(B1551,Harytlar!$A$5:$A$44,0)),""))</f>
        <v/>
      </c>
    </row>
    <row r="1552" spans="1:7" x14ac:dyDescent="0.3">
      <c r="A1552" s="17"/>
      <c r="B1552" s="18"/>
      <c r="C1552" s="18"/>
      <c r="D1552" s="18"/>
      <c r="E1552" s="10" t="str">
        <f>IF(B1552="","",IFERROR(INDEX(Harytlar!$C$5:$C$44,MATCH(B1552,Harytlar!$A$5:$A$44,0)),""))</f>
        <v/>
      </c>
      <c r="F1552" s="10" t="str">
        <f t="shared" si="24"/>
        <v/>
      </c>
      <c r="G1552" s="10" t="str">
        <f>IF(OR(C1552="",B1552=""),"",IFERROR(C1552*INDEX(Harytlar!$D$5:$D$44,MATCH(B1552,Harytlar!$A$5:$A$44,0)),""))</f>
        <v/>
      </c>
    </row>
    <row r="1553" spans="1:7" x14ac:dyDescent="0.3">
      <c r="A1553" s="17"/>
      <c r="B1553" s="18"/>
      <c r="C1553" s="18"/>
      <c r="D1553" s="18"/>
      <c r="E1553" s="10" t="str">
        <f>IF(B1553="","",IFERROR(INDEX(Harytlar!$C$5:$C$44,MATCH(B1553,Harytlar!$A$5:$A$44,0)),""))</f>
        <v/>
      </c>
      <c r="F1553" s="10" t="str">
        <f t="shared" si="24"/>
        <v/>
      </c>
      <c r="G1553" s="10" t="str">
        <f>IF(OR(C1553="",B1553=""),"",IFERROR(C1553*INDEX(Harytlar!$D$5:$D$44,MATCH(B1553,Harytlar!$A$5:$A$44,0)),""))</f>
        <v/>
      </c>
    </row>
    <row r="1554" spans="1:7" x14ac:dyDescent="0.3">
      <c r="A1554" s="17"/>
      <c r="B1554" s="18"/>
      <c r="C1554" s="18"/>
      <c r="D1554" s="18"/>
      <c r="E1554" s="10" t="str">
        <f>IF(B1554="","",IFERROR(INDEX(Harytlar!$C$5:$C$44,MATCH(B1554,Harytlar!$A$5:$A$44,0)),""))</f>
        <v/>
      </c>
      <c r="F1554" s="10" t="str">
        <f t="shared" si="24"/>
        <v/>
      </c>
      <c r="G1554" s="10" t="str">
        <f>IF(OR(C1554="",B1554=""),"",IFERROR(C1554*INDEX(Harytlar!$D$5:$D$44,MATCH(B1554,Harytlar!$A$5:$A$44,0)),""))</f>
        <v/>
      </c>
    </row>
    <row r="1555" spans="1:7" x14ac:dyDescent="0.3">
      <c r="A1555" s="17"/>
      <c r="B1555" s="18"/>
      <c r="C1555" s="18"/>
      <c r="D1555" s="18"/>
      <c r="E1555" s="10" t="str">
        <f>IF(B1555="","",IFERROR(INDEX(Harytlar!$C$5:$C$44,MATCH(B1555,Harytlar!$A$5:$A$44,0)),""))</f>
        <v/>
      </c>
      <c r="F1555" s="10" t="str">
        <f t="shared" si="24"/>
        <v/>
      </c>
      <c r="G1555" s="10" t="str">
        <f>IF(OR(C1555="",B1555=""),"",IFERROR(C1555*INDEX(Harytlar!$D$5:$D$44,MATCH(B1555,Harytlar!$A$5:$A$44,0)),""))</f>
        <v/>
      </c>
    </row>
    <row r="1556" spans="1:7" x14ac:dyDescent="0.3">
      <c r="A1556" s="17"/>
      <c r="B1556" s="18"/>
      <c r="C1556" s="18"/>
      <c r="D1556" s="18"/>
      <c r="E1556" s="10" t="str">
        <f>IF(B1556="","",IFERROR(INDEX(Harytlar!$C$5:$C$44,MATCH(B1556,Harytlar!$A$5:$A$44,0)),""))</f>
        <v/>
      </c>
      <c r="F1556" s="10" t="str">
        <f t="shared" si="24"/>
        <v/>
      </c>
      <c r="G1556" s="10" t="str">
        <f>IF(OR(C1556="",B1556=""),"",IFERROR(C1556*INDEX(Harytlar!$D$5:$D$44,MATCH(B1556,Harytlar!$A$5:$A$44,0)),""))</f>
        <v/>
      </c>
    </row>
    <row r="1557" spans="1:7" x14ac:dyDescent="0.3">
      <c r="A1557" s="17"/>
      <c r="B1557" s="18"/>
      <c r="C1557" s="18"/>
      <c r="D1557" s="18"/>
      <c r="E1557" s="10" t="str">
        <f>IF(B1557="","",IFERROR(INDEX(Harytlar!$C$5:$C$44,MATCH(B1557,Harytlar!$A$5:$A$44,0)),""))</f>
        <v/>
      </c>
      <c r="F1557" s="10" t="str">
        <f t="shared" si="24"/>
        <v/>
      </c>
      <c r="G1557" s="10" t="str">
        <f>IF(OR(C1557="",B1557=""),"",IFERROR(C1557*INDEX(Harytlar!$D$5:$D$44,MATCH(B1557,Harytlar!$A$5:$A$44,0)),""))</f>
        <v/>
      </c>
    </row>
    <row r="1558" spans="1:7" x14ac:dyDescent="0.3">
      <c r="A1558" s="17"/>
      <c r="B1558" s="18"/>
      <c r="C1558" s="18"/>
      <c r="D1558" s="18"/>
      <c r="E1558" s="10" t="str">
        <f>IF(B1558="","",IFERROR(INDEX(Harytlar!$C$5:$C$44,MATCH(B1558,Harytlar!$A$5:$A$44,0)),""))</f>
        <v/>
      </c>
      <c r="F1558" s="10" t="str">
        <f t="shared" si="24"/>
        <v/>
      </c>
      <c r="G1558" s="10" t="str">
        <f>IF(OR(C1558="",B1558=""),"",IFERROR(C1558*INDEX(Harytlar!$D$5:$D$44,MATCH(B1558,Harytlar!$A$5:$A$44,0)),""))</f>
        <v/>
      </c>
    </row>
    <row r="1559" spans="1:7" x14ac:dyDescent="0.3">
      <c r="A1559" s="17"/>
      <c r="B1559" s="18"/>
      <c r="C1559" s="18"/>
      <c r="D1559" s="18"/>
      <c r="E1559" s="10" t="str">
        <f>IF(B1559="","",IFERROR(INDEX(Harytlar!$C$5:$C$44,MATCH(B1559,Harytlar!$A$5:$A$44,0)),""))</f>
        <v/>
      </c>
      <c r="F1559" s="10" t="str">
        <f t="shared" si="24"/>
        <v/>
      </c>
      <c r="G1559" s="10" t="str">
        <f>IF(OR(C1559="",B1559=""),"",IFERROR(C1559*INDEX(Harytlar!$D$5:$D$44,MATCH(B1559,Harytlar!$A$5:$A$44,0)),""))</f>
        <v/>
      </c>
    </row>
    <row r="1560" spans="1:7" x14ac:dyDescent="0.3">
      <c r="A1560" s="17"/>
      <c r="B1560" s="18"/>
      <c r="C1560" s="18"/>
      <c r="D1560" s="18"/>
      <c r="E1560" s="10" t="str">
        <f>IF(B1560="","",IFERROR(INDEX(Harytlar!$C$5:$C$44,MATCH(B1560,Harytlar!$A$5:$A$44,0)),""))</f>
        <v/>
      </c>
      <c r="F1560" s="10" t="str">
        <f t="shared" si="24"/>
        <v/>
      </c>
      <c r="G1560" s="10" t="str">
        <f>IF(OR(C1560="",B1560=""),"",IFERROR(C1560*INDEX(Harytlar!$D$5:$D$44,MATCH(B1560,Harytlar!$A$5:$A$44,0)),""))</f>
        <v/>
      </c>
    </row>
    <row r="1561" spans="1:7" x14ac:dyDescent="0.3">
      <c r="A1561" s="17"/>
      <c r="B1561" s="18"/>
      <c r="C1561" s="18"/>
      <c r="D1561" s="18"/>
      <c r="E1561" s="10" t="str">
        <f>IF(B1561="","",IFERROR(INDEX(Harytlar!$C$5:$C$44,MATCH(B1561,Harytlar!$A$5:$A$44,0)),""))</f>
        <v/>
      </c>
      <c r="F1561" s="10" t="str">
        <f t="shared" si="24"/>
        <v/>
      </c>
      <c r="G1561" s="10" t="str">
        <f>IF(OR(C1561="",B1561=""),"",IFERROR(C1561*INDEX(Harytlar!$D$5:$D$44,MATCH(B1561,Harytlar!$A$5:$A$44,0)),""))</f>
        <v/>
      </c>
    </row>
    <row r="1562" spans="1:7" x14ac:dyDescent="0.3">
      <c r="A1562" s="17"/>
      <c r="B1562" s="18"/>
      <c r="C1562" s="18"/>
      <c r="D1562" s="18"/>
      <c r="E1562" s="10" t="str">
        <f>IF(B1562="","",IFERROR(INDEX(Harytlar!$C$5:$C$44,MATCH(B1562,Harytlar!$A$5:$A$44,0)),""))</f>
        <v/>
      </c>
      <c r="F1562" s="10" t="str">
        <f t="shared" si="24"/>
        <v/>
      </c>
      <c r="G1562" s="10" t="str">
        <f>IF(OR(C1562="",B1562=""),"",IFERROR(C1562*INDEX(Harytlar!$D$5:$D$44,MATCH(B1562,Harytlar!$A$5:$A$44,0)),""))</f>
        <v/>
      </c>
    </row>
    <row r="1563" spans="1:7" x14ac:dyDescent="0.3">
      <c r="A1563" s="17"/>
      <c r="B1563" s="18"/>
      <c r="C1563" s="18"/>
      <c r="D1563" s="18"/>
      <c r="E1563" s="10" t="str">
        <f>IF(B1563="","",IFERROR(INDEX(Harytlar!$C$5:$C$44,MATCH(B1563,Harytlar!$A$5:$A$44,0)),""))</f>
        <v/>
      </c>
      <c r="F1563" s="10" t="str">
        <f t="shared" si="24"/>
        <v/>
      </c>
      <c r="G1563" s="10" t="str">
        <f>IF(OR(C1563="",B1563=""),"",IFERROR(C1563*INDEX(Harytlar!$D$5:$D$44,MATCH(B1563,Harytlar!$A$5:$A$44,0)),""))</f>
        <v/>
      </c>
    </row>
    <row r="1564" spans="1:7" x14ac:dyDescent="0.3">
      <c r="A1564" s="17"/>
      <c r="B1564" s="18"/>
      <c r="C1564" s="18"/>
      <c r="D1564" s="18"/>
      <c r="E1564" s="10" t="str">
        <f>IF(B1564="","",IFERROR(INDEX(Harytlar!$C$5:$C$44,MATCH(B1564,Harytlar!$A$5:$A$44,0)),""))</f>
        <v/>
      </c>
      <c r="F1564" s="10" t="str">
        <f t="shared" si="24"/>
        <v/>
      </c>
      <c r="G1564" s="10" t="str">
        <f>IF(OR(C1564="",B1564=""),"",IFERROR(C1564*INDEX(Harytlar!$D$5:$D$44,MATCH(B1564,Harytlar!$A$5:$A$44,0)),""))</f>
        <v/>
      </c>
    </row>
    <row r="1565" spans="1:7" x14ac:dyDescent="0.3">
      <c r="A1565" s="17"/>
      <c r="B1565" s="18"/>
      <c r="C1565" s="18"/>
      <c r="D1565" s="18"/>
      <c r="E1565" s="10" t="str">
        <f>IF(B1565="","",IFERROR(INDEX(Harytlar!$C$5:$C$44,MATCH(B1565,Harytlar!$A$5:$A$44,0)),""))</f>
        <v/>
      </c>
      <c r="F1565" s="10" t="str">
        <f t="shared" si="24"/>
        <v/>
      </c>
      <c r="G1565" s="10" t="str">
        <f>IF(OR(C1565="",B1565=""),"",IFERROR(C1565*INDEX(Harytlar!$D$5:$D$44,MATCH(B1565,Harytlar!$A$5:$A$44,0)),""))</f>
        <v/>
      </c>
    </row>
    <row r="1566" spans="1:7" x14ac:dyDescent="0.3">
      <c r="A1566" s="17"/>
      <c r="B1566" s="18"/>
      <c r="C1566" s="18"/>
      <c r="D1566" s="18"/>
      <c r="E1566" s="10" t="str">
        <f>IF(B1566="","",IFERROR(INDEX(Harytlar!$C$5:$C$44,MATCH(B1566,Harytlar!$A$5:$A$44,0)),""))</f>
        <v/>
      </c>
      <c r="F1566" s="10" t="str">
        <f t="shared" si="24"/>
        <v/>
      </c>
      <c r="G1566" s="10" t="str">
        <f>IF(OR(C1566="",B1566=""),"",IFERROR(C1566*INDEX(Harytlar!$D$5:$D$44,MATCH(B1566,Harytlar!$A$5:$A$44,0)),""))</f>
        <v/>
      </c>
    </row>
    <row r="1567" spans="1:7" x14ac:dyDescent="0.3">
      <c r="A1567" s="17"/>
      <c r="B1567" s="18"/>
      <c r="C1567" s="18"/>
      <c r="D1567" s="18"/>
      <c r="E1567" s="10" t="str">
        <f>IF(B1567="","",IFERROR(INDEX(Harytlar!$C$5:$C$44,MATCH(B1567,Harytlar!$A$5:$A$44,0)),""))</f>
        <v/>
      </c>
      <c r="F1567" s="10" t="str">
        <f t="shared" si="24"/>
        <v/>
      </c>
      <c r="G1567" s="10" t="str">
        <f>IF(OR(C1567="",B1567=""),"",IFERROR(C1567*INDEX(Harytlar!$D$5:$D$44,MATCH(B1567,Harytlar!$A$5:$A$44,0)),""))</f>
        <v/>
      </c>
    </row>
    <row r="1568" spans="1:7" x14ac:dyDescent="0.3">
      <c r="A1568" s="17"/>
      <c r="B1568" s="18"/>
      <c r="C1568" s="18"/>
      <c r="D1568" s="18"/>
      <c r="E1568" s="10" t="str">
        <f>IF(B1568="","",IFERROR(INDEX(Harytlar!$C$5:$C$44,MATCH(B1568,Harytlar!$A$5:$A$44,0)),""))</f>
        <v/>
      </c>
      <c r="F1568" s="10" t="str">
        <f t="shared" si="24"/>
        <v/>
      </c>
      <c r="G1568" s="10" t="str">
        <f>IF(OR(C1568="",B1568=""),"",IFERROR(C1568*INDEX(Harytlar!$D$5:$D$44,MATCH(B1568,Harytlar!$A$5:$A$44,0)),""))</f>
        <v/>
      </c>
    </row>
    <row r="1569" spans="1:7" x14ac:dyDescent="0.3">
      <c r="A1569" s="17"/>
      <c r="B1569" s="18"/>
      <c r="C1569" s="18"/>
      <c r="D1569" s="18"/>
      <c r="E1569" s="10" t="str">
        <f>IF(B1569="","",IFERROR(INDEX(Harytlar!$C$5:$C$44,MATCH(B1569,Harytlar!$A$5:$A$44,0)),""))</f>
        <v/>
      </c>
      <c r="F1569" s="10" t="str">
        <f t="shared" si="24"/>
        <v/>
      </c>
      <c r="G1569" s="10" t="str">
        <f>IF(OR(C1569="",B1569=""),"",IFERROR(C1569*INDEX(Harytlar!$D$5:$D$44,MATCH(B1569,Harytlar!$A$5:$A$44,0)),""))</f>
        <v/>
      </c>
    </row>
    <row r="1570" spans="1:7" x14ac:dyDescent="0.3">
      <c r="A1570" s="17"/>
      <c r="B1570" s="18"/>
      <c r="C1570" s="18"/>
      <c r="D1570" s="18"/>
      <c r="E1570" s="10" t="str">
        <f>IF(B1570="","",IFERROR(INDEX(Harytlar!$C$5:$C$44,MATCH(B1570,Harytlar!$A$5:$A$44,0)),""))</f>
        <v/>
      </c>
      <c r="F1570" s="10" t="str">
        <f t="shared" si="24"/>
        <v/>
      </c>
      <c r="G1570" s="10" t="str">
        <f>IF(OR(C1570="",B1570=""),"",IFERROR(C1570*INDEX(Harytlar!$D$5:$D$44,MATCH(B1570,Harytlar!$A$5:$A$44,0)),""))</f>
        <v/>
      </c>
    </row>
    <row r="1571" spans="1:7" x14ac:dyDescent="0.3">
      <c r="A1571" s="17"/>
      <c r="B1571" s="18"/>
      <c r="C1571" s="18"/>
      <c r="D1571" s="18"/>
      <c r="E1571" s="10" t="str">
        <f>IF(B1571="","",IFERROR(INDEX(Harytlar!$C$5:$C$44,MATCH(B1571,Harytlar!$A$5:$A$44,0)),""))</f>
        <v/>
      </c>
      <c r="F1571" s="10" t="str">
        <f t="shared" si="24"/>
        <v/>
      </c>
      <c r="G1571" s="10" t="str">
        <f>IF(OR(C1571="",B1571=""),"",IFERROR(C1571*INDEX(Harytlar!$D$5:$D$44,MATCH(B1571,Harytlar!$A$5:$A$44,0)),""))</f>
        <v/>
      </c>
    </row>
    <row r="1572" spans="1:7" x14ac:dyDescent="0.3">
      <c r="A1572" s="17"/>
      <c r="B1572" s="18"/>
      <c r="C1572" s="18"/>
      <c r="D1572" s="18"/>
      <c r="E1572" s="10" t="str">
        <f>IF(B1572="","",IFERROR(INDEX(Harytlar!$C$5:$C$44,MATCH(B1572,Harytlar!$A$5:$A$44,0)),""))</f>
        <v/>
      </c>
      <c r="F1572" s="10" t="str">
        <f t="shared" si="24"/>
        <v/>
      </c>
      <c r="G1572" s="10" t="str">
        <f>IF(OR(C1572="",B1572=""),"",IFERROR(C1572*INDEX(Harytlar!$D$5:$D$44,MATCH(B1572,Harytlar!$A$5:$A$44,0)),""))</f>
        <v/>
      </c>
    </row>
    <row r="1573" spans="1:7" x14ac:dyDescent="0.3">
      <c r="A1573" s="17"/>
      <c r="B1573" s="18"/>
      <c r="C1573" s="18"/>
      <c r="D1573" s="18"/>
      <c r="E1573" s="10" t="str">
        <f>IF(B1573="","",IFERROR(INDEX(Harytlar!$C$5:$C$44,MATCH(B1573,Harytlar!$A$5:$A$44,0)),""))</f>
        <v/>
      </c>
      <c r="F1573" s="10" t="str">
        <f t="shared" si="24"/>
        <v/>
      </c>
      <c r="G1573" s="10" t="str">
        <f>IF(OR(C1573="",B1573=""),"",IFERROR(C1573*INDEX(Harytlar!$D$5:$D$44,MATCH(B1573,Harytlar!$A$5:$A$44,0)),""))</f>
        <v/>
      </c>
    </row>
    <row r="1574" spans="1:7" x14ac:dyDescent="0.3">
      <c r="A1574" s="17"/>
      <c r="B1574" s="18"/>
      <c r="C1574" s="18"/>
      <c r="D1574" s="18"/>
      <c r="E1574" s="10" t="str">
        <f>IF(B1574="","",IFERROR(INDEX(Harytlar!$C$5:$C$44,MATCH(B1574,Harytlar!$A$5:$A$44,0)),""))</f>
        <v/>
      </c>
      <c r="F1574" s="10" t="str">
        <f t="shared" si="24"/>
        <v/>
      </c>
      <c r="G1574" s="10" t="str">
        <f>IF(OR(C1574="",B1574=""),"",IFERROR(C1574*INDEX(Harytlar!$D$5:$D$44,MATCH(B1574,Harytlar!$A$5:$A$44,0)),""))</f>
        <v/>
      </c>
    </row>
    <row r="1575" spans="1:7" x14ac:dyDescent="0.3">
      <c r="A1575" s="17"/>
      <c r="B1575" s="18"/>
      <c r="C1575" s="18"/>
      <c r="D1575" s="18"/>
      <c r="E1575" s="10" t="str">
        <f>IF(B1575="","",IFERROR(INDEX(Harytlar!$C$5:$C$44,MATCH(B1575,Harytlar!$A$5:$A$44,0)),""))</f>
        <v/>
      </c>
      <c r="F1575" s="10" t="str">
        <f t="shared" si="24"/>
        <v/>
      </c>
      <c r="G1575" s="10" t="str">
        <f>IF(OR(C1575="",B1575=""),"",IFERROR(C1575*INDEX(Harytlar!$D$5:$D$44,MATCH(B1575,Harytlar!$A$5:$A$44,0)),""))</f>
        <v/>
      </c>
    </row>
    <row r="1576" spans="1:7" x14ac:dyDescent="0.3">
      <c r="A1576" s="17"/>
      <c r="B1576" s="18"/>
      <c r="C1576" s="18"/>
      <c r="D1576" s="18"/>
      <c r="E1576" s="10" t="str">
        <f>IF(B1576="","",IFERROR(INDEX(Harytlar!$C$5:$C$44,MATCH(B1576,Harytlar!$A$5:$A$44,0)),""))</f>
        <v/>
      </c>
      <c r="F1576" s="10" t="str">
        <f t="shared" si="24"/>
        <v/>
      </c>
      <c r="G1576" s="10" t="str">
        <f>IF(OR(C1576="",B1576=""),"",IFERROR(C1576*INDEX(Harytlar!$D$5:$D$44,MATCH(B1576,Harytlar!$A$5:$A$44,0)),""))</f>
        <v/>
      </c>
    </row>
    <row r="1577" spans="1:7" x14ac:dyDescent="0.3">
      <c r="A1577" s="17"/>
      <c r="B1577" s="18"/>
      <c r="C1577" s="18"/>
      <c r="D1577" s="18"/>
      <c r="E1577" s="10" t="str">
        <f>IF(B1577="","",IFERROR(INDEX(Harytlar!$C$5:$C$44,MATCH(B1577,Harytlar!$A$5:$A$44,0)),""))</f>
        <v/>
      </c>
      <c r="F1577" s="10" t="str">
        <f t="shared" si="24"/>
        <v/>
      </c>
      <c r="G1577" s="10" t="str">
        <f>IF(OR(C1577="",B1577=""),"",IFERROR(C1577*INDEX(Harytlar!$D$5:$D$44,MATCH(B1577,Harytlar!$A$5:$A$44,0)),""))</f>
        <v/>
      </c>
    </row>
    <row r="1578" spans="1:7" x14ac:dyDescent="0.3">
      <c r="A1578" s="17"/>
      <c r="B1578" s="18"/>
      <c r="C1578" s="18"/>
      <c r="D1578" s="18"/>
      <c r="E1578" s="10" t="str">
        <f>IF(B1578="","",IFERROR(INDEX(Harytlar!$C$5:$C$44,MATCH(B1578,Harytlar!$A$5:$A$44,0)),""))</f>
        <v/>
      </c>
      <c r="F1578" s="10" t="str">
        <f t="shared" si="24"/>
        <v/>
      </c>
      <c r="G1578" s="10" t="str">
        <f>IF(OR(C1578="",B1578=""),"",IFERROR(C1578*INDEX(Harytlar!$D$5:$D$44,MATCH(B1578,Harytlar!$A$5:$A$44,0)),""))</f>
        <v/>
      </c>
    </row>
    <row r="1579" spans="1:7" x14ac:dyDescent="0.3">
      <c r="A1579" s="17"/>
      <c r="B1579" s="18"/>
      <c r="C1579" s="18"/>
      <c r="D1579" s="18"/>
      <c r="E1579" s="10" t="str">
        <f>IF(B1579="","",IFERROR(INDEX(Harytlar!$C$5:$C$44,MATCH(B1579,Harytlar!$A$5:$A$44,0)),""))</f>
        <v/>
      </c>
      <c r="F1579" s="10" t="str">
        <f t="shared" si="24"/>
        <v/>
      </c>
      <c r="G1579" s="10" t="str">
        <f>IF(OR(C1579="",B1579=""),"",IFERROR(C1579*INDEX(Harytlar!$D$5:$D$44,MATCH(B1579,Harytlar!$A$5:$A$44,0)),""))</f>
        <v/>
      </c>
    </row>
    <row r="1580" spans="1:7" x14ac:dyDescent="0.3">
      <c r="A1580" s="17"/>
      <c r="B1580" s="18"/>
      <c r="C1580" s="18"/>
      <c r="D1580" s="18"/>
      <c r="E1580" s="10" t="str">
        <f>IF(B1580="","",IFERROR(INDEX(Harytlar!$C$5:$C$44,MATCH(B1580,Harytlar!$A$5:$A$44,0)),""))</f>
        <v/>
      </c>
      <c r="F1580" s="10" t="str">
        <f t="shared" si="24"/>
        <v/>
      </c>
      <c r="G1580" s="10" t="str">
        <f>IF(OR(C1580="",B1580=""),"",IFERROR(C1580*INDEX(Harytlar!$D$5:$D$44,MATCH(B1580,Harytlar!$A$5:$A$44,0)),""))</f>
        <v/>
      </c>
    </row>
    <row r="1581" spans="1:7" x14ac:dyDescent="0.3">
      <c r="A1581" s="17"/>
      <c r="B1581" s="18"/>
      <c r="C1581" s="18"/>
      <c r="D1581" s="18"/>
      <c r="E1581" s="10" t="str">
        <f>IF(B1581="","",IFERROR(INDEX(Harytlar!$C$5:$C$44,MATCH(B1581,Harytlar!$A$5:$A$44,0)),""))</f>
        <v/>
      </c>
      <c r="F1581" s="10" t="str">
        <f t="shared" si="24"/>
        <v/>
      </c>
      <c r="G1581" s="10" t="str">
        <f>IF(OR(C1581="",B1581=""),"",IFERROR(C1581*INDEX(Harytlar!$D$5:$D$44,MATCH(B1581,Harytlar!$A$5:$A$44,0)),""))</f>
        <v/>
      </c>
    </row>
    <row r="1582" spans="1:7" x14ac:dyDescent="0.3">
      <c r="A1582" s="17"/>
      <c r="B1582" s="18"/>
      <c r="C1582" s="18"/>
      <c r="D1582" s="18"/>
      <c r="E1582" s="10" t="str">
        <f>IF(B1582="","",IFERROR(INDEX(Harytlar!$C$5:$C$44,MATCH(B1582,Harytlar!$A$5:$A$44,0)),""))</f>
        <v/>
      </c>
      <c r="F1582" s="10" t="str">
        <f t="shared" si="24"/>
        <v/>
      </c>
      <c r="G1582" s="10" t="str">
        <f>IF(OR(C1582="",B1582=""),"",IFERROR(C1582*INDEX(Harytlar!$D$5:$D$44,MATCH(B1582,Harytlar!$A$5:$A$44,0)),""))</f>
        <v/>
      </c>
    </row>
    <row r="1583" spans="1:7" x14ac:dyDescent="0.3">
      <c r="A1583" s="17"/>
      <c r="B1583" s="18"/>
      <c r="C1583" s="18"/>
      <c r="D1583" s="18"/>
      <c r="E1583" s="10" t="str">
        <f>IF(B1583="","",IFERROR(INDEX(Harytlar!$C$5:$C$44,MATCH(B1583,Harytlar!$A$5:$A$44,0)),""))</f>
        <v/>
      </c>
      <c r="F1583" s="10" t="str">
        <f t="shared" si="24"/>
        <v/>
      </c>
      <c r="G1583" s="10" t="str">
        <f>IF(OR(C1583="",B1583=""),"",IFERROR(C1583*INDEX(Harytlar!$D$5:$D$44,MATCH(B1583,Harytlar!$A$5:$A$44,0)),""))</f>
        <v/>
      </c>
    </row>
    <row r="1584" spans="1:7" x14ac:dyDescent="0.3">
      <c r="A1584" s="17"/>
      <c r="B1584" s="18"/>
      <c r="C1584" s="18"/>
      <c r="D1584" s="18"/>
      <c r="E1584" s="10" t="str">
        <f>IF(B1584="","",IFERROR(INDEX(Harytlar!$C$5:$C$44,MATCH(B1584,Harytlar!$A$5:$A$44,0)),""))</f>
        <v/>
      </c>
      <c r="F1584" s="10" t="str">
        <f t="shared" si="24"/>
        <v/>
      </c>
      <c r="G1584" s="10" t="str">
        <f>IF(OR(C1584="",B1584=""),"",IFERROR(C1584*INDEX(Harytlar!$D$5:$D$44,MATCH(B1584,Harytlar!$A$5:$A$44,0)),""))</f>
        <v/>
      </c>
    </row>
    <row r="1585" spans="1:7" x14ac:dyDescent="0.3">
      <c r="A1585" s="17"/>
      <c r="B1585" s="18"/>
      <c r="C1585" s="18"/>
      <c r="D1585" s="18"/>
      <c r="E1585" s="10" t="str">
        <f>IF(B1585="","",IFERROR(INDEX(Harytlar!$C$5:$C$44,MATCH(B1585,Harytlar!$A$5:$A$44,0)),""))</f>
        <v/>
      </c>
      <c r="F1585" s="10" t="str">
        <f t="shared" si="24"/>
        <v/>
      </c>
      <c r="G1585" s="10" t="str">
        <f>IF(OR(C1585="",B1585=""),"",IFERROR(C1585*INDEX(Harytlar!$D$5:$D$44,MATCH(B1585,Harytlar!$A$5:$A$44,0)),""))</f>
        <v/>
      </c>
    </row>
    <row r="1586" spans="1:7" x14ac:dyDescent="0.3">
      <c r="A1586" s="17"/>
      <c r="B1586" s="18"/>
      <c r="C1586" s="18"/>
      <c r="D1586" s="18"/>
      <c r="E1586" s="10" t="str">
        <f>IF(B1586="","",IFERROR(INDEX(Harytlar!$C$5:$C$44,MATCH(B1586,Harytlar!$A$5:$A$44,0)),""))</f>
        <v/>
      </c>
      <c r="F1586" s="10" t="str">
        <f t="shared" si="24"/>
        <v/>
      </c>
      <c r="G1586" s="10" t="str">
        <f>IF(OR(C1586="",B1586=""),"",IFERROR(C1586*INDEX(Harytlar!$D$5:$D$44,MATCH(B1586,Harytlar!$A$5:$A$44,0)),""))</f>
        <v/>
      </c>
    </row>
    <row r="1587" spans="1:7" x14ac:dyDescent="0.3">
      <c r="A1587" s="17"/>
      <c r="B1587" s="18"/>
      <c r="C1587" s="18"/>
      <c r="D1587" s="18"/>
      <c r="E1587" s="10" t="str">
        <f>IF(B1587="","",IFERROR(INDEX(Harytlar!$C$5:$C$44,MATCH(B1587,Harytlar!$A$5:$A$44,0)),""))</f>
        <v/>
      </c>
      <c r="F1587" s="10" t="str">
        <f t="shared" si="24"/>
        <v/>
      </c>
      <c r="G1587" s="10" t="str">
        <f>IF(OR(C1587="",B1587=""),"",IFERROR(C1587*INDEX(Harytlar!$D$5:$D$44,MATCH(B1587,Harytlar!$A$5:$A$44,0)),""))</f>
        <v/>
      </c>
    </row>
    <row r="1588" spans="1:7" x14ac:dyDescent="0.3">
      <c r="A1588" s="17"/>
      <c r="B1588" s="18"/>
      <c r="C1588" s="18"/>
      <c r="D1588" s="18"/>
      <c r="E1588" s="10" t="str">
        <f>IF(B1588="","",IFERROR(INDEX(Harytlar!$C$5:$C$44,MATCH(B1588,Harytlar!$A$5:$A$44,0)),""))</f>
        <v/>
      </c>
      <c r="F1588" s="10" t="str">
        <f t="shared" si="24"/>
        <v/>
      </c>
      <c r="G1588" s="10" t="str">
        <f>IF(OR(C1588="",B1588=""),"",IFERROR(C1588*INDEX(Harytlar!$D$5:$D$44,MATCH(B1588,Harytlar!$A$5:$A$44,0)),""))</f>
        <v/>
      </c>
    </row>
    <row r="1589" spans="1:7" x14ac:dyDescent="0.3">
      <c r="A1589" s="17"/>
      <c r="B1589" s="18"/>
      <c r="C1589" s="18"/>
      <c r="D1589" s="18"/>
      <c r="E1589" s="10" t="str">
        <f>IF(B1589="","",IFERROR(INDEX(Harytlar!$C$5:$C$44,MATCH(B1589,Harytlar!$A$5:$A$44,0)),""))</f>
        <v/>
      </c>
      <c r="F1589" s="10" t="str">
        <f t="shared" si="24"/>
        <v/>
      </c>
      <c r="G1589" s="10" t="str">
        <f>IF(OR(C1589="",B1589=""),"",IFERROR(C1589*INDEX(Harytlar!$D$5:$D$44,MATCH(B1589,Harytlar!$A$5:$A$44,0)),""))</f>
        <v/>
      </c>
    </row>
    <row r="1590" spans="1:7" x14ac:dyDescent="0.3">
      <c r="A1590" s="17"/>
      <c r="B1590" s="18"/>
      <c r="C1590" s="18"/>
      <c r="D1590" s="18"/>
      <c r="E1590" s="10" t="str">
        <f>IF(B1590="","",IFERROR(INDEX(Harytlar!$C$5:$C$44,MATCH(B1590,Harytlar!$A$5:$A$44,0)),""))</f>
        <v/>
      </c>
      <c r="F1590" s="10" t="str">
        <f t="shared" si="24"/>
        <v/>
      </c>
      <c r="G1590" s="10" t="str">
        <f>IF(OR(C1590="",B1590=""),"",IFERROR(C1590*INDEX(Harytlar!$D$5:$D$44,MATCH(B1590,Harytlar!$A$5:$A$44,0)),""))</f>
        <v/>
      </c>
    </row>
    <row r="1591" spans="1:7" x14ac:dyDescent="0.3">
      <c r="A1591" s="17"/>
      <c r="B1591" s="18"/>
      <c r="C1591" s="18"/>
      <c r="D1591" s="18"/>
      <c r="E1591" s="10" t="str">
        <f>IF(B1591="","",IFERROR(INDEX(Harytlar!$C$5:$C$44,MATCH(B1591,Harytlar!$A$5:$A$44,0)),""))</f>
        <v/>
      </c>
      <c r="F1591" s="10" t="str">
        <f t="shared" si="24"/>
        <v/>
      </c>
      <c r="G1591" s="10" t="str">
        <f>IF(OR(C1591="",B1591=""),"",IFERROR(C1591*INDEX(Harytlar!$D$5:$D$44,MATCH(B1591,Harytlar!$A$5:$A$44,0)),""))</f>
        <v/>
      </c>
    </row>
    <row r="1592" spans="1:7" x14ac:dyDescent="0.3">
      <c r="A1592" s="17"/>
      <c r="B1592" s="18"/>
      <c r="C1592" s="18"/>
      <c r="D1592" s="18"/>
      <c r="E1592" s="10" t="str">
        <f>IF(B1592="","",IFERROR(INDEX(Harytlar!$C$5:$C$44,MATCH(B1592,Harytlar!$A$5:$A$44,0)),""))</f>
        <v/>
      </c>
      <c r="F1592" s="10" t="str">
        <f t="shared" si="24"/>
        <v/>
      </c>
      <c r="G1592" s="10" t="str">
        <f>IF(OR(C1592="",B1592=""),"",IFERROR(C1592*INDEX(Harytlar!$D$5:$D$44,MATCH(B1592,Harytlar!$A$5:$A$44,0)),""))</f>
        <v/>
      </c>
    </row>
    <row r="1593" spans="1:7" x14ac:dyDescent="0.3">
      <c r="A1593" s="17"/>
      <c r="B1593" s="18"/>
      <c r="C1593" s="18"/>
      <c r="D1593" s="18"/>
      <c r="E1593" s="10" t="str">
        <f>IF(B1593="","",IFERROR(INDEX(Harytlar!$C$5:$C$44,MATCH(B1593,Harytlar!$A$5:$A$44,0)),""))</f>
        <v/>
      </c>
      <c r="F1593" s="10" t="str">
        <f t="shared" si="24"/>
        <v/>
      </c>
      <c r="G1593" s="10" t="str">
        <f>IF(OR(C1593="",B1593=""),"",IFERROR(C1593*INDEX(Harytlar!$D$5:$D$44,MATCH(B1593,Harytlar!$A$5:$A$44,0)),""))</f>
        <v/>
      </c>
    </row>
    <row r="1594" spans="1:7" x14ac:dyDescent="0.3">
      <c r="A1594" s="17"/>
      <c r="B1594" s="18"/>
      <c r="C1594" s="18"/>
      <c r="D1594" s="18"/>
      <c r="E1594" s="10" t="str">
        <f>IF(B1594="","",IFERROR(INDEX(Harytlar!$C$5:$C$44,MATCH(B1594,Harytlar!$A$5:$A$44,0)),""))</f>
        <v/>
      </c>
      <c r="F1594" s="10" t="str">
        <f t="shared" si="24"/>
        <v/>
      </c>
      <c r="G1594" s="10" t="str">
        <f>IF(OR(C1594="",B1594=""),"",IFERROR(C1594*INDEX(Harytlar!$D$5:$D$44,MATCH(B1594,Harytlar!$A$5:$A$44,0)),""))</f>
        <v/>
      </c>
    </row>
    <row r="1595" spans="1:7" x14ac:dyDescent="0.3">
      <c r="A1595" s="17"/>
      <c r="B1595" s="18"/>
      <c r="C1595" s="18"/>
      <c r="D1595" s="18"/>
      <c r="E1595" s="10" t="str">
        <f>IF(B1595="","",IFERROR(INDEX(Harytlar!$C$5:$C$44,MATCH(B1595,Harytlar!$A$5:$A$44,0)),""))</f>
        <v/>
      </c>
      <c r="F1595" s="10" t="str">
        <f t="shared" si="24"/>
        <v/>
      </c>
      <c r="G1595" s="10" t="str">
        <f>IF(OR(C1595="",B1595=""),"",IFERROR(C1595*INDEX(Harytlar!$D$5:$D$44,MATCH(B1595,Harytlar!$A$5:$A$44,0)),""))</f>
        <v/>
      </c>
    </row>
    <row r="1596" spans="1:7" x14ac:dyDescent="0.3">
      <c r="A1596" s="17"/>
      <c r="B1596" s="18"/>
      <c r="C1596" s="18"/>
      <c r="D1596" s="18"/>
      <c r="E1596" s="10" t="str">
        <f>IF(B1596="","",IFERROR(INDEX(Harytlar!$C$5:$C$44,MATCH(B1596,Harytlar!$A$5:$A$44,0)),""))</f>
        <v/>
      </c>
      <c r="F1596" s="10" t="str">
        <f t="shared" si="24"/>
        <v/>
      </c>
      <c r="G1596" s="10" t="str">
        <f>IF(OR(C1596="",B1596=""),"",IFERROR(C1596*INDEX(Harytlar!$D$5:$D$44,MATCH(B1596,Harytlar!$A$5:$A$44,0)),""))</f>
        <v/>
      </c>
    </row>
    <row r="1597" spans="1:7" x14ac:dyDescent="0.3">
      <c r="A1597" s="17"/>
      <c r="B1597" s="18"/>
      <c r="C1597" s="18"/>
      <c r="D1597" s="18"/>
      <c r="E1597" s="10" t="str">
        <f>IF(B1597="","",IFERROR(INDEX(Harytlar!$C$5:$C$44,MATCH(B1597,Harytlar!$A$5:$A$44,0)),""))</f>
        <v/>
      </c>
      <c r="F1597" s="10" t="str">
        <f t="shared" si="24"/>
        <v/>
      </c>
      <c r="G1597" s="10" t="str">
        <f>IF(OR(C1597="",B1597=""),"",IFERROR(C1597*INDEX(Harytlar!$D$5:$D$44,MATCH(B1597,Harytlar!$A$5:$A$44,0)),""))</f>
        <v/>
      </c>
    </row>
    <row r="1598" spans="1:7" x14ac:dyDescent="0.3">
      <c r="A1598" s="17"/>
      <c r="B1598" s="18"/>
      <c r="C1598" s="18"/>
      <c r="D1598" s="18"/>
      <c r="E1598" s="10" t="str">
        <f>IF(B1598="","",IFERROR(INDEX(Harytlar!$C$5:$C$44,MATCH(B1598,Harytlar!$A$5:$A$44,0)),""))</f>
        <v/>
      </c>
      <c r="F1598" s="10" t="str">
        <f t="shared" si="24"/>
        <v/>
      </c>
      <c r="G1598" s="10" t="str">
        <f>IF(OR(C1598="",B1598=""),"",IFERROR(C1598*INDEX(Harytlar!$D$5:$D$44,MATCH(B1598,Harytlar!$A$5:$A$44,0)),""))</f>
        <v/>
      </c>
    </row>
    <row r="1599" spans="1:7" x14ac:dyDescent="0.3">
      <c r="A1599" s="17"/>
      <c r="B1599" s="18"/>
      <c r="C1599" s="18"/>
      <c r="D1599" s="18"/>
      <c r="E1599" s="10" t="str">
        <f>IF(B1599="","",IFERROR(INDEX(Harytlar!$C$5:$C$44,MATCH(B1599,Harytlar!$A$5:$A$44,0)),""))</f>
        <v/>
      </c>
      <c r="F1599" s="10" t="str">
        <f t="shared" si="24"/>
        <v/>
      </c>
      <c r="G1599" s="10" t="str">
        <f>IF(OR(C1599="",B1599=""),"",IFERROR(C1599*INDEX(Harytlar!$D$5:$D$44,MATCH(B1599,Harytlar!$A$5:$A$44,0)),""))</f>
        <v/>
      </c>
    </row>
    <row r="1600" spans="1:7" x14ac:dyDescent="0.3">
      <c r="A1600" s="17"/>
      <c r="B1600" s="18"/>
      <c r="C1600" s="18"/>
      <c r="D1600" s="18"/>
      <c r="E1600" s="10" t="str">
        <f>IF(B1600="","",IFERROR(INDEX(Harytlar!$C$5:$C$44,MATCH(B1600,Harytlar!$A$5:$A$44,0)),""))</f>
        <v/>
      </c>
      <c r="F1600" s="10" t="str">
        <f t="shared" si="24"/>
        <v/>
      </c>
      <c r="G1600" s="10" t="str">
        <f>IF(OR(C1600="",B1600=""),"",IFERROR(C1600*INDEX(Harytlar!$D$5:$D$44,MATCH(B1600,Harytlar!$A$5:$A$44,0)),""))</f>
        <v/>
      </c>
    </row>
    <row r="1601" spans="1:7" x14ac:dyDescent="0.3">
      <c r="A1601" s="17"/>
      <c r="B1601" s="18"/>
      <c r="C1601" s="18"/>
      <c r="D1601" s="18"/>
      <c r="E1601" s="10" t="str">
        <f>IF(B1601="","",IFERROR(INDEX(Harytlar!$C$5:$C$44,MATCH(B1601,Harytlar!$A$5:$A$44,0)),""))</f>
        <v/>
      </c>
      <c r="F1601" s="10" t="str">
        <f t="shared" si="24"/>
        <v/>
      </c>
      <c r="G1601" s="10" t="str">
        <f>IF(OR(C1601="",B1601=""),"",IFERROR(C1601*INDEX(Harytlar!$D$5:$D$44,MATCH(B1601,Harytlar!$A$5:$A$44,0)),""))</f>
        <v/>
      </c>
    </row>
    <row r="1602" spans="1:7" x14ac:dyDescent="0.3">
      <c r="A1602" s="17"/>
      <c r="B1602" s="18"/>
      <c r="C1602" s="18"/>
      <c r="D1602" s="18"/>
      <c r="E1602" s="10" t="str">
        <f>IF(B1602="","",IFERROR(INDEX(Harytlar!$C$5:$C$44,MATCH(B1602,Harytlar!$A$5:$A$44,0)),""))</f>
        <v/>
      </c>
      <c r="F1602" s="10" t="str">
        <f t="shared" si="24"/>
        <v/>
      </c>
      <c r="G1602" s="10" t="str">
        <f>IF(OR(C1602="",B1602=""),"",IFERROR(C1602*INDEX(Harytlar!$D$5:$D$44,MATCH(B1602,Harytlar!$A$5:$A$44,0)),""))</f>
        <v/>
      </c>
    </row>
    <row r="1603" spans="1:7" x14ac:dyDescent="0.3">
      <c r="A1603" s="17"/>
      <c r="B1603" s="18"/>
      <c r="C1603" s="18"/>
      <c r="D1603" s="18"/>
      <c r="E1603" s="10" t="str">
        <f>IF(B1603="","",IFERROR(INDEX(Harytlar!$C$5:$C$44,MATCH(B1603,Harytlar!$A$5:$A$44,0)),""))</f>
        <v/>
      </c>
      <c r="F1603" s="10" t="str">
        <f t="shared" si="24"/>
        <v/>
      </c>
      <c r="G1603" s="10" t="str">
        <f>IF(OR(C1603="",B1603=""),"",IFERROR(C1603*INDEX(Harytlar!$D$5:$D$44,MATCH(B1603,Harytlar!$A$5:$A$44,0)),""))</f>
        <v/>
      </c>
    </row>
    <row r="1604" spans="1:7" x14ac:dyDescent="0.3">
      <c r="A1604" s="17"/>
      <c r="B1604" s="18"/>
      <c r="C1604" s="18"/>
      <c r="D1604" s="18"/>
      <c r="E1604" s="10" t="str">
        <f>IF(B1604="","",IFERROR(INDEX(Harytlar!$C$5:$C$44,MATCH(B1604,Harytlar!$A$5:$A$44,0)),""))</f>
        <v/>
      </c>
      <c r="F1604" s="10" t="str">
        <f t="shared" si="24"/>
        <v/>
      </c>
      <c r="G1604" s="10" t="str">
        <f>IF(OR(C1604="",B1604=""),"",IFERROR(C1604*INDEX(Harytlar!$D$5:$D$44,MATCH(B1604,Harytlar!$A$5:$A$44,0)),""))</f>
        <v/>
      </c>
    </row>
    <row r="1605" spans="1:7" x14ac:dyDescent="0.3">
      <c r="A1605" s="17"/>
      <c r="B1605" s="18"/>
      <c r="C1605" s="18"/>
      <c r="D1605" s="18"/>
      <c r="E1605" s="10" t="str">
        <f>IF(B1605="","",IFERROR(INDEX(Harytlar!$C$5:$C$44,MATCH(B1605,Harytlar!$A$5:$A$44,0)),""))</f>
        <v/>
      </c>
      <c r="F1605" s="10" t="str">
        <f t="shared" si="24"/>
        <v/>
      </c>
      <c r="G1605" s="10" t="str">
        <f>IF(OR(C1605="",B1605=""),"",IFERROR(C1605*INDEX(Harytlar!$D$5:$D$44,MATCH(B1605,Harytlar!$A$5:$A$44,0)),""))</f>
        <v/>
      </c>
    </row>
    <row r="1606" spans="1:7" x14ac:dyDescent="0.3">
      <c r="A1606" s="17"/>
      <c r="B1606" s="18"/>
      <c r="C1606" s="18"/>
      <c r="D1606" s="18"/>
      <c r="E1606" s="10" t="str">
        <f>IF(B1606="","",IFERROR(INDEX(Harytlar!$C$5:$C$44,MATCH(B1606,Harytlar!$A$5:$A$44,0)),""))</f>
        <v/>
      </c>
      <c r="F1606" s="10" t="str">
        <f t="shared" ref="F1606:F1669" si="25">IF(OR(C1606="",E1606=""),"",C1606*E1606)</f>
        <v/>
      </c>
      <c r="G1606" s="10" t="str">
        <f>IF(OR(C1606="",B1606=""),"",IFERROR(C1606*INDEX(Harytlar!$D$5:$D$44,MATCH(B1606,Harytlar!$A$5:$A$44,0)),""))</f>
        <v/>
      </c>
    </row>
    <row r="1607" spans="1:7" x14ac:dyDescent="0.3">
      <c r="A1607" s="17"/>
      <c r="B1607" s="18"/>
      <c r="C1607" s="18"/>
      <c r="D1607" s="18"/>
      <c r="E1607" s="10" t="str">
        <f>IF(B1607="","",IFERROR(INDEX(Harytlar!$C$5:$C$44,MATCH(B1607,Harytlar!$A$5:$A$44,0)),""))</f>
        <v/>
      </c>
      <c r="F1607" s="10" t="str">
        <f t="shared" si="25"/>
        <v/>
      </c>
      <c r="G1607" s="10" t="str">
        <f>IF(OR(C1607="",B1607=""),"",IFERROR(C1607*INDEX(Harytlar!$D$5:$D$44,MATCH(B1607,Harytlar!$A$5:$A$44,0)),""))</f>
        <v/>
      </c>
    </row>
    <row r="1608" spans="1:7" x14ac:dyDescent="0.3">
      <c r="A1608" s="17"/>
      <c r="B1608" s="18"/>
      <c r="C1608" s="18"/>
      <c r="D1608" s="18"/>
      <c r="E1608" s="10" t="str">
        <f>IF(B1608="","",IFERROR(INDEX(Harytlar!$C$5:$C$44,MATCH(B1608,Harytlar!$A$5:$A$44,0)),""))</f>
        <v/>
      </c>
      <c r="F1608" s="10" t="str">
        <f t="shared" si="25"/>
        <v/>
      </c>
      <c r="G1608" s="10" t="str">
        <f>IF(OR(C1608="",B1608=""),"",IFERROR(C1608*INDEX(Harytlar!$D$5:$D$44,MATCH(B1608,Harytlar!$A$5:$A$44,0)),""))</f>
        <v/>
      </c>
    </row>
    <row r="1609" spans="1:7" x14ac:dyDescent="0.3">
      <c r="A1609" s="17"/>
      <c r="B1609" s="18"/>
      <c r="C1609" s="18"/>
      <c r="D1609" s="18"/>
      <c r="E1609" s="10" t="str">
        <f>IF(B1609="","",IFERROR(INDEX(Harytlar!$C$5:$C$44,MATCH(B1609,Harytlar!$A$5:$A$44,0)),""))</f>
        <v/>
      </c>
      <c r="F1609" s="10" t="str">
        <f t="shared" si="25"/>
        <v/>
      </c>
      <c r="G1609" s="10" t="str">
        <f>IF(OR(C1609="",B1609=""),"",IFERROR(C1609*INDEX(Harytlar!$D$5:$D$44,MATCH(B1609,Harytlar!$A$5:$A$44,0)),""))</f>
        <v/>
      </c>
    </row>
    <row r="1610" spans="1:7" x14ac:dyDescent="0.3">
      <c r="A1610" s="17"/>
      <c r="B1610" s="18"/>
      <c r="C1610" s="18"/>
      <c r="D1610" s="18"/>
      <c r="E1610" s="10" t="str">
        <f>IF(B1610="","",IFERROR(INDEX(Harytlar!$C$5:$C$44,MATCH(B1610,Harytlar!$A$5:$A$44,0)),""))</f>
        <v/>
      </c>
      <c r="F1610" s="10" t="str">
        <f t="shared" si="25"/>
        <v/>
      </c>
      <c r="G1610" s="10" t="str">
        <f>IF(OR(C1610="",B1610=""),"",IFERROR(C1610*INDEX(Harytlar!$D$5:$D$44,MATCH(B1610,Harytlar!$A$5:$A$44,0)),""))</f>
        <v/>
      </c>
    </row>
    <row r="1611" spans="1:7" x14ac:dyDescent="0.3">
      <c r="A1611" s="17"/>
      <c r="B1611" s="18"/>
      <c r="C1611" s="18"/>
      <c r="D1611" s="18"/>
      <c r="E1611" s="10" t="str">
        <f>IF(B1611="","",IFERROR(INDEX(Harytlar!$C$5:$C$44,MATCH(B1611,Harytlar!$A$5:$A$44,0)),""))</f>
        <v/>
      </c>
      <c r="F1611" s="10" t="str">
        <f t="shared" si="25"/>
        <v/>
      </c>
      <c r="G1611" s="10" t="str">
        <f>IF(OR(C1611="",B1611=""),"",IFERROR(C1611*INDEX(Harytlar!$D$5:$D$44,MATCH(B1611,Harytlar!$A$5:$A$44,0)),""))</f>
        <v/>
      </c>
    </row>
    <row r="1612" spans="1:7" x14ac:dyDescent="0.3">
      <c r="A1612" s="17"/>
      <c r="B1612" s="18"/>
      <c r="C1612" s="18"/>
      <c r="D1612" s="18"/>
      <c r="E1612" s="10" t="str">
        <f>IF(B1612="","",IFERROR(INDEX(Harytlar!$C$5:$C$44,MATCH(B1612,Harytlar!$A$5:$A$44,0)),""))</f>
        <v/>
      </c>
      <c r="F1612" s="10" t="str">
        <f t="shared" si="25"/>
        <v/>
      </c>
      <c r="G1612" s="10" t="str">
        <f>IF(OR(C1612="",B1612=""),"",IFERROR(C1612*INDEX(Harytlar!$D$5:$D$44,MATCH(B1612,Harytlar!$A$5:$A$44,0)),""))</f>
        <v/>
      </c>
    </row>
    <row r="1613" spans="1:7" x14ac:dyDescent="0.3">
      <c r="A1613" s="17"/>
      <c r="B1613" s="18"/>
      <c r="C1613" s="18"/>
      <c r="D1613" s="18"/>
      <c r="E1613" s="10" t="str">
        <f>IF(B1613="","",IFERROR(INDEX(Harytlar!$C$5:$C$44,MATCH(B1613,Harytlar!$A$5:$A$44,0)),""))</f>
        <v/>
      </c>
      <c r="F1613" s="10" t="str">
        <f t="shared" si="25"/>
        <v/>
      </c>
      <c r="G1613" s="10" t="str">
        <f>IF(OR(C1613="",B1613=""),"",IFERROR(C1613*INDEX(Harytlar!$D$5:$D$44,MATCH(B1613,Harytlar!$A$5:$A$44,0)),""))</f>
        <v/>
      </c>
    </row>
    <row r="1614" spans="1:7" x14ac:dyDescent="0.3">
      <c r="A1614" s="17"/>
      <c r="B1614" s="18"/>
      <c r="C1614" s="18"/>
      <c r="D1614" s="18"/>
      <c r="E1614" s="10" t="str">
        <f>IF(B1614="","",IFERROR(INDEX(Harytlar!$C$5:$C$44,MATCH(B1614,Harytlar!$A$5:$A$44,0)),""))</f>
        <v/>
      </c>
      <c r="F1614" s="10" t="str">
        <f t="shared" si="25"/>
        <v/>
      </c>
      <c r="G1614" s="10" t="str">
        <f>IF(OR(C1614="",B1614=""),"",IFERROR(C1614*INDEX(Harytlar!$D$5:$D$44,MATCH(B1614,Harytlar!$A$5:$A$44,0)),""))</f>
        <v/>
      </c>
    </row>
    <row r="1615" spans="1:7" x14ac:dyDescent="0.3">
      <c r="A1615" s="17"/>
      <c r="B1615" s="18"/>
      <c r="C1615" s="18"/>
      <c r="D1615" s="18"/>
      <c r="E1615" s="10" t="str">
        <f>IF(B1615="","",IFERROR(INDEX(Harytlar!$C$5:$C$44,MATCH(B1615,Harytlar!$A$5:$A$44,0)),""))</f>
        <v/>
      </c>
      <c r="F1615" s="10" t="str">
        <f t="shared" si="25"/>
        <v/>
      </c>
      <c r="G1615" s="10" t="str">
        <f>IF(OR(C1615="",B1615=""),"",IFERROR(C1615*INDEX(Harytlar!$D$5:$D$44,MATCH(B1615,Harytlar!$A$5:$A$44,0)),""))</f>
        <v/>
      </c>
    </row>
    <row r="1616" spans="1:7" x14ac:dyDescent="0.3">
      <c r="A1616" s="17"/>
      <c r="B1616" s="18"/>
      <c r="C1616" s="18"/>
      <c r="D1616" s="18"/>
      <c r="E1616" s="10" t="str">
        <f>IF(B1616="","",IFERROR(INDEX(Harytlar!$C$5:$C$44,MATCH(B1616,Harytlar!$A$5:$A$44,0)),""))</f>
        <v/>
      </c>
      <c r="F1616" s="10" t="str">
        <f t="shared" si="25"/>
        <v/>
      </c>
      <c r="G1616" s="10" t="str">
        <f>IF(OR(C1616="",B1616=""),"",IFERROR(C1616*INDEX(Harytlar!$D$5:$D$44,MATCH(B1616,Harytlar!$A$5:$A$44,0)),""))</f>
        <v/>
      </c>
    </row>
    <row r="1617" spans="1:7" x14ac:dyDescent="0.3">
      <c r="A1617" s="17"/>
      <c r="B1617" s="18"/>
      <c r="C1617" s="18"/>
      <c r="D1617" s="18"/>
      <c r="E1617" s="10" t="str">
        <f>IF(B1617="","",IFERROR(INDEX(Harytlar!$C$5:$C$44,MATCH(B1617,Harytlar!$A$5:$A$44,0)),""))</f>
        <v/>
      </c>
      <c r="F1617" s="10" t="str">
        <f t="shared" si="25"/>
        <v/>
      </c>
      <c r="G1617" s="10" t="str">
        <f>IF(OR(C1617="",B1617=""),"",IFERROR(C1617*INDEX(Harytlar!$D$5:$D$44,MATCH(B1617,Harytlar!$A$5:$A$44,0)),""))</f>
        <v/>
      </c>
    </row>
    <row r="1618" spans="1:7" x14ac:dyDescent="0.3">
      <c r="A1618" s="17"/>
      <c r="B1618" s="18"/>
      <c r="C1618" s="18"/>
      <c r="D1618" s="18"/>
      <c r="E1618" s="10" t="str">
        <f>IF(B1618="","",IFERROR(INDEX(Harytlar!$C$5:$C$44,MATCH(B1618,Harytlar!$A$5:$A$44,0)),""))</f>
        <v/>
      </c>
      <c r="F1618" s="10" t="str">
        <f t="shared" si="25"/>
        <v/>
      </c>
      <c r="G1618" s="10" t="str">
        <f>IF(OR(C1618="",B1618=""),"",IFERROR(C1618*INDEX(Harytlar!$D$5:$D$44,MATCH(B1618,Harytlar!$A$5:$A$44,0)),""))</f>
        <v/>
      </c>
    </row>
    <row r="1619" spans="1:7" x14ac:dyDescent="0.3">
      <c r="A1619" s="17"/>
      <c r="B1619" s="18"/>
      <c r="C1619" s="18"/>
      <c r="D1619" s="18"/>
      <c r="E1619" s="10" t="str">
        <f>IF(B1619="","",IFERROR(INDEX(Harytlar!$C$5:$C$44,MATCH(B1619,Harytlar!$A$5:$A$44,0)),""))</f>
        <v/>
      </c>
      <c r="F1619" s="10" t="str">
        <f t="shared" si="25"/>
        <v/>
      </c>
      <c r="G1619" s="10" t="str">
        <f>IF(OR(C1619="",B1619=""),"",IFERROR(C1619*INDEX(Harytlar!$D$5:$D$44,MATCH(B1619,Harytlar!$A$5:$A$44,0)),""))</f>
        <v/>
      </c>
    </row>
    <row r="1620" spans="1:7" x14ac:dyDescent="0.3">
      <c r="A1620" s="17"/>
      <c r="B1620" s="18"/>
      <c r="C1620" s="18"/>
      <c r="D1620" s="18"/>
      <c r="E1620" s="10" t="str">
        <f>IF(B1620="","",IFERROR(INDEX(Harytlar!$C$5:$C$44,MATCH(B1620,Harytlar!$A$5:$A$44,0)),""))</f>
        <v/>
      </c>
      <c r="F1620" s="10" t="str">
        <f t="shared" si="25"/>
        <v/>
      </c>
      <c r="G1620" s="10" t="str">
        <f>IF(OR(C1620="",B1620=""),"",IFERROR(C1620*INDEX(Harytlar!$D$5:$D$44,MATCH(B1620,Harytlar!$A$5:$A$44,0)),""))</f>
        <v/>
      </c>
    </row>
    <row r="1621" spans="1:7" x14ac:dyDescent="0.3">
      <c r="A1621" s="17"/>
      <c r="B1621" s="18"/>
      <c r="C1621" s="18"/>
      <c r="D1621" s="18"/>
      <c r="E1621" s="10" t="str">
        <f>IF(B1621="","",IFERROR(INDEX(Harytlar!$C$5:$C$44,MATCH(B1621,Harytlar!$A$5:$A$44,0)),""))</f>
        <v/>
      </c>
      <c r="F1621" s="10" t="str">
        <f t="shared" si="25"/>
        <v/>
      </c>
      <c r="G1621" s="10" t="str">
        <f>IF(OR(C1621="",B1621=""),"",IFERROR(C1621*INDEX(Harytlar!$D$5:$D$44,MATCH(B1621,Harytlar!$A$5:$A$44,0)),""))</f>
        <v/>
      </c>
    </row>
    <row r="1622" spans="1:7" x14ac:dyDescent="0.3">
      <c r="A1622" s="17"/>
      <c r="B1622" s="18"/>
      <c r="C1622" s="18"/>
      <c r="D1622" s="18"/>
      <c r="E1622" s="10" t="str">
        <f>IF(B1622="","",IFERROR(INDEX(Harytlar!$C$5:$C$44,MATCH(B1622,Harytlar!$A$5:$A$44,0)),""))</f>
        <v/>
      </c>
      <c r="F1622" s="10" t="str">
        <f t="shared" si="25"/>
        <v/>
      </c>
      <c r="G1622" s="10" t="str">
        <f>IF(OR(C1622="",B1622=""),"",IFERROR(C1622*INDEX(Harytlar!$D$5:$D$44,MATCH(B1622,Harytlar!$A$5:$A$44,0)),""))</f>
        <v/>
      </c>
    </row>
    <row r="1623" spans="1:7" x14ac:dyDescent="0.3">
      <c r="A1623" s="17"/>
      <c r="B1623" s="18"/>
      <c r="C1623" s="18"/>
      <c r="D1623" s="18"/>
      <c r="E1623" s="10" t="str">
        <f>IF(B1623="","",IFERROR(INDEX(Harytlar!$C$5:$C$44,MATCH(B1623,Harytlar!$A$5:$A$44,0)),""))</f>
        <v/>
      </c>
      <c r="F1623" s="10" t="str">
        <f t="shared" si="25"/>
        <v/>
      </c>
      <c r="G1623" s="10" t="str">
        <f>IF(OR(C1623="",B1623=""),"",IFERROR(C1623*INDEX(Harytlar!$D$5:$D$44,MATCH(B1623,Harytlar!$A$5:$A$44,0)),""))</f>
        <v/>
      </c>
    </row>
    <row r="1624" spans="1:7" x14ac:dyDescent="0.3">
      <c r="A1624" s="17"/>
      <c r="B1624" s="18"/>
      <c r="C1624" s="18"/>
      <c r="D1624" s="18"/>
      <c r="E1624" s="10" t="str">
        <f>IF(B1624="","",IFERROR(INDEX(Harytlar!$C$5:$C$44,MATCH(B1624,Harytlar!$A$5:$A$44,0)),""))</f>
        <v/>
      </c>
      <c r="F1624" s="10" t="str">
        <f t="shared" si="25"/>
        <v/>
      </c>
      <c r="G1624" s="10" t="str">
        <f>IF(OR(C1624="",B1624=""),"",IFERROR(C1624*INDEX(Harytlar!$D$5:$D$44,MATCH(B1624,Harytlar!$A$5:$A$44,0)),""))</f>
        <v/>
      </c>
    </row>
    <row r="1625" spans="1:7" x14ac:dyDescent="0.3">
      <c r="A1625" s="17"/>
      <c r="B1625" s="18"/>
      <c r="C1625" s="18"/>
      <c r="D1625" s="18"/>
      <c r="E1625" s="10" t="str">
        <f>IF(B1625="","",IFERROR(INDEX(Harytlar!$C$5:$C$44,MATCH(B1625,Harytlar!$A$5:$A$44,0)),""))</f>
        <v/>
      </c>
      <c r="F1625" s="10" t="str">
        <f t="shared" si="25"/>
        <v/>
      </c>
      <c r="G1625" s="10" t="str">
        <f>IF(OR(C1625="",B1625=""),"",IFERROR(C1625*INDEX(Harytlar!$D$5:$D$44,MATCH(B1625,Harytlar!$A$5:$A$44,0)),""))</f>
        <v/>
      </c>
    </row>
    <row r="1626" spans="1:7" x14ac:dyDescent="0.3">
      <c r="A1626" s="17"/>
      <c r="B1626" s="18"/>
      <c r="C1626" s="18"/>
      <c r="D1626" s="18"/>
      <c r="E1626" s="10" t="str">
        <f>IF(B1626="","",IFERROR(INDEX(Harytlar!$C$5:$C$44,MATCH(B1626,Harytlar!$A$5:$A$44,0)),""))</f>
        <v/>
      </c>
      <c r="F1626" s="10" t="str">
        <f t="shared" si="25"/>
        <v/>
      </c>
      <c r="G1626" s="10" t="str">
        <f>IF(OR(C1626="",B1626=""),"",IFERROR(C1626*INDEX(Harytlar!$D$5:$D$44,MATCH(B1626,Harytlar!$A$5:$A$44,0)),""))</f>
        <v/>
      </c>
    </row>
    <row r="1627" spans="1:7" x14ac:dyDescent="0.3">
      <c r="A1627" s="17"/>
      <c r="B1627" s="18"/>
      <c r="C1627" s="18"/>
      <c r="D1627" s="18"/>
      <c r="E1627" s="10" t="str">
        <f>IF(B1627="","",IFERROR(INDEX(Harytlar!$C$5:$C$44,MATCH(B1627,Harytlar!$A$5:$A$44,0)),""))</f>
        <v/>
      </c>
      <c r="F1627" s="10" t="str">
        <f t="shared" si="25"/>
        <v/>
      </c>
      <c r="G1627" s="10" t="str">
        <f>IF(OR(C1627="",B1627=""),"",IFERROR(C1627*INDEX(Harytlar!$D$5:$D$44,MATCH(B1627,Harytlar!$A$5:$A$44,0)),""))</f>
        <v/>
      </c>
    </row>
    <row r="1628" spans="1:7" x14ac:dyDescent="0.3">
      <c r="A1628" s="17"/>
      <c r="B1628" s="18"/>
      <c r="C1628" s="18"/>
      <c r="D1628" s="18"/>
      <c r="E1628" s="10" t="str">
        <f>IF(B1628="","",IFERROR(INDEX(Harytlar!$C$5:$C$44,MATCH(B1628,Harytlar!$A$5:$A$44,0)),""))</f>
        <v/>
      </c>
      <c r="F1628" s="10" t="str">
        <f t="shared" si="25"/>
        <v/>
      </c>
      <c r="G1628" s="10" t="str">
        <f>IF(OR(C1628="",B1628=""),"",IFERROR(C1628*INDEX(Harytlar!$D$5:$D$44,MATCH(B1628,Harytlar!$A$5:$A$44,0)),""))</f>
        <v/>
      </c>
    </row>
    <row r="1629" spans="1:7" x14ac:dyDescent="0.3">
      <c r="A1629" s="17"/>
      <c r="B1629" s="18"/>
      <c r="C1629" s="18"/>
      <c r="D1629" s="18"/>
      <c r="E1629" s="10" t="str">
        <f>IF(B1629="","",IFERROR(INDEX(Harytlar!$C$5:$C$44,MATCH(B1629,Harytlar!$A$5:$A$44,0)),""))</f>
        <v/>
      </c>
      <c r="F1629" s="10" t="str">
        <f t="shared" si="25"/>
        <v/>
      </c>
      <c r="G1629" s="10" t="str">
        <f>IF(OR(C1629="",B1629=""),"",IFERROR(C1629*INDEX(Harytlar!$D$5:$D$44,MATCH(B1629,Harytlar!$A$5:$A$44,0)),""))</f>
        <v/>
      </c>
    </row>
    <row r="1630" spans="1:7" x14ac:dyDescent="0.3">
      <c r="A1630" s="17"/>
      <c r="B1630" s="18"/>
      <c r="C1630" s="18"/>
      <c r="D1630" s="18"/>
      <c r="E1630" s="10" t="str">
        <f>IF(B1630="","",IFERROR(INDEX(Harytlar!$C$5:$C$44,MATCH(B1630,Harytlar!$A$5:$A$44,0)),""))</f>
        <v/>
      </c>
      <c r="F1630" s="10" t="str">
        <f t="shared" si="25"/>
        <v/>
      </c>
      <c r="G1630" s="10" t="str">
        <f>IF(OR(C1630="",B1630=""),"",IFERROR(C1630*INDEX(Harytlar!$D$5:$D$44,MATCH(B1630,Harytlar!$A$5:$A$44,0)),""))</f>
        <v/>
      </c>
    </row>
    <row r="1631" spans="1:7" x14ac:dyDescent="0.3">
      <c r="A1631" s="17"/>
      <c r="B1631" s="18"/>
      <c r="C1631" s="18"/>
      <c r="D1631" s="18"/>
      <c r="E1631" s="10" t="str">
        <f>IF(B1631="","",IFERROR(INDEX(Harytlar!$C$5:$C$44,MATCH(B1631,Harytlar!$A$5:$A$44,0)),""))</f>
        <v/>
      </c>
      <c r="F1631" s="10" t="str">
        <f t="shared" si="25"/>
        <v/>
      </c>
      <c r="G1631" s="10" t="str">
        <f>IF(OR(C1631="",B1631=""),"",IFERROR(C1631*INDEX(Harytlar!$D$5:$D$44,MATCH(B1631,Harytlar!$A$5:$A$44,0)),""))</f>
        <v/>
      </c>
    </row>
    <row r="1632" spans="1:7" x14ac:dyDescent="0.3">
      <c r="A1632" s="17"/>
      <c r="B1632" s="18"/>
      <c r="C1632" s="18"/>
      <c r="D1632" s="18"/>
      <c r="E1632" s="10" t="str">
        <f>IF(B1632="","",IFERROR(INDEX(Harytlar!$C$5:$C$44,MATCH(B1632,Harytlar!$A$5:$A$44,0)),""))</f>
        <v/>
      </c>
      <c r="F1632" s="10" t="str">
        <f t="shared" si="25"/>
        <v/>
      </c>
      <c r="G1632" s="10" t="str">
        <f>IF(OR(C1632="",B1632=""),"",IFERROR(C1632*INDEX(Harytlar!$D$5:$D$44,MATCH(B1632,Harytlar!$A$5:$A$44,0)),""))</f>
        <v/>
      </c>
    </row>
    <row r="1633" spans="1:7" x14ac:dyDescent="0.3">
      <c r="A1633" s="17"/>
      <c r="B1633" s="18"/>
      <c r="C1633" s="18"/>
      <c r="D1633" s="18"/>
      <c r="E1633" s="10" t="str">
        <f>IF(B1633="","",IFERROR(INDEX(Harytlar!$C$5:$C$44,MATCH(B1633,Harytlar!$A$5:$A$44,0)),""))</f>
        <v/>
      </c>
      <c r="F1633" s="10" t="str">
        <f t="shared" si="25"/>
        <v/>
      </c>
      <c r="G1633" s="10" t="str">
        <f>IF(OR(C1633="",B1633=""),"",IFERROR(C1633*INDEX(Harytlar!$D$5:$D$44,MATCH(B1633,Harytlar!$A$5:$A$44,0)),""))</f>
        <v/>
      </c>
    </row>
    <row r="1634" spans="1:7" x14ac:dyDescent="0.3">
      <c r="A1634" s="17"/>
      <c r="B1634" s="18"/>
      <c r="C1634" s="18"/>
      <c r="D1634" s="18"/>
      <c r="E1634" s="10" t="str">
        <f>IF(B1634="","",IFERROR(INDEX(Harytlar!$C$5:$C$44,MATCH(B1634,Harytlar!$A$5:$A$44,0)),""))</f>
        <v/>
      </c>
      <c r="F1634" s="10" t="str">
        <f t="shared" si="25"/>
        <v/>
      </c>
      <c r="G1634" s="10" t="str">
        <f>IF(OR(C1634="",B1634=""),"",IFERROR(C1634*INDEX(Harytlar!$D$5:$D$44,MATCH(B1634,Harytlar!$A$5:$A$44,0)),""))</f>
        <v/>
      </c>
    </row>
    <row r="1635" spans="1:7" x14ac:dyDescent="0.3">
      <c r="A1635" s="17"/>
      <c r="B1635" s="18"/>
      <c r="C1635" s="18"/>
      <c r="D1635" s="18"/>
      <c r="E1635" s="10" t="str">
        <f>IF(B1635="","",IFERROR(INDEX(Harytlar!$C$5:$C$44,MATCH(B1635,Harytlar!$A$5:$A$44,0)),""))</f>
        <v/>
      </c>
      <c r="F1635" s="10" t="str">
        <f t="shared" si="25"/>
        <v/>
      </c>
      <c r="G1635" s="10" t="str">
        <f>IF(OR(C1635="",B1635=""),"",IFERROR(C1635*INDEX(Harytlar!$D$5:$D$44,MATCH(B1635,Harytlar!$A$5:$A$44,0)),""))</f>
        <v/>
      </c>
    </row>
    <row r="1636" spans="1:7" x14ac:dyDescent="0.3">
      <c r="A1636" s="17"/>
      <c r="B1636" s="18"/>
      <c r="C1636" s="18"/>
      <c r="D1636" s="18"/>
      <c r="E1636" s="10" t="str">
        <f>IF(B1636="","",IFERROR(INDEX(Harytlar!$C$5:$C$44,MATCH(B1636,Harytlar!$A$5:$A$44,0)),""))</f>
        <v/>
      </c>
      <c r="F1636" s="10" t="str">
        <f t="shared" si="25"/>
        <v/>
      </c>
      <c r="G1636" s="10" t="str">
        <f>IF(OR(C1636="",B1636=""),"",IFERROR(C1636*INDEX(Harytlar!$D$5:$D$44,MATCH(B1636,Harytlar!$A$5:$A$44,0)),""))</f>
        <v/>
      </c>
    </row>
    <row r="1637" spans="1:7" x14ac:dyDescent="0.3">
      <c r="A1637" s="17"/>
      <c r="B1637" s="18"/>
      <c r="C1637" s="18"/>
      <c r="D1637" s="18"/>
      <c r="E1637" s="10" t="str">
        <f>IF(B1637="","",IFERROR(INDEX(Harytlar!$C$5:$C$44,MATCH(B1637,Harytlar!$A$5:$A$44,0)),""))</f>
        <v/>
      </c>
      <c r="F1637" s="10" t="str">
        <f t="shared" si="25"/>
        <v/>
      </c>
      <c r="G1637" s="10" t="str">
        <f>IF(OR(C1637="",B1637=""),"",IFERROR(C1637*INDEX(Harytlar!$D$5:$D$44,MATCH(B1637,Harytlar!$A$5:$A$44,0)),""))</f>
        <v/>
      </c>
    </row>
    <row r="1638" spans="1:7" x14ac:dyDescent="0.3">
      <c r="A1638" s="17"/>
      <c r="B1638" s="18"/>
      <c r="C1638" s="18"/>
      <c r="D1638" s="18"/>
      <c r="E1638" s="10" t="str">
        <f>IF(B1638="","",IFERROR(INDEX(Harytlar!$C$5:$C$44,MATCH(B1638,Harytlar!$A$5:$A$44,0)),""))</f>
        <v/>
      </c>
      <c r="F1638" s="10" t="str">
        <f t="shared" si="25"/>
        <v/>
      </c>
      <c r="G1638" s="10" t="str">
        <f>IF(OR(C1638="",B1638=""),"",IFERROR(C1638*INDEX(Harytlar!$D$5:$D$44,MATCH(B1638,Harytlar!$A$5:$A$44,0)),""))</f>
        <v/>
      </c>
    </row>
    <row r="1639" spans="1:7" x14ac:dyDescent="0.3">
      <c r="A1639" s="17"/>
      <c r="B1639" s="18"/>
      <c r="C1639" s="18"/>
      <c r="D1639" s="18"/>
      <c r="E1639" s="10" t="str">
        <f>IF(B1639="","",IFERROR(INDEX(Harytlar!$C$5:$C$44,MATCH(B1639,Harytlar!$A$5:$A$44,0)),""))</f>
        <v/>
      </c>
      <c r="F1639" s="10" t="str">
        <f t="shared" si="25"/>
        <v/>
      </c>
      <c r="G1639" s="10" t="str">
        <f>IF(OR(C1639="",B1639=""),"",IFERROR(C1639*INDEX(Harytlar!$D$5:$D$44,MATCH(B1639,Harytlar!$A$5:$A$44,0)),""))</f>
        <v/>
      </c>
    </row>
    <row r="1640" spans="1:7" x14ac:dyDescent="0.3">
      <c r="A1640" s="17"/>
      <c r="B1640" s="18"/>
      <c r="C1640" s="18"/>
      <c r="D1640" s="18"/>
      <c r="E1640" s="10" t="str">
        <f>IF(B1640="","",IFERROR(INDEX(Harytlar!$C$5:$C$44,MATCH(B1640,Harytlar!$A$5:$A$44,0)),""))</f>
        <v/>
      </c>
      <c r="F1640" s="10" t="str">
        <f t="shared" si="25"/>
        <v/>
      </c>
      <c r="G1640" s="10" t="str">
        <f>IF(OR(C1640="",B1640=""),"",IFERROR(C1640*INDEX(Harytlar!$D$5:$D$44,MATCH(B1640,Harytlar!$A$5:$A$44,0)),""))</f>
        <v/>
      </c>
    </row>
    <row r="1641" spans="1:7" x14ac:dyDescent="0.3">
      <c r="A1641" s="17"/>
      <c r="B1641" s="18"/>
      <c r="C1641" s="18"/>
      <c r="D1641" s="18"/>
      <c r="E1641" s="10" t="str">
        <f>IF(B1641="","",IFERROR(INDEX(Harytlar!$C$5:$C$44,MATCH(B1641,Harytlar!$A$5:$A$44,0)),""))</f>
        <v/>
      </c>
      <c r="F1641" s="10" t="str">
        <f t="shared" si="25"/>
        <v/>
      </c>
      <c r="G1641" s="10" t="str">
        <f>IF(OR(C1641="",B1641=""),"",IFERROR(C1641*INDEX(Harytlar!$D$5:$D$44,MATCH(B1641,Harytlar!$A$5:$A$44,0)),""))</f>
        <v/>
      </c>
    </row>
    <row r="1642" spans="1:7" x14ac:dyDescent="0.3">
      <c r="A1642" s="17"/>
      <c r="B1642" s="18"/>
      <c r="C1642" s="18"/>
      <c r="D1642" s="18"/>
      <c r="E1642" s="10" t="str">
        <f>IF(B1642="","",IFERROR(INDEX(Harytlar!$C$5:$C$44,MATCH(B1642,Harytlar!$A$5:$A$44,0)),""))</f>
        <v/>
      </c>
      <c r="F1642" s="10" t="str">
        <f t="shared" si="25"/>
        <v/>
      </c>
      <c r="G1642" s="10" t="str">
        <f>IF(OR(C1642="",B1642=""),"",IFERROR(C1642*INDEX(Harytlar!$D$5:$D$44,MATCH(B1642,Harytlar!$A$5:$A$44,0)),""))</f>
        <v/>
      </c>
    </row>
    <row r="1643" spans="1:7" x14ac:dyDescent="0.3">
      <c r="A1643" s="17"/>
      <c r="B1643" s="18"/>
      <c r="C1643" s="18"/>
      <c r="D1643" s="18"/>
      <c r="E1643" s="10" t="str">
        <f>IF(B1643="","",IFERROR(INDEX(Harytlar!$C$5:$C$44,MATCH(B1643,Harytlar!$A$5:$A$44,0)),""))</f>
        <v/>
      </c>
      <c r="F1643" s="10" t="str">
        <f t="shared" si="25"/>
        <v/>
      </c>
      <c r="G1643" s="10" t="str">
        <f>IF(OR(C1643="",B1643=""),"",IFERROR(C1643*INDEX(Harytlar!$D$5:$D$44,MATCH(B1643,Harytlar!$A$5:$A$44,0)),""))</f>
        <v/>
      </c>
    </row>
    <row r="1644" spans="1:7" x14ac:dyDescent="0.3">
      <c r="A1644" s="17"/>
      <c r="B1644" s="18"/>
      <c r="C1644" s="18"/>
      <c r="D1644" s="18"/>
      <c r="E1644" s="10" t="str">
        <f>IF(B1644="","",IFERROR(INDEX(Harytlar!$C$5:$C$44,MATCH(B1644,Harytlar!$A$5:$A$44,0)),""))</f>
        <v/>
      </c>
      <c r="F1644" s="10" t="str">
        <f t="shared" si="25"/>
        <v/>
      </c>
      <c r="G1644" s="10" t="str">
        <f>IF(OR(C1644="",B1644=""),"",IFERROR(C1644*INDEX(Harytlar!$D$5:$D$44,MATCH(B1644,Harytlar!$A$5:$A$44,0)),""))</f>
        <v/>
      </c>
    </row>
    <row r="1645" spans="1:7" x14ac:dyDescent="0.3">
      <c r="A1645" s="17"/>
      <c r="B1645" s="18"/>
      <c r="C1645" s="18"/>
      <c r="D1645" s="18"/>
      <c r="E1645" s="10" t="str">
        <f>IF(B1645="","",IFERROR(INDEX(Harytlar!$C$5:$C$44,MATCH(B1645,Harytlar!$A$5:$A$44,0)),""))</f>
        <v/>
      </c>
      <c r="F1645" s="10" t="str">
        <f t="shared" si="25"/>
        <v/>
      </c>
      <c r="G1645" s="10" t="str">
        <f>IF(OR(C1645="",B1645=""),"",IFERROR(C1645*INDEX(Harytlar!$D$5:$D$44,MATCH(B1645,Harytlar!$A$5:$A$44,0)),""))</f>
        <v/>
      </c>
    </row>
    <row r="1646" spans="1:7" x14ac:dyDescent="0.3">
      <c r="A1646" s="17"/>
      <c r="B1646" s="18"/>
      <c r="C1646" s="18"/>
      <c r="D1646" s="18"/>
      <c r="E1646" s="10" t="str">
        <f>IF(B1646="","",IFERROR(INDEX(Harytlar!$C$5:$C$44,MATCH(B1646,Harytlar!$A$5:$A$44,0)),""))</f>
        <v/>
      </c>
      <c r="F1646" s="10" t="str">
        <f t="shared" si="25"/>
        <v/>
      </c>
      <c r="G1646" s="10" t="str">
        <f>IF(OR(C1646="",B1646=""),"",IFERROR(C1646*INDEX(Harytlar!$D$5:$D$44,MATCH(B1646,Harytlar!$A$5:$A$44,0)),""))</f>
        <v/>
      </c>
    </row>
    <row r="1647" spans="1:7" x14ac:dyDescent="0.3">
      <c r="A1647" s="17"/>
      <c r="B1647" s="18"/>
      <c r="C1647" s="18"/>
      <c r="D1647" s="18"/>
      <c r="E1647" s="10" t="str">
        <f>IF(B1647="","",IFERROR(INDEX(Harytlar!$C$5:$C$44,MATCH(B1647,Harytlar!$A$5:$A$44,0)),""))</f>
        <v/>
      </c>
      <c r="F1647" s="10" t="str">
        <f t="shared" si="25"/>
        <v/>
      </c>
      <c r="G1647" s="10" t="str">
        <f>IF(OR(C1647="",B1647=""),"",IFERROR(C1647*INDEX(Harytlar!$D$5:$D$44,MATCH(B1647,Harytlar!$A$5:$A$44,0)),""))</f>
        <v/>
      </c>
    </row>
    <row r="1648" spans="1:7" x14ac:dyDescent="0.3">
      <c r="A1648" s="17"/>
      <c r="B1648" s="18"/>
      <c r="C1648" s="18"/>
      <c r="D1648" s="18"/>
      <c r="E1648" s="10" t="str">
        <f>IF(B1648="","",IFERROR(INDEX(Harytlar!$C$5:$C$44,MATCH(B1648,Harytlar!$A$5:$A$44,0)),""))</f>
        <v/>
      </c>
      <c r="F1648" s="10" t="str">
        <f t="shared" si="25"/>
        <v/>
      </c>
      <c r="G1648" s="10" t="str">
        <f>IF(OR(C1648="",B1648=""),"",IFERROR(C1648*INDEX(Harytlar!$D$5:$D$44,MATCH(B1648,Harytlar!$A$5:$A$44,0)),""))</f>
        <v/>
      </c>
    </row>
    <row r="1649" spans="1:7" x14ac:dyDescent="0.3">
      <c r="A1649" s="17"/>
      <c r="B1649" s="18"/>
      <c r="C1649" s="18"/>
      <c r="D1649" s="18"/>
      <c r="E1649" s="10" t="str">
        <f>IF(B1649="","",IFERROR(INDEX(Harytlar!$C$5:$C$44,MATCH(B1649,Harytlar!$A$5:$A$44,0)),""))</f>
        <v/>
      </c>
      <c r="F1649" s="10" t="str">
        <f t="shared" si="25"/>
        <v/>
      </c>
      <c r="G1649" s="10" t="str">
        <f>IF(OR(C1649="",B1649=""),"",IFERROR(C1649*INDEX(Harytlar!$D$5:$D$44,MATCH(B1649,Harytlar!$A$5:$A$44,0)),""))</f>
        <v/>
      </c>
    </row>
    <row r="1650" spans="1:7" x14ac:dyDescent="0.3">
      <c r="A1650" s="17"/>
      <c r="B1650" s="18"/>
      <c r="C1650" s="18"/>
      <c r="D1650" s="18"/>
      <c r="E1650" s="10" t="str">
        <f>IF(B1650="","",IFERROR(INDEX(Harytlar!$C$5:$C$44,MATCH(B1650,Harytlar!$A$5:$A$44,0)),""))</f>
        <v/>
      </c>
      <c r="F1650" s="10" t="str">
        <f t="shared" si="25"/>
        <v/>
      </c>
      <c r="G1650" s="10" t="str">
        <f>IF(OR(C1650="",B1650=""),"",IFERROR(C1650*INDEX(Harytlar!$D$5:$D$44,MATCH(B1650,Harytlar!$A$5:$A$44,0)),""))</f>
        <v/>
      </c>
    </row>
    <row r="1651" spans="1:7" x14ac:dyDescent="0.3">
      <c r="A1651" s="17"/>
      <c r="B1651" s="18"/>
      <c r="C1651" s="18"/>
      <c r="D1651" s="18"/>
      <c r="E1651" s="10" t="str">
        <f>IF(B1651="","",IFERROR(INDEX(Harytlar!$C$5:$C$44,MATCH(B1651,Harytlar!$A$5:$A$44,0)),""))</f>
        <v/>
      </c>
      <c r="F1651" s="10" t="str">
        <f t="shared" si="25"/>
        <v/>
      </c>
      <c r="G1651" s="10" t="str">
        <f>IF(OR(C1651="",B1651=""),"",IFERROR(C1651*INDEX(Harytlar!$D$5:$D$44,MATCH(B1651,Harytlar!$A$5:$A$44,0)),""))</f>
        <v/>
      </c>
    </row>
    <row r="1652" spans="1:7" x14ac:dyDescent="0.3">
      <c r="A1652" s="17"/>
      <c r="B1652" s="18"/>
      <c r="C1652" s="18"/>
      <c r="D1652" s="18"/>
      <c r="E1652" s="10" t="str">
        <f>IF(B1652="","",IFERROR(INDEX(Harytlar!$C$5:$C$44,MATCH(B1652,Harytlar!$A$5:$A$44,0)),""))</f>
        <v/>
      </c>
      <c r="F1652" s="10" t="str">
        <f t="shared" si="25"/>
        <v/>
      </c>
      <c r="G1652" s="10" t="str">
        <f>IF(OR(C1652="",B1652=""),"",IFERROR(C1652*INDEX(Harytlar!$D$5:$D$44,MATCH(B1652,Harytlar!$A$5:$A$44,0)),""))</f>
        <v/>
      </c>
    </row>
    <row r="1653" spans="1:7" x14ac:dyDescent="0.3">
      <c r="A1653" s="17"/>
      <c r="B1653" s="18"/>
      <c r="C1653" s="18"/>
      <c r="D1653" s="18"/>
      <c r="E1653" s="10" t="str">
        <f>IF(B1653="","",IFERROR(INDEX(Harytlar!$C$5:$C$44,MATCH(B1653,Harytlar!$A$5:$A$44,0)),""))</f>
        <v/>
      </c>
      <c r="F1653" s="10" t="str">
        <f t="shared" si="25"/>
        <v/>
      </c>
      <c r="G1653" s="10" t="str">
        <f>IF(OR(C1653="",B1653=""),"",IFERROR(C1653*INDEX(Harytlar!$D$5:$D$44,MATCH(B1653,Harytlar!$A$5:$A$44,0)),""))</f>
        <v/>
      </c>
    </row>
    <row r="1654" spans="1:7" x14ac:dyDescent="0.3">
      <c r="A1654" s="17"/>
      <c r="B1654" s="18"/>
      <c r="C1654" s="18"/>
      <c r="D1654" s="18"/>
      <c r="E1654" s="10" t="str">
        <f>IF(B1654="","",IFERROR(INDEX(Harytlar!$C$5:$C$44,MATCH(B1654,Harytlar!$A$5:$A$44,0)),""))</f>
        <v/>
      </c>
      <c r="F1654" s="10" t="str">
        <f t="shared" si="25"/>
        <v/>
      </c>
      <c r="G1654" s="10" t="str">
        <f>IF(OR(C1654="",B1654=""),"",IFERROR(C1654*INDEX(Harytlar!$D$5:$D$44,MATCH(B1654,Harytlar!$A$5:$A$44,0)),""))</f>
        <v/>
      </c>
    </row>
    <row r="1655" spans="1:7" x14ac:dyDescent="0.3">
      <c r="A1655" s="17"/>
      <c r="B1655" s="18"/>
      <c r="C1655" s="18"/>
      <c r="D1655" s="18"/>
      <c r="E1655" s="10" t="str">
        <f>IF(B1655="","",IFERROR(INDEX(Harytlar!$C$5:$C$44,MATCH(B1655,Harytlar!$A$5:$A$44,0)),""))</f>
        <v/>
      </c>
      <c r="F1655" s="10" t="str">
        <f t="shared" si="25"/>
        <v/>
      </c>
      <c r="G1655" s="10" t="str">
        <f>IF(OR(C1655="",B1655=""),"",IFERROR(C1655*INDEX(Harytlar!$D$5:$D$44,MATCH(B1655,Harytlar!$A$5:$A$44,0)),""))</f>
        <v/>
      </c>
    </row>
    <row r="1656" spans="1:7" x14ac:dyDescent="0.3">
      <c r="A1656" s="17"/>
      <c r="B1656" s="18"/>
      <c r="C1656" s="18"/>
      <c r="D1656" s="18"/>
      <c r="E1656" s="10" t="str">
        <f>IF(B1656="","",IFERROR(INDEX(Harytlar!$C$5:$C$44,MATCH(B1656,Harytlar!$A$5:$A$44,0)),""))</f>
        <v/>
      </c>
      <c r="F1656" s="10" t="str">
        <f t="shared" si="25"/>
        <v/>
      </c>
      <c r="G1656" s="10" t="str">
        <f>IF(OR(C1656="",B1656=""),"",IFERROR(C1656*INDEX(Harytlar!$D$5:$D$44,MATCH(B1656,Harytlar!$A$5:$A$44,0)),""))</f>
        <v/>
      </c>
    </row>
    <row r="1657" spans="1:7" x14ac:dyDescent="0.3">
      <c r="A1657" s="17"/>
      <c r="B1657" s="18"/>
      <c r="C1657" s="18"/>
      <c r="D1657" s="18"/>
      <c r="E1657" s="10" t="str">
        <f>IF(B1657="","",IFERROR(INDEX(Harytlar!$C$5:$C$44,MATCH(B1657,Harytlar!$A$5:$A$44,0)),""))</f>
        <v/>
      </c>
      <c r="F1657" s="10" t="str">
        <f t="shared" si="25"/>
        <v/>
      </c>
      <c r="G1657" s="10" t="str">
        <f>IF(OR(C1657="",B1657=""),"",IFERROR(C1657*INDEX(Harytlar!$D$5:$D$44,MATCH(B1657,Harytlar!$A$5:$A$44,0)),""))</f>
        <v/>
      </c>
    </row>
    <row r="1658" spans="1:7" x14ac:dyDescent="0.3">
      <c r="A1658" s="17"/>
      <c r="B1658" s="18"/>
      <c r="C1658" s="18"/>
      <c r="D1658" s="18"/>
      <c r="E1658" s="10" t="str">
        <f>IF(B1658="","",IFERROR(INDEX(Harytlar!$C$5:$C$44,MATCH(B1658,Harytlar!$A$5:$A$44,0)),""))</f>
        <v/>
      </c>
      <c r="F1658" s="10" t="str">
        <f t="shared" si="25"/>
        <v/>
      </c>
      <c r="G1658" s="10" t="str">
        <f>IF(OR(C1658="",B1658=""),"",IFERROR(C1658*INDEX(Harytlar!$D$5:$D$44,MATCH(B1658,Harytlar!$A$5:$A$44,0)),""))</f>
        <v/>
      </c>
    </row>
    <row r="1659" spans="1:7" x14ac:dyDescent="0.3">
      <c r="A1659" s="17"/>
      <c r="B1659" s="18"/>
      <c r="C1659" s="18"/>
      <c r="D1659" s="18"/>
      <c r="E1659" s="10" t="str">
        <f>IF(B1659="","",IFERROR(INDEX(Harytlar!$C$5:$C$44,MATCH(B1659,Harytlar!$A$5:$A$44,0)),""))</f>
        <v/>
      </c>
      <c r="F1659" s="10" t="str">
        <f t="shared" si="25"/>
        <v/>
      </c>
      <c r="G1659" s="10" t="str">
        <f>IF(OR(C1659="",B1659=""),"",IFERROR(C1659*INDEX(Harytlar!$D$5:$D$44,MATCH(B1659,Harytlar!$A$5:$A$44,0)),""))</f>
        <v/>
      </c>
    </row>
    <row r="1660" spans="1:7" x14ac:dyDescent="0.3">
      <c r="A1660" s="17"/>
      <c r="B1660" s="18"/>
      <c r="C1660" s="18"/>
      <c r="D1660" s="18"/>
      <c r="E1660" s="10" t="str">
        <f>IF(B1660="","",IFERROR(INDEX(Harytlar!$C$5:$C$44,MATCH(B1660,Harytlar!$A$5:$A$44,0)),""))</f>
        <v/>
      </c>
      <c r="F1660" s="10" t="str">
        <f t="shared" si="25"/>
        <v/>
      </c>
      <c r="G1660" s="10" t="str">
        <f>IF(OR(C1660="",B1660=""),"",IFERROR(C1660*INDEX(Harytlar!$D$5:$D$44,MATCH(B1660,Harytlar!$A$5:$A$44,0)),""))</f>
        <v/>
      </c>
    </row>
    <row r="1661" spans="1:7" x14ac:dyDescent="0.3">
      <c r="A1661" s="17"/>
      <c r="B1661" s="18"/>
      <c r="C1661" s="18"/>
      <c r="D1661" s="18"/>
      <c r="E1661" s="10" t="str">
        <f>IF(B1661="","",IFERROR(INDEX(Harytlar!$C$5:$C$44,MATCH(B1661,Harytlar!$A$5:$A$44,0)),""))</f>
        <v/>
      </c>
      <c r="F1661" s="10" t="str">
        <f t="shared" si="25"/>
        <v/>
      </c>
      <c r="G1661" s="10" t="str">
        <f>IF(OR(C1661="",B1661=""),"",IFERROR(C1661*INDEX(Harytlar!$D$5:$D$44,MATCH(B1661,Harytlar!$A$5:$A$44,0)),""))</f>
        <v/>
      </c>
    </row>
    <row r="1662" spans="1:7" x14ac:dyDescent="0.3">
      <c r="A1662" s="17"/>
      <c r="B1662" s="18"/>
      <c r="C1662" s="18"/>
      <c r="D1662" s="18"/>
      <c r="E1662" s="10" t="str">
        <f>IF(B1662="","",IFERROR(INDEX(Harytlar!$C$5:$C$44,MATCH(B1662,Harytlar!$A$5:$A$44,0)),""))</f>
        <v/>
      </c>
      <c r="F1662" s="10" t="str">
        <f t="shared" si="25"/>
        <v/>
      </c>
      <c r="G1662" s="10" t="str">
        <f>IF(OR(C1662="",B1662=""),"",IFERROR(C1662*INDEX(Harytlar!$D$5:$D$44,MATCH(B1662,Harytlar!$A$5:$A$44,0)),""))</f>
        <v/>
      </c>
    </row>
    <row r="1663" spans="1:7" x14ac:dyDescent="0.3">
      <c r="A1663" s="17"/>
      <c r="B1663" s="18"/>
      <c r="C1663" s="18"/>
      <c r="D1663" s="18"/>
      <c r="E1663" s="10" t="str">
        <f>IF(B1663="","",IFERROR(INDEX(Harytlar!$C$5:$C$44,MATCH(B1663,Harytlar!$A$5:$A$44,0)),""))</f>
        <v/>
      </c>
      <c r="F1663" s="10" t="str">
        <f t="shared" si="25"/>
        <v/>
      </c>
      <c r="G1663" s="10" t="str">
        <f>IF(OR(C1663="",B1663=""),"",IFERROR(C1663*INDEX(Harytlar!$D$5:$D$44,MATCH(B1663,Harytlar!$A$5:$A$44,0)),""))</f>
        <v/>
      </c>
    </row>
    <row r="1664" spans="1:7" x14ac:dyDescent="0.3">
      <c r="A1664" s="17"/>
      <c r="B1664" s="18"/>
      <c r="C1664" s="18"/>
      <c r="D1664" s="18"/>
      <c r="E1664" s="10" t="str">
        <f>IF(B1664="","",IFERROR(INDEX(Harytlar!$C$5:$C$44,MATCH(B1664,Harytlar!$A$5:$A$44,0)),""))</f>
        <v/>
      </c>
      <c r="F1664" s="10" t="str">
        <f t="shared" si="25"/>
        <v/>
      </c>
      <c r="G1664" s="10" t="str">
        <f>IF(OR(C1664="",B1664=""),"",IFERROR(C1664*INDEX(Harytlar!$D$5:$D$44,MATCH(B1664,Harytlar!$A$5:$A$44,0)),""))</f>
        <v/>
      </c>
    </row>
    <row r="1665" spans="1:7" x14ac:dyDescent="0.3">
      <c r="A1665" s="17"/>
      <c r="B1665" s="18"/>
      <c r="C1665" s="18"/>
      <c r="D1665" s="18"/>
      <c r="E1665" s="10" t="str">
        <f>IF(B1665="","",IFERROR(INDEX(Harytlar!$C$5:$C$44,MATCH(B1665,Harytlar!$A$5:$A$44,0)),""))</f>
        <v/>
      </c>
      <c r="F1665" s="10" t="str">
        <f t="shared" si="25"/>
        <v/>
      </c>
      <c r="G1665" s="10" t="str">
        <f>IF(OR(C1665="",B1665=""),"",IFERROR(C1665*INDEX(Harytlar!$D$5:$D$44,MATCH(B1665,Harytlar!$A$5:$A$44,0)),""))</f>
        <v/>
      </c>
    </row>
    <row r="1666" spans="1:7" x14ac:dyDescent="0.3">
      <c r="A1666" s="17"/>
      <c r="B1666" s="18"/>
      <c r="C1666" s="18"/>
      <c r="D1666" s="18"/>
      <c r="E1666" s="10" t="str">
        <f>IF(B1666="","",IFERROR(INDEX(Harytlar!$C$5:$C$44,MATCH(B1666,Harytlar!$A$5:$A$44,0)),""))</f>
        <v/>
      </c>
      <c r="F1666" s="10" t="str">
        <f t="shared" si="25"/>
        <v/>
      </c>
      <c r="G1666" s="10" t="str">
        <f>IF(OR(C1666="",B1666=""),"",IFERROR(C1666*INDEX(Harytlar!$D$5:$D$44,MATCH(B1666,Harytlar!$A$5:$A$44,0)),""))</f>
        <v/>
      </c>
    </row>
    <row r="1667" spans="1:7" x14ac:dyDescent="0.3">
      <c r="A1667" s="17"/>
      <c r="B1667" s="18"/>
      <c r="C1667" s="18"/>
      <c r="D1667" s="18"/>
      <c r="E1667" s="10" t="str">
        <f>IF(B1667="","",IFERROR(INDEX(Harytlar!$C$5:$C$44,MATCH(B1667,Harytlar!$A$5:$A$44,0)),""))</f>
        <v/>
      </c>
      <c r="F1667" s="10" t="str">
        <f t="shared" si="25"/>
        <v/>
      </c>
      <c r="G1667" s="10" t="str">
        <f>IF(OR(C1667="",B1667=""),"",IFERROR(C1667*INDEX(Harytlar!$D$5:$D$44,MATCH(B1667,Harytlar!$A$5:$A$44,0)),""))</f>
        <v/>
      </c>
    </row>
    <row r="1668" spans="1:7" x14ac:dyDescent="0.3">
      <c r="A1668" s="17"/>
      <c r="B1668" s="18"/>
      <c r="C1668" s="18"/>
      <c r="D1668" s="18"/>
      <c r="E1668" s="10" t="str">
        <f>IF(B1668="","",IFERROR(INDEX(Harytlar!$C$5:$C$44,MATCH(B1668,Harytlar!$A$5:$A$44,0)),""))</f>
        <v/>
      </c>
      <c r="F1668" s="10" t="str">
        <f t="shared" si="25"/>
        <v/>
      </c>
      <c r="G1668" s="10" t="str">
        <f>IF(OR(C1668="",B1668=""),"",IFERROR(C1668*INDEX(Harytlar!$D$5:$D$44,MATCH(B1668,Harytlar!$A$5:$A$44,0)),""))</f>
        <v/>
      </c>
    </row>
    <row r="1669" spans="1:7" x14ac:dyDescent="0.3">
      <c r="A1669" s="17"/>
      <c r="B1669" s="18"/>
      <c r="C1669" s="18"/>
      <c r="D1669" s="18"/>
      <c r="E1669" s="10" t="str">
        <f>IF(B1669="","",IFERROR(INDEX(Harytlar!$C$5:$C$44,MATCH(B1669,Harytlar!$A$5:$A$44,0)),""))</f>
        <v/>
      </c>
      <c r="F1669" s="10" t="str">
        <f t="shared" si="25"/>
        <v/>
      </c>
      <c r="G1669" s="10" t="str">
        <f>IF(OR(C1669="",B1669=""),"",IFERROR(C1669*INDEX(Harytlar!$D$5:$D$44,MATCH(B1669,Harytlar!$A$5:$A$44,0)),""))</f>
        <v/>
      </c>
    </row>
    <row r="1670" spans="1:7" x14ac:dyDescent="0.3">
      <c r="A1670" s="17"/>
      <c r="B1670" s="18"/>
      <c r="C1670" s="18"/>
      <c r="D1670" s="18"/>
      <c r="E1670" s="10" t="str">
        <f>IF(B1670="","",IFERROR(INDEX(Harytlar!$C$5:$C$44,MATCH(B1670,Harytlar!$A$5:$A$44,0)),""))</f>
        <v/>
      </c>
      <c r="F1670" s="10" t="str">
        <f t="shared" ref="F1670:F1733" si="26">IF(OR(C1670="",E1670=""),"",C1670*E1670)</f>
        <v/>
      </c>
      <c r="G1670" s="10" t="str">
        <f>IF(OR(C1670="",B1670=""),"",IFERROR(C1670*INDEX(Harytlar!$D$5:$D$44,MATCH(B1670,Harytlar!$A$5:$A$44,0)),""))</f>
        <v/>
      </c>
    </row>
    <row r="1671" spans="1:7" x14ac:dyDescent="0.3">
      <c r="A1671" s="17"/>
      <c r="B1671" s="18"/>
      <c r="C1671" s="18"/>
      <c r="D1671" s="18"/>
      <c r="E1671" s="10" t="str">
        <f>IF(B1671="","",IFERROR(INDEX(Harytlar!$C$5:$C$44,MATCH(B1671,Harytlar!$A$5:$A$44,0)),""))</f>
        <v/>
      </c>
      <c r="F1671" s="10" t="str">
        <f t="shared" si="26"/>
        <v/>
      </c>
      <c r="G1671" s="10" t="str">
        <f>IF(OR(C1671="",B1671=""),"",IFERROR(C1671*INDEX(Harytlar!$D$5:$D$44,MATCH(B1671,Harytlar!$A$5:$A$44,0)),""))</f>
        <v/>
      </c>
    </row>
    <row r="1672" spans="1:7" x14ac:dyDescent="0.3">
      <c r="A1672" s="17"/>
      <c r="B1672" s="18"/>
      <c r="C1672" s="18"/>
      <c r="D1672" s="18"/>
      <c r="E1672" s="10" t="str">
        <f>IF(B1672="","",IFERROR(INDEX(Harytlar!$C$5:$C$44,MATCH(B1672,Harytlar!$A$5:$A$44,0)),""))</f>
        <v/>
      </c>
      <c r="F1672" s="10" t="str">
        <f t="shared" si="26"/>
        <v/>
      </c>
      <c r="G1672" s="10" t="str">
        <f>IF(OR(C1672="",B1672=""),"",IFERROR(C1672*INDEX(Harytlar!$D$5:$D$44,MATCH(B1672,Harytlar!$A$5:$A$44,0)),""))</f>
        <v/>
      </c>
    </row>
    <row r="1673" spans="1:7" x14ac:dyDescent="0.3">
      <c r="A1673" s="17"/>
      <c r="B1673" s="18"/>
      <c r="C1673" s="18"/>
      <c r="D1673" s="18"/>
      <c r="E1673" s="10" t="str">
        <f>IF(B1673="","",IFERROR(INDEX(Harytlar!$C$5:$C$44,MATCH(B1673,Harytlar!$A$5:$A$44,0)),""))</f>
        <v/>
      </c>
      <c r="F1673" s="10" t="str">
        <f t="shared" si="26"/>
        <v/>
      </c>
      <c r="G1673" s="10" t="str">
        <f>IF(OR(C1673="",B1673=""),"",IFERROR(C1673*INDEX(Harytlar!$D$5:$D$44,MATCH(B1673,Harytlar!$A$5:$A$44,0)),""))</f>
        <v/>
      </c>
    </row>
    <row r="1674" spans="1:7" x14ac:dyDescent="0.3">
      <c r="A1674" s="17"/>
      <c r="B1674" s="18"/>
      <c r="C1674" s="18"/>
      <c r="D1674" s="18"/>
      <c r="E1674" s="10" t="str">
        <f>IF(B1674="","",IFERROR(INDEX(Harytlar!$C$5:$C$44,MATCH(B1674,Harytlar!$A$5:$A$44,0)),""))</f>
        <v/>
      </c>
      <c r="F1674" s="10" t="str">
        <f t="shared" si="26"/>
        <v/>
      </c>
      <c r="G1674" s="10" t="str">
        <f>IF(OR(C1674="",B1674=""),"",IFERROR(C1674*INDEX(Harytlar!$D$5:$D$44,MATCH(B1674,Harytlar!$A$5:$A$44,0)),""))</f>
        <v/>
      </c>
    </row>
    <row r="1675" spans="1:7" x14ac:dyDescent="0.3">
      <c r="A1675" s="17"/>
      <c r="B1675" s="18"/>
      <c r="C1675" s="18"/>
      <c r="D1675" s="18"/>
      <c r="E1675" s="10" t="str">
        <f>IF(B1675="","",IFERROR(INDEX(Harytlar!$C$5:$C$44,MATCH(B1675,Harytlar!$A$5:$A$44,0)),""))</f>
        <v/>
      </c>
      <c r="F1675" s="10" t="str">
        <f t="shared" si="26"/>
        <v/>
      </c>
      <c r="G1675" s="10" t="str">
        <f>IF(OR(C1675="",B1675=""),"",IFERROR(C1675*INDEX(Harytlar!$D$5:$D$44,MATCH(B1675,Harytlar!$A$5:$A$44,0)),""))</f>
        <v/>
      </c>
    </row>
    <row r="1676" spans="1:7" x14ac:dyDescent="0.3">
      <c r="A1676" s="17"/>
      <c r="B1676" s="18"/>
      <c r="C1676" s="18"/>
      <c r="D1676" s="18"/>
      <c r="E1676" s="10" t="str">
        <f>IF(B1676="","",IFERROR(INDEX(Harytlar!$C$5:$C$44,MATCH(B1676,Harytlar!$A$5:$A$44,0)),""))</f>
        <v/>
      </c>
      <c r="F1676" s="10" t="str">
        <f t="shared" si="26"/>
        <v/>
      </c>
      <c r="G1676" s="10" t="str">
        <f>IF(OR(C1676="",B1676=""),"",IFERROR(C1676*INDEX(Harytlar!$D$5:$D$44,MATCH(B1676,Harytlar!$A$5:$A$44,0)),""))</f>
        <v/>
      </c>
    </row>
    <row r="1677" spans="1:7" x14ac:dyDescent="0.3">
      <c r="A1677" s="17"/>
      <c r="B1677" s="18"/>
      <c r="C1677" s="18"/>
      <c r="D1677" s="18"/>
      <c r="E1677" s="10" t="str">
        <f>IF(B1677="","",IFERROR(INDEX(Harytlar!$C$5:$C$44,MATCH(B1677,Harytlar!$A$5:$A$44,0)),""))</f>
        <v/>
      </c>
      <c r="F1677" s="10" t="str">
        <f t="shared" si="26"/>
        <v/>
      </c>
      <c r="G1677" s="10" t="str">
        <f>IF(OR(C1677="",B1677=""),"",IFERROR(C1677*INDEX(Harytlar!$D$5:$D$44,MATCH(B1677,Harytlar!$A$5:$A$44,0)),""))</f>
        <v/>
      </c>
    </row>
    <row r="1678" spans="1:7" x14ac:dyDescent="0.3">
      <c r="A1678" s="17"/>
      <c r="B1678" s="18"/>
      <c r="C1678" s="18"/>
      <c r="D1678" s="18"/>
      <c r="E1678" s="10" t="str">
        <f>IF(B1678="","",IFERROR(INDEX(Harytlar!$C$5:$C$44,MATCH(B1678,Harytlar!$A$5:$A$44,0)),""))</f>
        <v/>
      </c>
      <c r="F1678" s="10" t="str">
        <f t="shared" si="26"/>
        <v/>
      </c>
      <c r="G1678" s="10" t="str">
        <f>IF(OR(C1678="",B1678=""),"",IFERROR(C1678*INDEX(Harytlar!$D$5:$D$44,MATCH(B1678,Harytlar!$A$5:$A$44,0)),""))</f>
        <v/>
      </c>
    </row>
    <row r="1679" spans="1:7" x14ac:dyDescent="0.3">
      <c r="A1679" s="17"/>
      <c r="B1679" s="18"/>
      <c r="C1679" s="18"/>
      <c r="D1679" s="18"/>
      <c r="E1679" s="10" t="str">
        <f>IF(B1679="","",IFERROR(INDEX(Harytlar!$C$5:$C$44,MATCH(B1679,Harytlar!$A$5:$A$44,0)),""))</f>
        <v/>
      </c>
      <c r="F1679" s="10" t="str">
        <f t="shared" si="26"/>
        <v/>
      </c>
      <c r="G1679" s="10" t="str">
        <f>IF(OR(C1679="",B1679=""),"",IFERROR(C1679*INDEX(Harytlar!$D$5:$D$44,MATCH(B1679,Harytlar!$A$5:$A$44,0)),""))</f>
        <v/>
      </c>
    </row>
    <row r="1680" spans="1:7" x14ac:dyDescent="0.3">
      <c r="A1680" s="17"/>
      <c r="B1680" s="18"/>
      <c r="C1680" s="18"/>
      <c r="D1680" s="18"/>
      <c r="E1680" s="10" t="str">
        <f>IF(B1680="","",IFERROR(INDEX(Harytlar!$C$5:$C$44,MATCH(B1680,Harytlar!$A$5:$A$44,0)),""))</f>
        <v/>
      </c>
      <c r="F1680" s="10" t="str">
        <f t="shared" si="26"/>
        <v/>
      </c>
      <c r="G1680" s="10" t="str">
        <f>IF(OR(C1680="",B1680=""),"",IFERROR(C1680*INDEX(Harytlar!$D$5:$D$44,MATCH(B1680,Harytlar!$A$5:$A$44,0)),""))</f>
        <v/>
      </c>
    </row>
    <row r="1681" spans="1:7" x14ac:dyDescent="0.3">
      <c r="A1681" s="17"/>
      <c r="B1681" s="18"/>
      <c r="C1681" s="18"/>
      <c r="D1681" s="18"/>
      <c r="E1681" s="10" t="str">
        <f>IF(B1681="","",IFERROR(INDEX(Harytlar!$C$5:$C$44,MATCH(B1681,Harytlar!$A$5:$A$44,0)),""))</f>
        <v/>
      </c>
      <c r="F1681" s="10" t="str">
        <f t="shared" si="26"/>
        <v/>
      </c>
      <c r="G1681" s="10" t="str">
        <f>IF(OR(C1681="",B1681=""),"",IFERROR(C1681*INDEX(Harytlar!$D$5:$D$44,MATCH(B1681,Harytlar!$A$5:$A$44,0)),""))</f>
        <v/>
      </c>
    </row>
    <row r="1682" spans="1:7" x14ac:dyDescent="0.3">
      <c r="A1682" s="17"/>
      <c r="B1682" s="18"/>
      <c r="C1682" s="18"/>
      <c r="D1682" s="18"/>
      <c r="E1682" s="10" t="str">
        <f>IF(B1682="","",IFERROR(INDEX(Harytlar!$C$5:$C$44,MATCH(B1682,Harytlar!$A$5:$A$44,0)),""))</f>
        <v/>
      </c>
      <c r="F1682" s="10" t="str">
        <f t="shared" si="26"/>
        <v/>
      </c>
      <c r="G1682" s="10" t="str">
        <f>IF(OR(C1682="",B1682=""),"",IFERROR(C1682*INDEX(Harytlar!$D$5:$D$44,MATCH(B1682,Harytlar!$A$5:$A$44,0)),""))</f>
        <v/>
      </c>
    </row>
    <row r="1683" spans="1:7" x14ac:dyDescent="0.3">
      <c r="A1683" s="17"/>
      <c r="B1683" s="18"/>
      <c r="C1683" s="18"/>
      <c r="D1683" s="18"/>
      <c r="E1683" s="10" t="str">
        <f>IF(B1683="","",IFERROR(INDEX(Harytlar!$C$5:$C$44,MATCH(B1683,Harytlar!$A$5:$A$44,0)),""))</f>
        <v/>
      </c>
      <c r="F1683" s="10" t="str">
        <f t="shared" si="26"/>
        <v/>
      </c>
      <c r="G1683" s="10" t="str">
        <f>IF(OR(C1683="",B1683=""),"",IFERROR(C1683*INDEX(Harytlar!$D$5:$D$44,MATCH(B1683,Harytlar!$A$5:$A$44,0)),""))</f>
        <v/>
      </c>
    </row>
    <row r="1684" spans="1:7" x14ac:dyDescent="0.3">
      <c r="A1684" s="17"/>
      <c r="B1684" s="18"/>
      <c r="C1684" s="18"/>
      <c r="D1684" s="18"/>
      <c r="E1684" s="10" t="str">
        <f>IF(B1684="","",IFERROR(INDEX(Harytlar!$C$5:$C$44,MATCH(B1684,Harytlar!$A$5:$A$44,0)),""))</f>
        <v/>
      </c>
      <c r="F1684" s="10" t="str">
        <f t="shared" si="26"/>
        <v/>
      </c>
      <c r="G1684" s="10" t="str">
        <f>IF(OR(C1684="",B1684=""),"",IFERROR(C1684*INDEX(Harytlar!$D$5:$D$44,MATCH(B1684,Harytlar!$A$5:$A$44,0)),""))</f>
        <v/>
      </c>
    </row>
    <row r="1685" spans="1:7" x14ac:dyDescent="0.3">
      <c r="A1685" s="17"/>
      <c r="B1685" s="18"/>
      <c r="C1685" s="18"/>
      <c r="D1685" s="18"/>
      <c r="E1685" s="10" t="str">
        <f>IF(B1685="","",IFERROR(INDEX(Harytlar!$C$5:$C$44,MATCH(B1685,Harytlar!$A$5:$A$44,0)),""))</f>
        <v/>
      </c>
      <c r="F1685" s="10" t="str">
        <f t="shared" si="26"/>
        <v/>
      </c>
      <c r="G1685" s="10" t="str">
        <f>IF(OR(C1685="",B1685=""),"",IFERROR(C1685*INDEX(Harytlar!$D$5:$D$44,MATCH(B1685,Harytlar!$A$5:$A$44,0)),""))</f>
        <v/>
      </c>
    </row>
    <row r="1686" spans="1:7" x14ac:dyDescent="0.3">
      <c r="A1686" s="17"/>
      <c r="B1686" s="18"/>
      <c r="C1686" s="18"/>
      <c r="D1686" s="18"/>
      <c r="E1686" s="10" t="str">
        <f>IF(B1686="","",IFERROR(INDEX(Harytlar!$C$5:$C$44,MATCH(B1686,Harytlar!$A$5:$A$44,0)),""))</f>
        <v/>
      </c>
      <c r="F1686" s="10" t="str">
        <f t="shared" si="26"/>
        <v/>
      </c>
      <c r="G1686" s="10" t="str">
        <f>IF(OR(C1686="",B1686=""),"",IFERROR(C1686*INDEX(Harytlar!$D$5:$D$44,MATCH(B1686,Harytlar!$A$5:$A$44,0)),""))</f>
        <v/>
      </c>
    </row>
    <row r="1687" spans="1:7" x14ac:dyDescent="0.3">
      <c r="A1687" s="17"/>
      <c r="B1687" s="18"/>
      <c r="C1687" s="18"/>
      <c r="D1687" s="18"/>
      <c r="E1687" s="10" t="str">
        <f>IF(B1687="","",IFERROR(INDEX(Harytlar!$C$5:$C$44,MATCH(B1687,Harytlar!$A$5:$A$44,0)),""))</f>
        <v/>
      </c>
      <c r="F1687" s="10" t="str">
        <f t="shared" si="26"/>
        <v/>
      </c>
      <c r="G1687" s="10" t="str">
        <f>IF(OR(C1687="",B1687=""),"",IFERROR(C1687*INDEX(Harytlar!$D$5:$D$44,MATCH(B1687,Harytlar!$A$5:$A$44,0)),""))</f>
        <v/>
      </c>
    </row>
    <row r="1688" spans="1:7" x14ac:dyDescent="0.3">
      <c r="A1688" s="17"/>
      <c r="B1688" s="18"/>
      <c r="C1688" s="18"/>
      <c r="D1688" s="18"/>
      <c r="E1688" s="10" t="str">
        <f>IF(B1688="","",IFERROR(INDEX(Harytlar!$C$5:$C$44,MATCH(B1688,Harytlar!$A$5:$A$44,0)),""))</f>
        <v/>
      </c>
      <c r="F1688" s="10" t="str">
        <f t="shared" si="26"/>
        <v/>
      </c>
      <c r="G1688" s="10" t="str">
        <f>IF(OR(C1688="",B1688=""),"",IFERROR(C1688*INDEX(Harytlar!$D$5:$D$44,MATCH(B1688,Harytlar!$A$5:$A$44,0)),""))</f>
        <v/>
      </c>
    </row>
    <row r="1689" spans="1:7" x14ac:dyDescent="0.3">
      <c r="A1689" s="17"/>
      <c r="B1689" s="18"/>
      <c r="C1689" s="18"/>
      <c r="D1689" s="18"/>
      <c r="E1689" s="10" t="str">
        <f>IF(B1689="","",IFERROR(INDEX(Harytlar!$C$5:$C$44,MATCH(B1689,Harytlar!$A$5:$A$44,0)),""))</f>
        <v/>
      </c>
      <c r="F1689" s="10" t="str">
        <f t="shared" si="26"/>
        <v/>
      </c>
      <c r="G1689" s="10" t="str">
        <f>IF(OR(C1689="",B1689=""),"",IFERROR(C1689*INDEX(Harytlar!$D$5:$D$44,MATCH(B1689,Harytlar!$A$5:$A$44,0)),""))</f>
        <v/>
      </c>
    </row>
    <row r="1690" spans="1:7" x14ac:dyDescent="0.3">
      <c r="A1690" s="17"/>
      <c r="B1690" s="18"/>
      <c r="C1690" s="18"/>
      <c r="D1690" s="18"/>
      <c r="E1690" s="10" t="str">
        <f>IF(B1690="","",IFERROR(INDEX(Harytlar!$C$5:$C$44,MATCH(B1690,Harytlar!$A$5:$A$44,0)),""))</f>
        <v/>
      </c>
      <c r="F1690" s="10" t="str">
        <f t="shared" si="26"/>
        <v/>
      </c>
      <c r="G1690" s="10" t="str">
        <f>IF(OR(C1690="",B1690=""),"",IFERROR(C1690*INDEX(Harytlar!$D$5:$D$44,MATCH(B1690,Harytlar!$A$5:$A$44,0)),""))</f>
        <v/>
      </c>
    </row>
    <row r="1691" spans="1:7" x14ac:dyDescent="0.3">
      <c r="A1691" s="17"/>
      <c r="B1691" s="18"/>
      <c r="C1691" s="18"/>
      <c r="D1691" s="18"/>
      <c r="E1691" s="10" t="str">
        <f>IF(B1691="","",IFERROR(INDEX(Harytlar!$C$5:$C$44,MATCH(B1691,Harytlar!$A$5:$A$44,0)),""))</f>
        <v/>
      </c>
      <c r="F1691" s="10" t="str">
        <f t="shared" si="26"/>
        <v/>
      </c>
      <c r="G1691" s="10" t="str">
        <f>IF(OR(C1691="",B1691=""),"",IFERROR(C1691*INDEX(Harytlar!$D$5:$D$44,MATCH(B1691,Harytlar!$A$5:$A$44,0)),""))</f>
        <v/>
      </c>
    </row>
    <row r="1692" spans="1:7" x14ac:dyDescent="0.3">
      <c r="A1692" s="17"/>
      <c r="B1692" s="18"/>
      <c r="C1692" s="18"/>
      <c r="D1692" s="18"/>
      <c r="E1692" s="10" t="str">
        <f>IF(B1692="","",IFERROR(INDEX(Harytlar!$C$5:$C$44,MATCH(B1692,Harytlar!$A$5:$A$44,0)),""))</f>
        <v/>
      </c>
      <c r="F1692" s="10" t="str">
        <f t="shared" si="26"/>
        <v/>
      </c>
      <c r="G1692" s="10" t="str">
        <f>IF(OR(C1692="",B1692=""),"",IFERROR(C1692*INDEX(Harytlar!$D$5:$D$44,MATCH(B1692,Harytlar!$A$5:$A$44,0)),""))</f>
        <v/>
      </c>
    </row>
    <row r="1693" spans="1:7" x14ac:dyDescent="0.3">
      <c r="A1693" s="17"/>
      <c r="B1693" s="18"/>
      <c r="C1693" s="18"/>
      <c r="D1693" s="18"/>
      <c r="E1693" s="10" t="str">
        <f>IF(B1693="","",IFERROR(INDEX(Harytlar!$C$5:$C$44,MATCH(B1693,Harytlar!$A$5:$A$44,0)),""))</f>
        <v/>
      </c>
      <c r="F1693" s="10" t="str">
        <f t="shared" si="26"/>
        <v/>
      </c>
      <c r="G1693" s="10" t="str">
        <f>IF(OR(C1693="",B1693=""),"",IFERROR(C1693*INDEX(Harytlar!$D$5:$D$44,MATCH(B1693,Harytlar!$A$5:$A$44,0)),""))</f>
        <v/>
      </c>
    </row>
    <row r="1694" spans="1:7" x14ac:dyDescent="0.3">
      <c r="A1694" s="17"/>
      <c r="B1694" s="18"/>
      <c r="C1694" s="18"/>
      <c r="D1694" s="18"/>
      <c r="E1694" s="10" t="str">
        <f>IF(B1694="","",IFERROR(INDEX(Harytlar!$C$5:$C$44,MATCH(B1694,Harytlar!$A$5:$A$44,0)),""))</f>
        <v/>
      </c>
      <c r="F1694" s="10" t="str">
        <f t="shared" si="26"/>
        <v/>
      </c>
      <c r="G1694" s="10" t="str">
        <f>IF(OR(C1694="",B1694=""),"",IFERROR(C1694*INDEX(Harytlar!$D$5:$D$44,MATCH(B1694,Harytlar!$A$5:$A$44,0)),""))</f>
        <v/>
      </c>
    </row>
    <row r="1695" spans="1:7" x14ac:dyDescent="0.3">
      <c r="A1695" s="17"/>
      <c r="B1695" s="18"/>
      <c r="C1695" s="18"/>
      <c r="D1695" s="18"/>
      <c r="E1695" s="10" t="str">
        <f>IF(B1695="","",IFERROR(INDEX(Harytlar!$C$5:$C$44,MATCH(B1695,Harytlar!$A$5:$A$44,0)),""))</f>
        <v/>
      </c>
      <c r="F1695" s="10" t="str">
        <f t="shared" si="26"/>
        <v/>
      </c>
      <c r="G1695" s="10" t="str">
        <f>IF(OR(C1695="",B1695=""),"",IFERROR(C1695*INDEX(Harytlar!$D$5:$D$44,MATCH(B1695,Harytlar!$A$5:$A$44,0)),""))</f>
        <v/>
      </c>
    </row>
    <row r="1696" spans="1:7" x14ac:dyDescent="0.3">
      <c r="A1696" s="17"/>
      <c r="B1696" s="18"/>
      <c r="C1696" s="18"/>
      <c r="D1696" s="18"/>
      <c r="E1696" s="10" t="str">
        <f>IF(B1696="","",IFERROR(INDEX(Harytlar!$C$5:$C$44,MATCH(B1696,Harytlar!$A$5:$A$44,0)),""))</f>
        <v/>
      </c>
      <c r="F1696" s="10" t="str">
        <f t="shared" si="26"/>
        <v/>
      </c>
      <c r="G1696" s="10" t="str">
        <f>IF(OR(C1696="",B1696=""),"",IFERROR(C1696*INDEX(Harytlar!$D$5:$D$44,MATCH(B1696,Harytlar!$A$5:$A$44,0)),""))</f>
        <v/>
      </c>
    </row>
    <row r="1697" spans="1:7" x14ac:dyDescent="0.3">
      <c r="A1697" s="17"/>
      <c r="B1697" s="18"/>
      <c r="C1697" s="18"/>
      <c r="D1697" s="18"/>
      <c r="E1697" s="10" t="str">
        <f>IF(B1697="","",IFERROR(INDEX(Harytlar!$C$5:$C$44,MATCH(B1697,Harytlar!$A$5:$A$44,0)),""))</f>
        <v/>
      </c>
      <c r="F1697" s="10" t="str">
        <f t="shared" si="26"/>
        <v/>
      </c>
      <c r="G1697" s="10" t="str">
        <f>IF(OR(C1697="",B1697=""),"",IFERROR(C1697*INDEX(Harytlar!$D$5:$D$44,MATCH(B1697,Harytlar!$A$5:$A$44,0)),""))</f>
        <v/>
      </c>
    </row>
    <row r="1698" spans="1:7" x14ac:dyDescent="0.3">
      <c r="A1698" s="17"/>
      <c r="B1698" s="18"/>
      <c r="C1698" s="18"/>
      <c r="D1698" s="18"/>
      <c r="E1698" s="10" t="str">
        <f>IF(B1698="","",IFERROR(INDEX(Harytlar!$C$5:$C$44,MATCH(B1698,Harytlar!$A$5:$A$44,0)),""))</f>
        <v/>
      </c>
      <c r="F1698" s="10" t="str">
        <f t="shared" si="26"/>
        <v/>
      </c>
      <c r="G1698" s="10" t="str">
        <f>IF(OR(C1698="",B1698=""),"",IFERROR(C1698*INDEX(Harytlar!$D$5:$D$44,MATCH(B1698,Harytlar!$A$5:$A$44,0)),""))</f>
        <v/>
      </c>
    </row>
    <row r="1699" spans="1:7" x14ac:dyDescent="0.3">
      <c r="A1699" s="17"/>
      <c r="B1699" s="18"/>
      <c r="C1699" s="18"/>
      <c r="D1699" s="18"/>
      <c r="E1699" s="10" t="str">
        <f>IF(B1699="","",IFERROR(INDEX(Harytlar!$C$5:$C$44,MATCH(B1699,Harytlar!$A$5:$A$44,0)),""))</f>
        <v/>
      </c>
      <c r="F1699" s="10" t="str">
        <f t="shared" si="26"/>
        <v/>
      </c>
      <c r="G1699" s="10" t="str">
        <f>IF(OR(C1699="",B1699=""),"",IFERROR(C1699*INDEX(Harytlar!$D$5:$D$44,MATCH(B1699,Harytlar!$A$5:$A$44,0)),""))</f>
        <v/>
      </c>
    </row>
    <row r="1700" spans="1:7" x14ac:dyDescent="0.3">
      <c r="A1700" s="17"/>
      <c r="B1700" s="18"/>
      <c r="C1700" s="18"/>
      <c r="D1700" s="18"/>
      <c r="E1700" s="10" t="str">
        <f>IF(B1700="","",IFERROR(INDEX(Harytlar!$C$5:$C$44,MATCH(B1700,Harytlar!$A$5:$A$44,0)),""))</f>
        <v/>
      </c>
      <c r="F1700" s="10" t="str">
        <f t="shared" si="26"/>
        <v/>
      </c>
      <c r="G1700" s="10" t="str">
        <f>IF(OR(C1700="",B1700=""),"",IFERROR(C1700*INDEX(Harytlar!$D$5:$D$44,MATCH(B1700,Harytlar!$A$5:$A$44,0)),""))</f>
        <v/>
      </c>
    </row>
    <row r="1701" spans="1:7" x14ac:dyDescent="0.3">
      <c r="A1701" s="17"/>
      <c r="B1701" s="18"/>
      <c r="C1701" s="18"/>
      <c r="D1701" s="18"/>
      <c r="E1701" s="10" t="str">
        <f>IF(B1701="","",IFERROR(INDEX(Harytlar!$C$5:$C$44,MATCH(B1701,Harytlar!$A$5:$A$44,0)),""))</f>
        <v/>
      </c>
      <c r="F1701" s="10" t="str">
        <f t="shared" si="26"/>
        <v/>
      </c>
      <c r="G1701" s="10" t="str">
        <f>IF(OR(C1701="",B1701=""),"",IFERROR(C1701*INDEX(Harytlar!$D$5:$D$44,MATCH(B1701,Harytlar!$A$5:$A$44,0)),""))</f>
        <v/>
      </c>
    </row>
    <row r="1702" spans="1:7" x14ac:dyDescent="0.3">
      <c r="A1702" s="17"/>
      <c r="B1702" s="18"/>
      <c r="C1702" s="18"/>
      <c r="D1702" s="18"/>
      <c r="E1702" s="10" t="str">
        <f>IF(B1702="","",IFERROR(INDEX(Harytlar!$C$5:$C$44,MATCH(B1702,Harytlar!$A$5:$A$44,0)),""))</f>
        <v/>
      </c>
      <c r="F1702" s="10" t="str">
        <f t="shared" si="26"/>
        <v/>
      </c>
      <c r="G1702" s="10" t="str">
        <f>IF(OR(C1702="",B1702=""),"",IFERROR(C1702*INDEX(Harytlar!$D$5:$D$44,MATCH(B1702,Harytlar!$A$5:$A$44,0)),""))</f>
        <v/>
      </c>
    </row>
    <row r="1703" spans="1:7" x14ac:dyDescent="0.3">
      <c r="A1703" s="17"/>
      <c r="B1703" s="18"/>
      <c r="C1703" s="18"/>
      <c r="D1703" s="18"/>
      <c r="E1703" s="10" t="str">
        <f>IF(B1703="","",IFERROR(INDEX(Harytlar!$C$5:$C$44,MATCH(B1703,Harytlar!$A$5:$A$44,0)),""))</f>
        <v/>
      </c>
      <c r="F1703" s="10" t="str">
        <f t="shared" si="26"/>
        <v/>
      </c>
      <c r="G1703" s="10" t="str">
        <f>IF(OR(C1703="",B1703=""),"",IFERROR(C1703*INDEX(Harytlar!$D$5:$D$44,MATCH(B1703,Harytlar!$A$5:$A$44,0)),""))</f>
        <v/>
      </c>
    </row>
    <row r="1704" spans="1:7" x14ac:dyDescent="0.3">
      <c r="A1704" s="17"/>
      <c r="B1704" s="18"/>
      <c r="C1704" s="18"/>
      <c r="D1704" s="18"/>
      <c r="E1704" s="10" t="str">
        <f>IF(B1704="","",IFERROR(INDEX(Harytlar!$C$5:$C$44,MATCH(B1704,Harytlar!$A$5:$A$44,0)),""))</f>
        <v/>
      </c>
      <c r="F1704" s="10" t="str">
        <f t="shared" si="26"/>
        <v/>
      </c>
      <c r="G1704" s="10" t="str">
        <f>IF(OR(C1704="",B1704=""),"",IFERROR(C1704*INDEX(Harytlar!$D$5:$D$44,MATCH(B1704,Harytlar!$A$5:$A$44,0)),""))</f>
        <v/>
      </c>
    </row>
    <row r="1705" spans="1:7" x14ac:dyDescent="0.3">
      <c r="A1705" s="17"/>
      <c r="B1705" s="18"/>
      <c r="C1705" s="18"/>
      <c r="D1705" s="18"/>
      <c r="E1705" s="10" t="str">
        <f>IF(B1705="","",IFERROR(INDEX(Harytlar!$C$5:$C$44,MATCH(B1705,Harytlar!$A$5:$A$44,0)),""))</f>
        <v/>
      </c>
      <c r="F1705" s="10" t="str">
        <f t="shared" si="26"/>
        <v/>
      </c>
      <c r="G1705" s="10" t="str">
        <f>IF(OR(C1705="",B1705=""),"",IFERROR(C1705*INDEX(Harytlar!$D$5:$D$44,MATCH(B1705,Harytlar!$A$5:$A$44,0)),""))</f>
        <v/>
      </c>
    </row>
    <row r="1706" spans="1:7" x14ac:dyDescent="0.3">
      <c r="A1706" s="17"/>
      <c r="B1706" s="18"/>
      <c r="C1706" s="18"/>
      <c r="D1706" s="18"/>
      <c r="E1706" s="10" t="str">
        <f>IF(B1706="","",IFERROR(INDEX(Harytlar!$C$5:$C$44,MATCH(B1706,Harytlar!$A$5:$A$44,0)),""))</f>
        <v/>
      </c>
      <c r="F1706" s="10" t="str">
        <f t="shared" si="26"/>
        <v/>
      </c>
      <c r="G1706" s="10" t="str">
        <f>IF(OR(C1706="",B1706=""),"",IFERROR(C1706*INDEX(Harytlar!$D$5:$D$44,MATCH(B1706,Harytlar!$A$5:$A$44,0)),""))</f>
        <v/>
      </c>
    </row>
    <row r="1707" spans="1:7" x14ac:dyDescent="0.3">
      <c r="A1707" s="17"/>
      <c r="B1707" s="18"/>
      <c r="C1707" s="18"/>
      <c r="D1707" s="18"/>
      <c r="E1707" s="10" t="str">
        <f>IF(B1707="","",IFERROR(INDEX(Harytlar!$C$5:$C$44,MATCH(B1707,Harytlar!$A$5:$A$44,0)),""))</f>
        <v/>
      </c>
      <c r="F1707" s="10" t="str">
        <f t="shared" si="26"/>
        <v/>
      </c>
      <c r="G1707" s="10" t="str">
        <f>IF(OR(C1707="",B1707=""),"",IFERROR(C1707*INDEX(Harytlar!$D$5:$D$44,MATCH(B1707,Harytlar!$A$5:$A$44,0)),""))</f>
        <v/>
      </c>
    </row>
    <row r="1708" spans="1:7" x14ac:dyDescent="0.3">
      <c r="A1708" s="17"/>
      <c r="B1708" s="18"/>
      <c r="C1708" s="18"/>
      <c r="D1708" s="18"/>
      <c r="E1708" s="10" t="str">
        <f>IF(B1708="","",IFERROR(INDEX(Harytlar!$C$5:$C$44,MATCH(B1708,Harytlar!$A$5:$A$44,0)),""))</f>
        <v/>
      </c>
      <c r="F1708" s="10" t="str">
        <f t="shared" si="26"/>
        <v/>
      </c>
      <c r="G1708" s="10" t="str">
        <f>IF(OR(C1708="",B1708=""),"",IFERROR(C1708*INDEX(Harytlar!$D$5:$D$44,MATCH(B1708,Harytlar!$A$5:$A$44,0)),""))</f>
        <v/>
      </c>
    </row>
    <row r="1709" spans="1:7" x14ac:dyDescent="0.3">
      <c r="A1709" s="17"/>
      <c r="B1709" s="18"/>
      <c r="C1709" s="18"/>
      <c r="D1709" s="18"/>
      <c r="E1709" s="10" t="str">
        <f>IF(B1709="","",IFERROR(INDEX(Harytlar!$C$5:$C$44,MATCH(B1709,Harytlar!$A$5:$A$44,0)),""))</f>
        <v/>
      </c>
      <c r="F1709" s="10" t="str">
        <f t="shared" si="26"/>
        <v/>
      </c>
      <c r="G1709" s="10" t="str">
        <f>IF(OR(C1709="",B1709=""),"",IFERROR(C1709*INDEX(Harytlar!$D$5:$D$44,MATCH(B1709,Harytlar!$A$5:$A$44,0)),""))</f>
        <v/>
      </c>
    </row>
    <row r="1710" spans="1:7" x14ac:dyDescent="0.3">
      <c r="A1710" s="17"/>
      <c r="B1710" s="18"/>
      <c r="C1710" s="18"/>
      <c r="D1710" s="18"/>
      <c r="E1710" s="10" t="str">
        <f>IF(B1710="","",IFERROR(INDEX(Harytlar!$C$5:$C$44,MATCH(B1710,Harytlar!$A$5:$A$44,0)),""))</f>
        <v/>
      </c>
      <c r="F1710" s="10" t="str">
        <f t="shared" si="26"/>
        <v/>
      </c>
      <c r="G1710" s="10" t="str">
        <f>IF(OR(C1710="",B1710=""),"",IFERROR(C1710*INDEX(Harytlar!$D$5:$D$44,MATCH(B1710,Harytlar!$A$5:$A$44,0)),""))</f>
        <v/>
      </c>
    </row>
    <row r="1711" spans="1:7" x14ac:dyDescent="0.3">
      <c r="A1711" s="17"/>
      <c r="B1711" s="18"/>
      <c r="C1711" s="18"/>
      <c r="D1711" s="18"/>
      <c r="E1711" s="10" t="str">
        <f>IF(B1711="","",IFERROR(INDEX(Harytlar!$C$5:$C$44,MATCH(B1711,Harytlar!$A$5:$A$44,0)),""))</f>
        <v/>
      </c>
      <c r="F1711" s="10" t="str">
        <f t="shared" si="26"/>
        <v/>
      </c>
      <c r="G1711" s="10" t="str">
        <f>IF(OR(C1711="",B1711=""),"",IFERROR(C1711*INDEX(Harytlar!$D$5:$D$44,MATCH(B1711,Harytlar!$A$5:$A$44,0)),""))</f>
        <v/>
      </c>
    </row>
    <row r="1712" spans="1:7" x14ac:dyDescent="0.3">
      <c r="A1712" s="17"/>
      <c r="B1712" s="18"/>
      <c r="C1712" s="18"/>
      <c r="D1712" s="18"/>
      <c r="E1712" s="10" t="str">
        <f>IF(B1712="","",IFERROR(INDEX(Harytlar!$C$5:$C$44,MATCH(B1712,Harytlar!$A$5:$A$44,0)),""))</f>
        <v/>
      </c>
      <c r="F1712" s="10" t="str">
        <f t="shared" si="26"/>
        <v/>
      </c>
      <c r="G1712" s="10" t="str">
        <f>IF(OR(C1712="",B1712=""),"",IFERROR(C1712*INDEX(Harytlar!$D$5:$D$44,MATCH(B1712,Harytlar!$A$5:$A$44,0)),""))</f>
        <v/>
      </c>
    </row>
    <row r="1713" spans="1:7" x14ac:dyDescent="0.3">
      <c r="A1713" s="17"/>
      <c r="B1713" s="18"/>
      <c r="C1713" s="18"/>
      <c r="D1713" s="18"/>
      <c r="E1713" s="10" t="str">
        <f>IF(B1713="","",IFERROR(INDEX(Harytlar!$C$5:$C$44,MATCH(B1713,Harytlar!$A$5:$A$44,0)),""))</f>
        <v/>
      </c>
      <c r="F1713" s="10" t="str">
        <f t="shared" si="26"/>
        <v/>
      </c>
      <c r="G1713" s="10" t="str">
        <f>IF(OR(C1713="",B1713=""),"",IFERROR(C1713*INDEX(Harytlar!$D$5:$D$44,MATCH(B1713,Harytlar!$A$5:$A$44,0)),""))</f>
        <v/>
      </c>
    </row>
    <row r="1714" spans="1:7" x14ac:dyDescent="0.3">
      <c r="A1714" s="17"/>
      <c r="B1714" s="18"/>
      <c r="C1714" s="18"/>
      <c r="D1714" s="18"/>
      <c r="E1714" s="10" t="str">
        <f>IF(B1714="","",IFERROR(INDEX(Harytlar!$C$5:$C$44,MATCH(B1714,Harytlar!$A$5:$A$44,0)),""))</f>
        <v/>
      </c>
      <c r="F1714" s="10" t="str">
        <f t="shared" si="26"/>
        <v/>
      </c>
      <c r="G1714" s="10" t="str">
        <f>IF(OR(C1714="",B1714=""),"",IFERROR(C1714*INDEX(Harytlar!$D$5:$D$44,MATCH(B1714,Harytlar!$A$5:$A$44,0)),""))</f>
        <v/>
      </c>
    </row>
    <row r="1715" spans="1:7" x14ac:dyDescent="0.3">
      <c r="A1715" s="17"/>
      <c r="B1715" s="18"/>
      <c r="C1715" s="18"/>
      <c r="D1715" s="18"/>
      <c r="E1715" s="10" t="str">
        <f>IF(B1715="","",IFERROR(INDEX(Harytlar!$C$5:$C$44,MATCH(B1715,Harytlar!$A$5:$A$44,0)),""))</f>
        <v/>
      </c>
      <c r="F1715" s="10" t="str">
        <f t="shared" si="26"/>
        <v/>
      </c>
      <c r="G1715" s="10" t="str">
        <f>IF(OR(C1715="",B1715=""),"",IFERROR(C1715*INDEX(Harytlar!$D$5:$D$44,MATCH(B1715,Harytlar!$A$5:$A$44,0)),""))</f>
        <v/>
      </c>
    </row>
    <row r="1716" spans="1:7" x14ac:dyDescent="0.3">
      <c r="A1716" s="17"/>
      <c r="B1716" s="18"/>
      <c r="C1716" s="18"/>
      <c r="D1716" s="18"/>
      <c r="E1716" s="10" t="str">
        <f>IF(B1716="","",IFERROR(INDEX(Harytlar!$C$5:$C$44,MATCH(B1716,Harytlar!$A$5:$A$44,0)),""))</f>
        <v/>
      </c>
      <c r="F1716" s="10" t="str">
        <f t="shared" si="26"/>
        <v/>
      </c>
      <c r="G1716" s="10" t="str">
        <f>IF(OR(C1716="",B1716=""),"",IFERROR(C1716*INDEX(Harytlar!$D$5:$D$44,MATCH(B1716,Harytlar!$A$5:$A$44,0)),""))</f>
        <v/>
      </c>
    </row>
    <row r="1717" spans="1:7" x14ac:dyDescent="0.3">
      <c r="A1717" s="17"/>
      <c r="B1717" s="18"/>
      <c r="C1717" s="18"/>
      <c r="D1717" s="18"/>
      <c r="E1717" s="10" t="str">
        <f>IF(B1717="","",IFERROR(INDEX(Harytlar!$C$5:$C$44,MATCH(B1717,Harytlar!$A$5:$A$44,0)),""))</f>
        <v/>
      </c>
      <c r="F1717" s="10" t="str">
        <f t="shared" si="26"/>
        <v/>
      </c>
      <c r="G1717" s="10" t="str">
        <f>IF(OR(C1717="",B1717=""),"",IFERROR(C1717*INDEX(Harytlar!$D$5:$D$44,MATCH(B1717,Harytlar!$A$5:$A$44,0)),""))</f>
        <v/>
      </c>
    </row>
    <row r="1718" spans="1:7" x14ac:dyDescent="0.3">
      <c r="A1718" s="17"/>
      <c r="B1718" s="18"/>
      <c r="C1718" s="18"/>
      <c r="D1718" s="18"/>
      <c r="E1718" s="10" t="str">
        <f>IF(B1718="","",IFERROR(INDEX(Harytlar!$C$5:$C$44,MATCH(B1718,Harytlar!$A$5:$A$44,0)),""))</f>
        <v/>
      </c>
      <c r="F1718" s="10" t="str">
        <f t="shared" si="26"/>
        <v/>
      </c>
      <c r="G1718" s="10" t="str">
        <f>IF(OR(C1718="",B1718=""),"",IFERROR(C1718*INDEX(Harytlar!$D$5:$D$44,MATCH(B1718,Harytlar!$A$5:$A$44,0)),""))</f>
        <v/>
      </c>
    </row>
    <row r="1719" spans="1:7" x14ac:dyDescent="0.3">
      <c r="A1719" s="17"/>
      <c r="B1719" s="18"/>
      <c r="C1719" s="18"/>
      <c r="D1719" s="18"/>
      <c r="E1719" s="10" t="str">
        <f>IF(B1719="","",IFERROR(INDEX(Harytlar!$C$5:$C$44,MATCH(B1719,Harytlar!$A$5:$A$44,0)),""))</f>
        <v/>
      </c>
      <c r="F1719" s="10" t="str">
        <f t="shared" si="26"/>
        <v/>
      </c>
      <c r="G1719" s="10" t="str">
        <f>IF(OR(C1719="",B1719=""),"",IFERROR(C1719*INDEX(Harytlar!$D$5:$D$44,MATCH(B1719,Harytlar!$A$5:$A$44,0)),""))</f>
        <v/>
      </c>
    </row>
    <row r="1720" spans="1:7" x14ac:dyDescent="0.3">
      <c r="A1720" s="17"/>
      <c r="B1720" s="18"/>
      <c r="C1720" s="18"/>
      <c r="D1720" s="18"/>
      <c r="E1720" s="10" t="str">
        <f>IF(B1720="","",IFERROR(INDEX(Harytlar!$C$5:$C$44,MATCH(B1720,Harytlar!$A$5:$A$44,0)),""))</f>
        <v/>
      </c>
      <c r="F1720" s="10" t="str">
        <f t="shared" si="26"/>
        <v/>
      </c>
      <c r="G1720" s="10" t="str">
        <f>IF(OR(C1720="",B1720=""),"",IFERROR(C1720*INDEX(Harytlar!$D$5:$D$44,MATCH(B1720,Harytlar!$A$5:$A$44,0)),""))</f>
        <v/>
      </c>
    </row>
    <row r="1721" spans="1:7" x14ac:dyDescent="0.3">
      <c r="A1721" s="17"/>
      <c r="B1721" s="18"/>
      <c r="C1721" s="18"/>
      <c r="D1721" s="18"/>
      <c r="E1721" s="10" t="str">
        <f>IF(B1721="","",IFERROR(INDEX(Harytlar!$C$5:$C$44,MATCH(B1721,Harytlar!$A$5:$A$44,0)),""))</f>
        <v/>
      </c>
      <c r="F1721" s="10" t="str">
        <f t="shared" si="26"/>
        <v/>
      </c>
      <c r="G1721" s="10" t="str">
        <f>IF(OR(C1721="",B1721=""),"",IFERROR(C1721*INDEX(Harytlar!$D$5:$D$44,MATCH(B1721,Harytlar!$A$5:$A$44,0)),""))</f>
        <v/>
      </c>
    </row>
    <row r="1722" spans="1:7" x14ac:dyDescent="0.3">
      <c r="A1722" s="17"/>
      <c r="B1722" s="18"/>
      <c r="C1722" s="18"/>
      <c r="D1722" s="18"/>
      <c r="E1722" s="10" t="str">
        <f>IF(B1722="","",IFERROR(INDEX(Harytlar!$C$5:$C$44,MATCH(B1722,Harytlar!$A$5:$A$44,0)),""))</f>
        <v/>
      </c>
      <c r="F1722" s="10" t="str">
        <f t="shared" si="26"/>
        <v/>
      </c>
      <c r="G1722" s="10" t="str">
        <f>IF(OR(C1722="",B1722=""),"",IFERROR(C1722*INDEX(Harytlar!$D$5:$D$44,MATCH(B1722,Harytlar!$A$5:$A$44,0)),""))</f>
        <v/>
      </c>
    </row>
    <row r="1723" spans="1:7" x14ac:dyDescent="0.3">
      <c r="A1723" s="17"/>
      <c r="B1723" s="18"/>
      <c r="C1723" s="18"/>
      <c r="D1723" s="18"/>
      <c r="E1723" s="10" t="str">
        <f>IF(B1723="","",IFERROR(INDEX(Harytlar!$C$5:$C$44,MATCH(B1723,Harytlar!$A$5:$A$44,0)),""))</f>
        <v/>
      </c>
      <c r="F1723" s="10" t="str">
        <f t="shared" si="26"/>
        <v/>
      </c>
      <c r="G1723" s="10" t="str">
        <f>IF(OR(C1723="",B1723=""),"",IFERROR(C1723*INDEX(Harytlar!$D$5:$D$44,MATCH(B1723,Harytlar!$A$5:$A$44,0)),""))</f>
        <v/>
      </c>
    </row>
    <row r="1724" spans="1:7" x14ac:dyDescent="0.3">
      <c r="A1724" s="17"/>
      <c r="B1724" s="18"/>
      <c r="C1724" s="18"/>
      <c r="D1724" s="18"/>
      <c r="E1724" s="10" t="str">
        <f>IF(B1724="","",IFERROR(INDEX(Harytlar!$C$5:$C$44,MATCH(B1724,Harytlar!$A$5:$A$44,0)),""))</f>
        <v/>
      </c>
      <c r="F1724" s="10" t="str">
        <f t="shared" si="26"/>
        <v/>
      </c>
      <c r="G1724" s="10" t="str">
        <f>IF(OR(C1724="",B1724=""),"",IFERROR(C1724*INDEX(Harytlar!$D$5:$D$44,MATCH(B1724,Harytlar!$A$5:$A$44,0)),""))</f>
        <v/>
      </c>
    </row>
    <row r="1725" spans="1:7" x14ac:dyDescent="0.3">
      <c r="A1725" s="17"/>
      <c r="B1725" s="18"/>
      <c r="C1725" s="18"/>
      <c r="D1725" s="18"/>
      <c r="E1725" s="10" t="str">
        <f>IF(B1725="","",IFERROR(INDEX(Harytlar!$C$5:$C$44,MATCH(B1725,Harytlar!$A$5:$A$44,0)),""))</f>
        <v/>
      </c>
      <c r="F1725" s="10" t="str">
        <f t="shared" si="26"/>
        <v/>
      </c>
      <c r="G1725" s="10" t="str">
        <f>IF(OR(C1725="",B1725=""),"",IFERROR(C1725*INDEX(Harytlar!$D$5:$D$44,MATCH(B1725,Harytlar!$A$5:$A$44,0)),""))</f>
        <v/>
      </c>
    </row>
    <row r="1726" spans="1:7" x14ac:dyDescent="0.3">
      <c r="A1726" s="17"/>
      <c r="B1726" s="18"/>
      <c r="C1726" s="18"/>
      <c r="D1726" s="18"/>
      <c r="E1726" s="10" t="str">
        <f>IF(B1726="","",IFERROR(INDEX(Harytlar!$C$5:$C$44,MATCH(B1726,Harytlar!$A$5:$A$44,0)),""))</f>
        <v/>
      </c>
      <c r="F1726" s="10" t="str">
        <f t="shared" si="26"/>
        <v/>
      </c>
      <c r="G1726" s="10" t="str">
        <f>IF(OR(C1726="",B1726=""),"",IFERROR(C1726*INDEX(Harytlar!$D$5:$D$44,MATCH(B1726,Harytlar!$A$5:$A$44,0)),""))</f>
        <v/>
      </c>
    </row>
    <row r="1727" spans="1:7" x14ac:dyDescent="0.3">
      <c r="A1727" s="17"/>
      <c r="B1727" s="18"/>
      <c r="C1727" s="18"/>
      <c r="D1727" s="18"/>
      <c r="E1727" s="10" t="str">
        <f>IF(B1727="","",IFERROR(INDEX(Harytlar!$C$5:$C$44,MATCH(B1727,Harytlar!$A$5:$A$44,0)),""))</f>
        <v/>
      </c>
      <c r="F1727" s="10" t="str">
        <f t="shared" si="26"/>
        <v/>
      </c>
      <c r="G1727" s="10" t="str">
        <f>IF(OR(C1727="",B1727=""),"",IFERROR(C1727*INDEX(Harytlar!$D$5:$D$44,MATCH(B1727,Harytlar!$A$5:$A$44,0)),""))</f>
        <v/>
      </c>
    </row>
    <row r="1728" spans="1:7" x14ac:dyDescent="0.3">
      <c r="A1728" s="17"/>
      <c r="B1728" s="18"/>
      <c r="C1728" s="18"/>
      <c r="D1728" s="18"/>
      <c r="E1728" s="10" t="str">
        <f>IF(B1728="","",IFERROR(INDEX(Harytlar!$C$5:$C$44,MATCH(B1728,Harytlar!$A$5:$A$44,0)),""))</f>
        <v/>
      </c>
      <c r="F1728" s="10" t="str">
        <f t="shared" si="26"/>
        <v/>
      </c>
      <c r="G1728" s="10" t="str">
        <f>IF(OR(C1728="",B1728=""),"",IFERROR(C1728*INDEX(Harytlar!$D$5:$D$44,MATCH(B1728,Harytlar!$A$5:$A$44,0)),""))</f>
        <v/>
      </c>
    </row>
    <row r="1729" spans="1:7" x14ac:dyDescent="0.3">
      <c r="A1729" s="17"/>
      <c r="B1729" s="18"/>
      <c r="C1729" s="18"/>
      <c r="D1729" s="18"/>
      <c r="E1729" s="10" t="str">
        <f>IF(B1729="","",IFERROR(INDEX(Harytlar!$C$5:$C$44,MATCH(B1729,Harytlar!$A$5:$A$44,0)),""))</f>
        <v/>
      </c>
      <c r="F1729" s="10" t="str">
        <f t="shared" si="26"/>
        <v/>
      </c>
      <c r="G1729" s="10" t="str">
        <f>IF(OR(C1729="",B1729=""),"",IFERROR(C1729*INDEX(Harytlar!$D$5:$D$44,MATCH(B1729,Harytlar!$A$5:$A$44,0)),""))</f>
        <v/>
      </c>
    </row>
    <row r="1730" spans="1:7" x14ac:dyDescent="0.3">
      <c r="A1730" s="17"/>
      <c r="B1730" s="18"/>
      <c r="C1730" s="18"/>
      <c r="D1730" s="18"/>
      <c r="E1730" s="10" t="str">
        <f>IF(B1730="","",IFERROR(INDEX(Harytlar!$C$5:$C$44,MATCH(B1730,Harytlar!$A$5:$A$44,0)),""))</f>
        <v/>
      </c>
      <c r="F1730" s="10" t="str">
        <f t="shared" si="26"/>
        <v/>
      </c>
      <c r="G1730" s="10" t="str">
        <f>IF(OR(C1730="",B1730=""),"",IFERROR(C1730*INDEX(Harytlar!$D$5:$D$44,MATCH(B1730,Harytlar!$A$5:$A$44,0)),""))</f>
        <v/>
      </c>
    </row>
    <row r="1731" spans="1:7" x14ac:dyDescent="0.3">
      <c r="A1731" s="17"/>
      <c r="B1731" s="18"/>
      <c r="C1731" s="18"/>
      <c r="D1731" s="18"/>
      <c r="E1731" s="10" t="str">
        <f>IF(B1731="","",IFERROR(INDEX(Harytlar!$C$5:$C$44,MATCH(B1731,Harytlar!$A$5:$A$44,0)),""))</f>
        <v/>
      </c>
      <c r="F1731" s="10" t="str">
        <f t="shared" si="26"/>
        <v/>
      </c>
      <c r="G1731" s="10" t="str">
        <f>IF(OR(C1731="",B1731=""),"",IFERROR(C1731*INDEX(Harytlar!$D$5:$D$44,MATCH(B1731,Harytlar!$A$5:$A$44,0)),""))</f>
        <v/>
      </c>
    </row>
    <row r="1732" spans="1:7" x14ac:dyDescent="0.3">
      <c r="A1732" s="17"/>
      <c r="B1732" s="18"/>
      <c r="C1732" s="18"/>
      <c r="D1732" s="18"/>
      <c r="E1732" s="10" t="str">
        <f>IF(B1732="","",IFERROR(INDEX(Harytlar!$C$5:$C$44,MATCH(B1732,Harytlar!$A$5:$A$44,0)),""))</f>
        <v/>
      </c>
      <c r="F1732" s="10" t="str">
        <f t="shared" si="26"/>
        <v/>
      </c>
      <c r="G1732" s="10" t="str">
        <f>IF(OR(C1732="",B1732=""),"",IFERROR(C1732*INDEX(Harytlar!$D$5:$D$44,MATCH(B1732,Harytlar!$A$5:$A$44,0)),""))</f>
        <v/>
      </c>
    </row>
    <row r="1733" spans="1:7" x14ac:dyDescent="0.3">
      <c r="A1733" s="17"/>
      <c r="B1733" s="18"/>
      <c r="C1733" s="18"/>
      <c r="D1733" s="18"/>
      <c r="E1733" s="10" t="str">
        <f>IF(B1733="","",IFERROR(INDEX(Harytlar!$C$5:$C$44,MATCH(B1733,Harytlar!$A$5:$A$44,0)),""))</f>
        <v/>
      </c>
      <c r="F1733" s="10" t="str">
        <f t="shared" si="26"/>
        <v/>
      </c>
      <c r="G1733" s="10" t="str">
        <f>IF(OR(C1733="",B1733=""),"",IFERROR(C1733*INDEX(Harytlar!$D$5:$D$44,MATCH(B1733,Harytlar!$A$5:$A$44,0)),""))</f>
        <v/>
      </c>
    </row>
    <row r="1734" spans="1:7" x14ac:dyDescent="0.3">
      <c r="A1734" s="17"/>
      <c r="B1734" s="18"/>
      <c r="C1734" s="18"/>
      <c r="D1734" s="18"/>
      <c r="E1734" s="10" t="str">
        <f>IF(B1734="","",IFERROR(INDEX(Harytlar!$C$5:$C$44,MATCH(B1734,Harytlar!$A$5:$A$44,0)),""))</f>
        <v/>
      </c>
      <c r="F1734" s="10" t="str">
        <f t="shared" ref="F1734:F1797" si="27">IF(OR(C1734="",E1734=""),"",C1734*E1734)</f>
        <v/>
      </c>
      <c r="G1734" s="10" t="str">
        <f>IF(OR(C1734="",B1734=""),"",IFERROR(C1734*INDEX(Harytlar!$D$5:$D$44,MATCH(B1734,Harytlar!$A$5:$A$44,0)),""))</f>
        <v/>
      </c>
    </row>
    <row r="1735" spans="1:7" x14ac:dyDescent="0.3">
      <c r="A1735" s="17"/>
      <c r="B1735" s="18"/>
      <c r="C1735" s="18"/>
      <c r="D1735" s="18"/>
      <c r="E1735" s="10" t="str">
        <f>IF(B1735="","",IFERROR(INDEX(Harytlar!$C$5:$C$44,MATCH(B1735,Harytlar!$A$5:$A$44,0)),""))</f>
        <v/>
      </c>
      <c r="F1735" s="10" t="str">
        <f t="shared" si="27"/>
        <v/>
      </c>
      <c r="G1735" s="10" t="str">
        <f>IF(OR(C1735="",B1735=""),"",IFERROR(C1735*INDEX(Harytlar!$D$5:$D$44,MATCH(B1735,Harytlar!$A$5:$A$44,0)),""))</f>
        <v/>
      </c>
    </row>
    <row r="1736" spans="1:7" x14ac:dyDescent="0.3">
      <c r="A1736" s="17"/>
      <c r="B1736" s="18"/>
      <c r="C1736" s="18"/>
      <c r="D1736" s="18"/>
      <c r="E1736" s="10" t="str">
        <f>IF(B1736="","",IFERROR(INDEX(Harytlar!$C$5:$C$44,MATCH(B1736,Harytlar!$A$5:$A$44,0)),""))</f>
        <v/>
      </c>
      <c r="F1736" s="10" t="str">
        <f t="shared" si="27"/>
        <v/>
      </c>
      <c r="G1736" s="10" t="str">
        <f>IF(OR(C1736="",B1736=""),"",IFERROR(C1736*INDEX(Harytlar!$D$5:$D$44,MATCH(B1736,Harytlar!$A$5:$A$44,0)),""))</f>
        <v/>
      </c>
    </row>
    <row r="1737" spans="1:7" x14ac:dyDescent="0.3">
      <c r="A1737" s="17"/>
      <c r="B1737" s="18"/>
      <c r="C1737" s="18"/>
      <c r="D1737" s="18"/>
      <c r="E1737" s="10" t="str">
        <f>IF(B1737="","",IFERROR(INDEX(Harytlar!$C$5:$C$44,MATCH(B1737,Harytlar!$A$5:$A$44,0)),""))</f>
        <v/>
      </c>
      <c r="F1737" s="10" t="str">
        <f t="shared" si="27"/>
        <v/>
      </c>
      <c r="G1737" s="10" t="str">
        <f>IF(OR(C1737="",B1737=""),"",IFERROR(C1737*INDEX(Harytlar!$D$5:$D$44,MATCH(B1737,Harytlar!$A$5:$A$44,0)),""))</f>
        <v/>
      </c>
    </row>
    <row r="1738" spans="1:7" x14ac:dyDescent="0.3">
      <c r="A1738" s="17"/>
      <c r="B1738" s="18"/>
      <c r="C1738" s="18"/>
      <c r="D1738" s="18"/>
      <c r="E1738" s="10" t="str">
        <f>IF(B1738="","",IFERROR(INDEX(Harytlar!$C$5:$C$44,MATCH(B1738,Harytlar!$A$5:$A$44,0)),""))</f>
        <v/>
      </c>
      <c r="F1738" s="10" t="str">
        <f t="shared" si="27"/>
        <v/>
      </c>
      <c r="G1738" s="10" t="str">
        <f>IF(OR(C1738="",B1738=""),"",IFERROR(C1738*INDEX(Harytlar!$D$5:$D$44,MATCH(B1738,Harytlar!$A$5:$A$44,0)),""))</f>
        <v/>
      </c>
    </row>
    <row r="1739" spans="1:7" x14ac:dyDescent="0.3">
      <c r="A1739" s="17"/>
      <c r="B1739" s="18"/>
      <c r="C1739" s="18"/>
      <c r="D1739" s="18"/>
      <c r="E1739" s="10" t="str">
        <f>IF(B1739="","",IFERROR(INDEX(Harytlar!$C$5:$C$44,MATCH(B1739,Harytlar!$A$5:$A$44,0)),""))</f>
        <v/>
      </c>
      <c r="F1739" s="10" t="str">
        <f t="shared" si="27"/>
        <v/>
      </c>
      <c r="G1739" s="10" t="str">
        <f>IF(OR(C1739="",B1739=""),"",IFERROR(C1739*INDEX(Harytlar!$D$5:$D$44,MATCH(B1739,Harytlar!$A$5:$A$44,0)),""))</f>
        <v/>
      </c>
    </row>
    <row r="1740" spans="1:7" x14ac:dyDescent="0.3">
      <c r="A1740" s="17"/>
      <c r="B1740" s="18"/>
      <c r="C1740" s="18"/>
      <c r="D1740" s="18"/>
      <c r="E1740" s="10" t="str">
        <f>IF(B1740="","",IFERROR(INDEX(Harytlar!$C$5:$C$44,MATCH(B1740,Harytlar!$A$5:$A$44,0)),""))</f>
        <v/>
      </c>
      <c r="F1740" s="10" t="str">
        <f t="shared" si="27"/>
        <v/>
      </c>
      <c r="G1740" s="10" t="str">
        <f>IF(OR(C1740="",B1740=""),"",IFERROR(C1740*INDEX(Harytlar!$D$5:$D$44,MATCH(B1740,Harytlar!$A$5:$A$44,0)),""))</f>
        <v/>
      </c>
    </row>
    <row r="1741" spans="1:7" x14ac:dyDescent="0.3">
      <c r="A1741" s="17"/>
      <c r="B1741" s="18"/>
      <c r="C1741" s="18"/>
      <c r="D1741" s="18"/>
      <c r="E1741" s="10" t="str">
        <f>IF(B1741="","",IFERROR(INDEX(Harytlar!$C$5:$C$44,MATCH(B1741,Harytlar!$A$5:$A$44,0)),""))</f>
        <v/>
      </c>
      <c r="F1741" s="10" t="str">
        <f t="shared" si="27"/>
        <v/>
      </c>
      <c r="G1741" s="10" t="str">
        <f>IF(OR(C1741="",B1741=""),"",IFERROR(C1741*INDEX(Harytlar!$D$5:$D$44,MATCH(B1741,Harytlar!$A$5:$A$44,0)),""))</f>
        <v/>
      </c>
    </row>
    <row r="1742" spans="1:7" x14ac:dyDescent="0.3">
      <c r="A1742" s="17"/>
      <c r="B1742" s="18"/>
      <c r="C1742" s="18"/>
      <c r="D1742" s="18"/>
      <c r="E1742" s="10" t="str">
        <f>IF(B1742="","",IFERROR(INDEX(Harytlar!$C$5:$C$44,MATCH(B1742,Harytlar!$A$5:$A$44,0)),""))</f>
        <v/>
      </c>
      <c r="F1742" s="10" t="str">
        <f t="shared" si="27"/>
        <v/>
      </c>
      <c r="G1742" s="10" t="str">
        <f>IF(OR(C1742="",B1742=""),"",IFERROR(C1742*INDEX(Harytlar!$D$5:$D$44,MATCH(B1742,Harytlar!$A$5:$A$44,0)),""))</f>
        <v/>
      </c>
    </row>
    <row r="1743" spans="1:7" x14ac:dyDescent="0.3">
      <c r="A1743" s="17"/>
      <c r="B1743" s="18"/>
      <c r="C1743" s="18"/>
      <c r="D1743" s="18"/>
      <c r="E1743" s="10" t="str">
        <f>IF(B1743="","",IFERROR(INDEX(Harytlar!$C$5:$C$44,MATCH(B1743,Harytlar!$A$5:$A$44,0)),""))</f>
        <v/>
      </c>
      <c r="F1743" s="10" t="str">
        <f t="shared" si="27"/>
        <v/>
      </c>
      <c r="G1743" s="10" t="str">
        <f>IF(OR(C1743="",B1743=""),"",IFERROR(C1743*INDEX(Harytlar!$D$5:$D$44,MATCH(B1743,Harytlar!$A$5:$A$44,0)),""))</f>
        <v/>
      </c>
    </row>
    <row r="1744" spans="1:7" x14ac:dyDescent="0.3">
      <c r="A1744" s="17"/>
      <c r="B1744" s="18"/>
      <c r="C1744" s="18"/>
      <c r="D1744" s="18"/>
      <c r="E1744" s="10" t="str">
        <f>IF(B1744="","",IFERROR(INDEX(Harytlar!$C$5:$C$44,MATCH(B1744,Harytlar!$A$5:$A$44,0)),""))</f>
        <v/>
      </c>
      <c r="F1744" s="10" t="str">
        <f t="shared" si="27"/>
        <v/>
      </c>
      <c r="G1744" s="10" t="str">
        <f>IF(OR(C1744="",B1744=""),"",IFERROR(C1744*INDEX(Harytlar!$D$5:$D$44,MATCH(B1744,Harytlar!$A$5:$A$44,0)),""))</f>
        <v/>
      </c>
    </row>
    <row r="1745" spans="1:7" x14ac:dyDescent="0.3">
      <c r="A1745" s="17"/>
      <c r="B1745" s="18"/>
      <c r="C1745" s="18"/>
      <c r="D1745" s="18"/>
      <c r="E1745" s="10" t="str">
        <f>IF(B1745="","",IFERROR(INDEX(Harytlar!$C$5:$C$44,MATCH(B1745,Harytlar!$A$5:$A$44,0)),""))</f>
        <v/>
      </c>
      <c r="F1745" s="10" t="str">
        <f t="shared" si="27"/>
        <v/>
      </c>
      <c r="G1745" s="10" t="str">
        <f>IF(OR(C1745="",B1745=""),"",IFERROR(C1745*INDEX(Harytlar!$D$5:$D$44,MATCH(B1745,Harytlar!$A$5:$A$44,0)),""))</f>
        <v/>
      </c>
    </row>
    <row r="1746" spans="1:7" x14ac:dyDescent="0.3">
      <c r="A1746" s="17"/>
      <c r="B1746" s="18"/>
      <c r="C1746" s="18"/>
      <c r="D1746" s="18"/>
      <c r="E1746" s="10" t="str">
        <f>IF(B1746="","",IFERROR(INDEX(Harytlar!$C$5:$C$44,MATCH(B1746,Harytlar!$A$5:$A$44,0)),""))</f>
        <v/>
      </c>
      <c r="F1746" s="10" t="str">
        <f t="shared" si="27"/>
        <v/>
      </c>
      <c r="G1746" s="10" t="str">
        <f>IF(OR(C1746="",B1746=""),"",IFERROR(C1746*INDEX(Harytlar!$D$5:$D$44,MATCH(B1746,Harytlar!$A$5:$A$44,0)),""))</f>
        <v/>
      </c>
    </row>
    <row r="1747" spans="1:7" x14ac:dyDescent="0.3">
      <c r="A1747" s="17"/>
      <c r="B1747" s="18"/>
      <c r="C1747" s="18"/>
      <c r="D1747" s="18"/>
      <c r="E1747" s="10" t="str">
        <f>IF(B1747="","",IFERROR(INDEX(Harytlar!$C$5:$C$44,MATCH(B1747,Harytlar!$A$5:$A$44,0)),""))</f>
        <v/>
      </c>
      <c r="F1747" s="10" t="str">
        <f t="shared" si="27"/>
        <v/>
      </c>
      <c r="G1747" s="10" t="str">
        <f>IF(OR(C1747="",B1747=""),"",IFERROR(C1747*INDEX(Harytlar!$D$5:$D$44,MATCH(B1747,Harytlar!$A$5:$A$44,0)),""))</f>
        <v/>
      </c>
    </row>
    <row r="1748" spans="1:7" x14ac:dyDescent="0.3">
      <c r="A1748" s="17"/>
      <c r="B1748" s="18"/>
      <c r="C1748" s="18"/>
      <c r="D1748" s="18"/>
      <c r="E1748" s="10" t="str">
        <f>IF(B1748="","",IFERROR(INDEX(Harytlar!$C$5:$C$44,MATCH(B1748,Harytlar!$A$5:$A$44,0)),""))</f>
        <v/>
      </c>
      <c r="F1748" s="10" t="str">
        <f t="shared" si="27"/>
        <v/>
      </c>
      <c r="G1748" s="10" t="str">
        <f>IF(OR(C1748="",B1748=""),"",IFERROR(C1748*INDEX(Harytlar!$D$5:$D$44,MATCH(B1748,Harytlar!$A$5:$A$44,0)),""))</f>
        <v/>
      </c>
    </row>
    <row r="1749" spans="1:7" x14ac:dyDescent="0.3">
      <c r="A1749" s="17"/>
      <c r="B1749" s="18"/>
      <c r="C1749" s="18"/>
      <c r="D1749" s="18"/>
      <c r="E1749" s="10" t="str">
        <f>IF(B1749="","",IFERROR(INDEX(Harytlar!$C$5:$C$44,MATCH(B1749,Harytlar!$A$5:$A$44,0)),""))</f>
        <v/>
      </c>
      <c r="F1749" s="10" t="str">
        <f t="shared" si="27"/>
        <v/>
      </c>
      <c r="G1749" s="10" t="str">
        <f>IF(OR(C1749="",B1749=""),"",IFERROR(C1749*INDEX(Harytlar!$D$5:$D$44,MATCH(B1749,Harytlar!$A$5:$A$44,0)),""))</f>
        <v/>
      </c>
    </row>
    <row r="1750" spans="1:7" x14ac:dyDescent="0.3">
      <c r="A1750" s="17"/>
      <c r="B1750" s="18"/>
      <c r="C1750" s="18"/>
      <c r="D1750" s="18"/>
      <c r="E1750" s="10" t="str">
        <f>IF(B1750="","",IFERROR(INDEX(Harytlar!$C$5:$C$44,MATCH(B1750,Harytlar!$A$5:$A$44,0)),""))</f>
        <v/>
      </c>
      <c r="F1750" s="10" t="str">
        <f t="shared" si="27"/>
        <v/>
      </c>
      <c r="G1750" s="10" t="str">
        <f>IF(OR(C1750="",B1750=""),"",IFERROR(C1750*INDEX(Harytlar!$D$5:$D$44,MATCH(B1750,Harytlar!$A$5:$A$44,0)),""))</f>
        <v/>
      </c>
    </row>
    <row r="1751" spans="1:7" x14ac:dyDescent="0.3">
      <c r="A1751" s="17"/>
      <c r="B1751" s="18"/>
      <c r="C1751" s="18"/>
      <c r="D1751" s="18"/>
      <c r="E1751" s="10" t="str">
        <f>IF(B1751="","",IFERROR(INDEX(Harytlar!$C$5:$C$44,MATCH(B1751,Harytlar!$A$5:$A$44,0)),""))</f>
        <v/>
      </c>
      <c r="F1751" s="10" t="str">
        <f t="shared" si="27"/>
        <v/>
      </c>
      <c r="G1751" s="10" t="str">
        <f>IF(OR(C1751="",B1751=""),"",IFERROR(C1751*INDEX(Harytlar!$D$5:$D$44,MATCH(B1751,Harytlar!$A$5:$A$44,0)),""))</f>
        <v/>
      </c>
    </row>
    <row r="1752" spans="1:7" x14ac:dyDescent="0.3">
      <c r="A1752" s="17"/>
      <c r="B1752" s="18"/>
      <c r="C1752" s="18"/>
      <c r="D1752" s="18"/>
      <c r="E1752" s="10" t="str">
        <f>IF(B1752="","",IFERROR(INDEX(Harytlar!$C$5:$C$44,MATCH(B1752,Harytlar!$A$5:$A$44,0)),""))</f>
        <v/>
      </c>
      <c r="F1752" s="10" t="str">
        <f t="shared" si="27"/>
        <v/>
      </c>
      <c r="G1752" s="10" t="str">
        <f>IF(OR(C1752="",B1752=""),"",IFERROR(C1752*INDEX(Harytlar!$D$5:$D$44,MATCH(B1752,Harytlar!$A$5:$A$44,0)),""))</f>
        <v/>
      </c>
    </row>
    <row r="1753" spans="1:7" x14ac:dyDescent="0.3">
      <c r="A1753" s="17"/>
      <c r="B1753" s="18"/>
      <c r="C1753" s="18"/>
      <c r="D1753" s="18"/>
      <c r="E1753" s="10" t="str">
        <f>IF(B1753="","",IFERROR(INDEX(Harytlar!$C$5:$C$44,MATCH(B1753,Harytlar!$A$5:$A$44,0)),""))</f>
        <v/>
      </c>
      <c r="F1753" s="10" t="str">
        <f t="shared" si="27"/>
        <v/>
      </c>
      <c r="G1753" s="10" t="str">
        <f>IF(OR(C1753="",B1753=""),"",IFERROR(C1753*INDEX(Harytlar!$D$5:$D$44,MATCH(B1753,Harytlar!$A$5:$A$44,0)),""))</f>
        <v/>
      </c>
    </row>
    <row r="1754" spans="1:7" x14ac:dyDescent="0.3">
      <c r="A1754" s="17"/>
      <c r="B1754" s="18"/>
      <c r="C1754" s="18"/>
      <c r="D1754" s="18"/>
      <c r="E1754" s="10" t="str">
        <f>IF(B1754="","",IFERROR(INDEX(Harytlar!$C$5:$C$44,MATCH(B1754,Harytlar!$A$5:$A$44,0)),""))</f>
        <v/>
      </c>
      <c r="F1754" s="10" t="str">
        <f t="shared" si="27"/>
        <v/>
      </c>
      <c r="G1754" s="10" t="str">
        <f>IF(OR(C1754="",B1754=""),"",IFERROR(C1754*INDEX(Harytlar!$D$5:$D$44,MATCH(B1754,Harytlar!$A$5:$A$44,0)),""))</f>
        <v/>
      </c>
    </row>
    <row r="1755" spans="1:7" x14ac:dyDescent="0.3">
      <c r="A1755" s="17"/>
      <c r="B1755" s="18"/>
      <c r="C1755" s="18"/>
      <c r="D1755" s="18"/>
      <c r="E1755" s="10" t="str">
        <f>IF(B1755="","",IFERROR(INDEX(Harytlar!$C$5:$C$44,MATCH(B1755,Harytlar!$A$5:$A$44,0)),""))</f>
        <v/>
      </c>
      <c r="F1755" s="10" t="str">
        <f t="shared" si="27"/>
        <v/>
      </c>
      <c r="G1755" s="10" t="str">
        <f>IF(OR(C1755="",B1755=""),"",IFERROR(C1755*INDEX(Harytlar!$D$5:$D$44,MATCH(B1755,Harytlar!$A$5:$A$44,0)),""))</f>
        <v/>
      </c>
    </row>
    <row r="1756" spans="1:7" x14ac:dyDescent="0.3">
      <c r="A1756" s="17"/>
      <c r="B1756" s="18"/>
      <c r="C1756" s="18"/>
      <c r="D1756" s="18"/>
      <c r="E1756" s="10" t="str">
        <f>IF(B1756="","",IFERROR(INDEX(Harytlar!$C$5:$C$44,MATCH(B1756,Harytlar!$A$5:$A$44,0)),""))</f>
        <v/>
      </c>
      <c r="F1756" s="10" t="str">
        <f t="shared" si="27"/>
        <v/>
      </c>
      <c r="G1756" s="10" t="str">
        <f>IF(OR(C1756="",B1756=""),"",IFERROR(C1756*INDEX(Harytlar!$D$5:$D$44,MATCH(B1756,Harytlar!$A$5:$A$44,0)),""))</f>
        <v/>
      </c>
    </row>
    <row r="1757" spans="1:7" x14ac:dyDescent="0.3">
      <c r="A1757" s="17"/>
      <c r="B1757" s="18"/>
      <c r="C1757" s="18"/>
      <c r="D1757" s="18"/>
      <c r="E1757" s="10" t="str">
        <f>IF(B1757="","",IFERROR(INDEX(Harytlar!$C$5:$C$44,MATCH(B1757,Harytlar!$A$5:$A$44,0)),""))</f>
        <v/>
      </c>
      <c r="F1757" s="10" t="str">
        <f t="shared" si="27"/>
        <v/>
      </c>
      <c r="G1757" s="10" t="str">
        <f>IF(OR(C1757="",B1757=""),"",IFERROR(C1757*INDEX(Harytlar!$D$5:$D$44,MATCH(B1757,Harytlar!$A$5:$A$44,0)),""))</f>
        <v/>
      </c>
    </row>
    <row r="1758" spans="1:7" x14ac:dyDescent="0.3">
      <c r="A1758" s="17"/>
      <c r="B1758" s="18"/>
      <c r="C1758" s="18"/>
      <c r="D1758" s="18"/>
      <c r="E1758" s="10" t="str">
        <f>IF(B1758="","",IFERROR(INDEX(Harytlar!$C$5:$C$44,MATCH(B1758,Harytlar!$A$5:$A$44,0)),""))</f>
        <v/>
      </c>
      <c r="F1758" s="10" t="str">
        <f t="shared" si="27"/>
        <v/>
      </c>
      <c r="G1758" s="10" t="str">
        <f>IF(OR(C1758="",B1758=""),"",IFERROR(C1758*INDEX(Harytlar!$D$5:$D$44,MATCH(B1758,Harytlar!$A$5:$A$44,0)),""))</f>
        <v/>
      </c>
    </row>
    <row r="1759" spans="1:7" x14ac:dyDescent="0.3">
      <c r="A1759" s="17"/>
      <c r="B1759" s="18"/>
      <c r="C1759" s="18"/>
      <c r="D1759" s="18"/>
      <c r="E1759" s="10" t="str">
        <f>IF(B1759="","",IFERROR(INDEX(Harytlar!$C$5:$C$44,MATCH(B1759,Harytlar!$A$5:$A$44,0)),""))</f>
        <v/>
      </c>
      <c r="F1759" s="10" t="str">
        <f t="shared" si="27"/>
        <v/>
      </c>
      <c r="G1759" s="10" t="str">
        <f>IF(OR(C1759="",B1759=""),"",IFERROR(C1759*INDEX(Harytlar!$D$5:$D$44,MATCH(B1759,Harytlar!$A$5:$A$44,0)),""))</f>
        <v/>
      </c>
    </row>
    <row r="1760" spans="1:7" x14ac:dyDescent="0.3">
      <c r="A1760" s="17"/>
      <c r="B1760" s="18"/>
      <c r="C1760" s="18"/>
      <c r="D1760" s="18"/>
      <c r="E1760" s="10" t="str">
        <f>IF(B1760="","",IFERROR(INDEX(Harytlar!$C$5:$C$44,MATCH(B1760,Harytlar!$A$5:$A$44,0)),""))</f>
        <v/>
      </c>
      <c r="F1760" s="10" t="str">
        <f t="shared" si="27"/>
        <v/>
      </c>
      <c r="G1760" s="10" t="str">
        <f>IF(OR(C1760="",B1760=""),"",IFERROR(C1760*INDEX(Harytlar!$D$5:$D$44,MATCH(B1760,Harytlar!$A$5:$A$44,0)),""))</f>
        <v/>
      </c>
    </row>
    <row r="1761" spans="1:7" x14ac:dyDescent="0.3">
      <c r="A1761" s="17"/>
      <c r="B1761" s="18"/>
      <c r="C1761" s="18"/>
      <c r="D1761" s="18"/>
      <c r="E1761" s="10" t="str">
        <f>IF(B1761="","",IFERROR(INDEX(Harytlar!$C$5:$C$44,MATCH(B1761,Harytlar!$A$5:$A$44,0)),""))</f>
        <v/>
      </c>
      <c r="F1761" s="10" t="str">
        <f t="shared" si="27"/>
        <v/>
      </c>
      <c r="G1761" s="10" t="str">
        <f>IF(OR(C1761="",B1761=""),"",IFERROR(C1761*INDEX(Harytlar!$D$5:$D$44,MATCH(B1761,Harytlar!$A$5:$A$44,0)),""))</f>
        <v/>
      </c>
    </row>
    <row r="1762" spans="1:7" x14ac:dyDescent="0.3">
      <c r="A1762" s="17"/>
      <c r="B1762" s="18"/>
      <c r="C1762" s="18"/>
      <c r="D1762" s="18"/>
      <c r="E1762" s="10" t="str">
        <f>IF(B1762="","",IFERROR(INDEX(Harytlar!$C$5:$C$44,MATCH(B1762,Harytlar!$A$5:$A$44,0)),""))</f>
        <v/>
      </c>
      <c r="F1762" s="10" t="str">
        <f t="shared" si="27"/>
        <v/>
      </c>
      <c r="G1762" s="10" t="str">
        <f>IF(OR(C1762="",B1762=""),"",IFERROR(C1762*INDEX(Harytlar!$D$5:$D$44,MATCH(B1762,Harytlar!$A$5:$A$44,0)),""))</f>
        <v/>
      </c>
    </row>
    <row r="1763" spans="1:7" x14ac:dyDescent="0.3">
      <c r="A1763" s="17"/>
      <c r="B1763" s="18"/>
      <c r="C1763" s="18"/>
      <c r="D1763" s="18"/>
      <c r="E1763" s="10" t="str">
        <f>IF(B1763="","",IFERROR(INDEX(Harytlar!$C$5:$C$44,MATCH(B1763,Harytlar!$A$5:$A$44,0)),""))</f>
        <v/>
      </c>
      <c r="F1763" s="10" t="str">
        <f t="shared" si="27"/>
        <v/>
      </c>
      <c r="G1763" s="10" t="str">
        <f>IF(OR(C1763="",B1763=""),"",IFERROR(C1763*INDEX(Harytlar!$D$5:$D$44,MATCH(B1763,Harytlar!$A$5:$A$44,0)),""))</f>
        <v/>
      </c>
    </row>
    <row r="1764" spans="1:7" x14ac:dyDescent="0.3">
      <c r="A1764" s="17"/>
      <c r="B1764" s="18"/>
      <c r="C1764" s="18"/>
      <c r="D1764" s="18"/>
      <c r="E1764" s="10" t="str">
        <f>IF(B1764="","",IFERROR(INDEX(Harytlar!$C$5:$C$44,MATCH(B1764,Harytlar!$A$5:$A$44,0)),""))</f>
        <v/>
      </c>
      <c r="F1764" s="10" t="str">
        <f t="shared" si="27"/>
        <v/>
      </c>
      <c r="G1764" s="10" t="str">
        <f>IF(OR(C1764="",B1764=""),"",IFERROR(C1764*INDEX(Harytlar!$D$5:$D$44,MATCH(B1764,Harytlar!$A$5:$A$44,0)),""))</f>
        <v/>
      </c>
    </row>
    <row r="1765" spans="1:7" x14ac:dyDescent="0.3">
      <c r="A1765" s="17"/>
      <c r="B1765" s="18"/>
      <c r="C1765" s="18"/>
      <c r="D1765" s="18"/>
      <c r="E1765" s="10" t="str">
        <f>IF(B1765="","",IFERROR(INDEX(Harytlar!$C$5:$C$44,MATCH(B1765,Harytlar!$A$5:$A$44,0)),""))</f>
        <v/>
      </c>
      <c r="F1765" s="10" t="str">
        <f t="shared" si="27"/>
        <v/>
      </c>
      <c r="G1765" s="10" t="str">
        <f>IF(OR(C1765="",B1765=""),"",IFERROR(C1765*INDEX(Harytlar!$D$5:$D$44,MATCH(B1765,Harytlar!$A$5:$A$44,0)),""))</f>
        <v/>
      </c>
    </row>
    <row r="1766" spans="1:7" x14ac:dyDescent="0.3">
      <c r="A1766" s="17"/>
      <c r="B1766" s="18"/>
      <c r="C1766" s="18"/>
      <c r="D1766" s="18"/>
      <c r="E1766" s="10" t="str">
        <f>IF(B1766="","",IFERROR(INDEX(Harytlar!$C$5:$C$44,MATCH(B1766,Harytlar!$A$5:$A$44,0)),""))</f>
        <v/>
      </c>
      <c r="F1766" s="10" t="str">
        <f t="shared" si="27"/>
        <v/>
      </c>
      <c r="G1766" s="10" t="str">
        <f>IF(OR(C1766="",B1766=""),"",IFERROR(C1766*INDEX(Harytlar!$D$5:$D$44,MATCH(B1766,Harytlar!$A$5:$A$44,0)),""))</f>
        <v/>
      </c>
    </row>
    <row r="1767" spans="1:7" x14ac:dyDescent="0.3">
      <c r="A1767" s="17"/>
      <c r="B1767" s="18"/>
      <c r="C1767" s="18"/>
      <c r="D1767" s="18"/>
      <c r="E1767" s="10" t="str">
        <f>IF(B1767="","",IFERROR(INDEX(Harytlar!$C$5:$C$44,MATCH(B1767,Harytlar!$A$5:$A$44,0)),""))</f>
        <v/>
      </c>
      <c r="F1767" s="10" t="str">
        <f t="shared" si="27"/>
        <v/>
      </c>
      <c r="G1767" s="10" t="str">
        <f>IF(OR(C1767="",B1767=""),"",IFERROR(C1767*INDEX(Harytlar!$D$5:$D$44,MATCH(B1767,Harytlar!$A$5:$A$44,0)),""))</f>
        <v/>
      </c>
    </row>
    <row r="1768" spans="1:7" x14ac:dyDescent="0.3">
      <c r="A1768" s="17"/>
      <c r="B1768" s="18"/>
      <c r="C1768" s="18"/>
      <c r="D1768" s="18"/>
      <c r="E1768" s="10" t="str">
        <f>IF(B1768="","",IFERROR(INDEX(Harytlar!$C$5:$C$44,MATCH(B1768,Harytlar!$A$5:$A$44,0)),""))</f>
        <v/>
      </c>
      <c r="F1768" s="10" t="str">
        <f t="shared" si="27"/>
        <v/>
      </c>
      <c r="G1768" s="10" t="str">
        <f>IF(OR(C1768="",B1768=""),"",IFERROR(C1768*INDEX(Harytlar!$D$5:$D$44,MATCH(B1768,Harytlar!$A$5:$A$44,0)),""))</f>
        <v/>
      </c>
    </row>
    <row r="1769" spans="1:7" x14ac:dyDescent="0.3">
      <c r="A1769" s="17"/>
      <c r="B1769" s="18"/>
      <c r="C1769" s="18"/>
      <c r="D1769" s="18"/>
      <c r="E1769" s="10" t="str">
        <f>IF(B1769="","",IFERROR(INDEX(Harytlar!$C$5:$C$44,MATCH(B1769,Harytlar!$A$5:$A$44,0)),""))</f>
        <v/>
      </c>
      <c r="F1769" s="10" t="str">
        <f t="shared" si="27"/>
        <v/>
      </c>
      <c r="G1769" s="10" t="str">
        <f>IF(OR(C1769="",B1769=""),"",IFERROR(C1769*INDEX(Harytlar!$D$5:$D$44,MATCH(B1769,Harytlar!$A$5:$A$44,0)),""))</f>
        <v/>
      </c>
    </row>
    <row r="1770" spans="1:7" x14ac:dyDescent="0.3">
      <c r="A1770" s="17"/>
      <c r="B1770" s="18"/>
      <c r="C1770" s="18"/>
      <c r="D1770" s="18"/>
      <c r="E1770" s="10" t="str">
        <f>IF(B1770="","",IFERROR(INDEX(Harytlar!$C$5:$C$44,MATCH(B1770,Harytlar!$A$5:$A$44,0)),""))</f>
        <v/>
      </c>
      <c r="F1770" s="10" t="str">
        <f t="shared" si="27"/>
        <v/>
      </c>
      <c r="G1770" s="10" t="str">
        <f>IF(OR(C1770="",B1770=""),"",IFERROR(C1770*INDEX(Harytlar!$D$5:$D$44,MATCH(B1770,Harytlar!$A$5:$A$44,0)),""))</f>
        <v/>
      </c>
    </row>
    <row r="1771" spans="1:7" x14ac:dyDescent="0.3">
      <c r="A1771" s="17"/>
      <c r="B1771" s="18"/>
      <c r="C1771" s="18"/>
      <c r="D1771" s="18"/>
      <c r="E1771" s="10" t="str">
        <f>IF(B1771="","",IFERROR(INDEX(Harytlar!$C$5:$C$44,MATCH(B1771,Harytlar!$A$5:$A$44,0)),""))</f>
        <v/>
      </c>
      <c r="F1771" s="10" t="str">
        <f t="shared" si="27"/>
        <v/>
      </c>
      <c r="G1771" s="10" t="str">
        <f>IF(OR(C1771="",B1771=""),"",IFERROR(C1771*INDEX(Harytlar!$D$5:$D$44,MATCH(B1771,Harytlar!$A$5:$A$44,0)),""))</f>
        <v/>
      </c>
    </row>
    <row r="1772" spans="1:7" x14ac:dyDescent="0.3">
      <c r="A1772" s="17"/>
      <c r="B1772" s="18"/>
      <c r="C1772" s="18"/>
      <c r="D1772" s="18"/>
      <c r="E1772" s="10" t="str">
        <f>IF(B1772="","",IFERROR(INDEX(Harytlar!$C$5:$C$44,MATCH(B1772,Harytlar!$A$5:$A$44,0)),""))</f>
        <v/>
      </c>
      <c r="F1772" s="10" t="str">
        <f t="shared" si="27"/>
        <v/>
      </c>
      <c r="G1772" s="10" t="str">
        <f>IF(OR(C1772="",B1772=""),"",IFERROR(C1772*INDEX(Harytlar!$D$5:$D$44,MATCH(B1772,Harytlar!$A$5:$A$44,0)),""))</f>
        <v/>
      </c>
    </row>
    <row r="1773" spans="1:7" x14ac:dyDescent="0.3">
      <c r="A1773" s="17"/>
      <c r="B1773" s="18"/>
      <c r="C1773" s="18"/>
      <c r="D1773" s="18"/>
      <c r="E1773" s="10" t="str">
        <f>IF(B1773="","",IFERROR(INDEX(Harytlar!$C$5:$C$44,MATCH(B1773,Harytlar!$A$5:$A$44,0)),""))</f>
        <v/>
      </c>
      <c r="F1773" s="10" t="str">
        <f t="shared" si="27"/>
        <v/>
      </c>
      <c r="G1773" s="10" t="str">
        <f>IF(OR(C1773="",B1773=""),"",IFERROR(C1773*INDEX(Harytlar!$D$5:$D$44,MATCH(B1773,Harytlar!$A$5:$A$44,0)),""))</f>
        <v/>
      </c>
    </row>
    <row r="1774" spans="1:7" x14ac:dyDescent="0.3">
      <c r="A1774" s="17"/>
      <c r="B1774" s="18"/>
      <c r="C1774" s="18"/>
      <c r="D1774" s="18"/>
      <c r="E1774" s="10" t="str">
        <f>IF(B1774="","",IFERROR(INDEX(Harytlar!$C$5:$C$44,MATCH(B1774,Harytlar!$A$5:$A$44,0)),""))</f>
        <v/>
      </c>
      <c r="F1774" s="10" t="str">
        <f t="shared" si="27"/>
        <v/>
      </c>
      <c r="G1774" s="10" t="str">
        <f>IF(OR(C1774="",B1774=""),"",IFERROR(C1774*INDEX(Harytlar!$D$5:$D$44,MATCH(B1774,Harytlar!$A$5:$A$44,0)),""))</f>
        <v/>
      </c>
    </row>
    <row r="1775" spans="1:7" x14ac:dyDescent="0.3">
      <c r="A1775" s="17"/>
      <c r="B1775" s="18"/>
      <c r="C1775" s="18"/>
      <c r="D1775" s="18"/>
      <c r="E1775" s="10" t="str">
        <f>IF(B1775="","",IFERROR(INDEX(Harytlar!$C$5:$C$44,MATCH(B1775,Harytlar!$A$5:$A$44,0)),""))</f>
        <v/>
      </c>
      <c r="F1775" s="10" t="str">
        <f t="shared" si="27"/>
        <v/>
      </c>
      <c r="G1775" s="10" t="str">
        <f>IF(OR(C1775="",B1775=""),"",IFERROR(C1775*INDEX(Harytlar!$D$5:$D$44,MATCH(B1775,Harytlar!$A$5:$A$44,0)),""))</f>
        <v/>
      </c>
    </row>
    <row r="1776" spans="1:7" x14ac:dyDescent="0.3">
      <c r="A1776" s="17"/>
      <c r="B1776" s="18"/>
      <c r="C1776" s="18"/>
      <c r="D1776" s="18"/>
      <c r="E1776" s="10" t="str">
        <f>IF(B1776="","",IFERROR(INDEX(Harytlar!$C$5:$C$44,MATCH(B1776,Harytlar!$A$5:$A$44,0)),""))</f>
        <v/>
      </c>
      <c r="F1776" s="10" t="str">
        <f t="shared" si="27"/>
        <v/>
      </c>
      <c r="G1776" s="10" t="str">
        <f>IF(OR(C1776="",B1776=""),"",IFERROR(C1776*INDEX(Harytlar!$D$5:$D$44,MATCH(B1776,Harytlar!$A$5:$A$44,0)),""))</f>
        <v/>
      </c>
    </row>
    <row r="1777" spans="1:7" x14ac:dyDescent="0.3">
      <c r="A1777" s="17"/>
      <c r="B1777" s="18"/>
      <c r="C1777" s="18"/>
      <c r="D1777" s="18"/>
      <c r="E1777" s="10" t="str">
        <f>IF(B1777="","",IFERROR(INDEX(Harytlar!$C$5:$C$44,MATCH(B1777,Harytlar!$A$5:$A$44,0)),""))</f>
        <v/>
      </c>
      <c r="F1777" s="10" t="str">
        <f t="shared" si="27"/>
        <v/>
      </c>
      <c r="G1777" s="10" t="str">
        <f>IF(OR(C1777="",B1777=""),"",IFERROR(C1777*INDEX(Harytlar!$D$5:$D$44,MATCH(B1777,Harytlar!$A$5:$A$44,0)),""))</f>
        <v/>
      </c>
    </row>
    <row r="1778" spans="1:7" x14ac:dyDescent="0.3">
      <c r="A1778" s="17"/>
      <c r="B1778" s="18"/>
      <c r="C1778" s="18"/>
      <c r="D1778" s="18"/>
      <c r="E1778" s="10" t="str">
        <f>IF(B1778="","",IFERROR(INDEX(Harytlar!$C$5:$C$44,MATCH(B1778,Harytlar!$A$5:$A$44,0)),""))</f>
        <v/>
      </c>
      <c r="F1778" s="10" t="str">
        <f t="shared" si="27"/>
        <v/>
      </c>
      <c r="G1778" s="10" t="str">
        <f>IF(OR(C1778="",B1778=""),"",IFERROR(C1778*INDEX(Harytlar!$D$5:$D$44,MATCH(B1778,Harytlar!$A$5:$A$44,0)),""))</f>
        <v/>
      </c>
    </row>
    <row r="1779" spans="1:7" x14ac:dyDescent="0.3">
      <c r="A1779" s="17"/>
      <c r="B1779" s="18"/>
      <c r="C1779" s="18"/>
      <c r="D1779" s="18"/>
      <c r="E1779" s="10" t="str">
        <f>IF(B1779="","",IFERROR(INDEX(Harytlar!$C$5:$C$44,MATCH(B1779,Harytlar!$A$5:$A$44,0)),""))</f>
        <v/>
      </c>
      <c r="F1779" s="10" t="str">
        <f t="shared" si="27"/>
        <v/>
      </c>
      <c r="G1779" s="10" t="str">
        <f>IF(OR(C1779="",B1779=""),"",IFERROR(C1779*INDEX(Harytlar!$D$5:$D$44,MATCH(B1779,Harytlar!$A$5:$A$44,0)),""))</f>
        <v/>
      </c>
    </row>
    <row r="1780" spans="1:7" x14ac:dyDescent="0.3">
      <c r="A1780" s="17"/>
      <c r="B1780" s="18"/>
      <c r="C1780" s="18"/>
      <c r="D1780" s="18"/>
      <c r="E1780" s="10" t="str">
        <f>IF(B1780="","",IFERROR(INDEX(Harytlar!$C$5:$C$44,MATCH(B1780,Harytlar!$A$5:$A$44,0)),""))</f>
        <v/>
      </c>
      <c r="F1780" s="10" t="str">
        <f t="shared" si="27"/>
        <v/>
      </c>
      <c r="G1780" s="10" t="str">
        <f>IF(OR(C1780="",B1780=""),"",IFERROR(C1780*INDEX(Harytlar!$D$5:$D$44,MATCH(B1780,Harytlar!$A$5:$A$44,0)),""))</f>
        <v/>
      </c>
    </row>
    <row r="1781" spans="1:7" x14ac:dyDescent="0.3">
      <c r="A1781" s="17"/>
      <c r="B1781" s="18"/>
      <c r="C1781" s="18"/>
      <c r="D1781" s="18"/>
      <c r="E1781" s="10" t="str">
        <f>IF(B1781="","",IFERROR(INDEX(Harytlar!$C$5:$C$44,MATCH(B1781,Harytlar!$A$5:$A$44,0)),""))</f>
        <v/>
      </c>
      <c r="F1781" s="10" t="str">
        <f t="shared" si="27"/>
        <v/>
      </c>
      <c r="G1781" s="10" t="str">
        <f>IF(OR(C1781="",B1781=""),"",IFERROR(C1781*INDEX(Harytlar!$D$5:$D$44,MATCH(B1781,Harytlar!$A$5:$A$44,0)),""))</f>
        <v/>
      </c>
    </row>
    <row r="1782" spans="1:7" x14ac:dyDescent="0.3">
      <c r="A1782" s="17"/>
      <c r="B1782" s="18"/>
      <c r="C1782" s="18"/>
      <c r="D1782" s="18"/>
      <c r="E1782" s="10" t="str">
        <f>IF(B1782="","",IFERROR(INDEX(Harytlar!$C$5:$C$44,MATCH(B1782,Harytlar!$A$5:$A$44,0)),""))</f>
        <v/>
      </c>
      <c r="F1782" s="10" t="str">
        <f t="shared" si="27"/>
        <v/>
      </c>
      <c r="G1782" s="10" t="str">
        <f>IF(OR(C1782="",B1782=""),"",IFERROR(C1782*INDEX(Harytlar!$D$5:$D$44,MATCH(B1782,Harytlar!$A$5:$A$44,0)),""))</f>
        <v/>
      </c>
    </row>
    <row r="1783" spans="1:7" x14ac:dyDescent="0.3">
      <c r="A1783" s="17"/>
      <c r="B1783" s="18"/>
      <c r="C1783" s="18"/>
      <c r="D1783" s="18"/>
      <c r="E1783" s="10" t="str">
        <f>IF(B1783="","",IFERROR(INDEX(Harytlar!$C$5:$C$44,MATCH(B1783,Harytlar!$A$5:$A$44,0)),""))</f>
        <v/>
      </c>
      <c r="F1783" s="10" t="str">
        <f t="shared" si="27"/>
        <v/>
      </c>
      <c r="G1783" s="10" t="str">
        <f>IF(OR(C1783="",B1783=""),"",IFERROR(C1783*INDEX(Harytlar!$D$5:$D$44,MATCH(B1783,Harytlar!$A$5:$A$44,0)),""))</f>
        <v/>
      </c>
    </row>
    <row r="1784" spans="1:7" x14ac:dyDescent="0.3">
      <c r="A1784" s="17"/>
      <c r="B1784" s="18"/>
      <c r="C1784" s="18"/>
      <c r="D1784" s="18"/>
      <c r="E1784" s="10" t="str">
        <f>IF(B1784="","",IFERROR(INDEX(Harytlar!$C$5:$C$44,MATCH(B1784,Harytlar!$A$5:$A$44,0)),""))</f>
        <v/>
      </c>
      <c r="F1784" s="10" t="str">
        <f t="shared" si="27"/>
        <v/>
      </c>
      <c r="G1784" s="10" t="str">
        <f>IF(OR(C1784="",B1784=""),"",IFERROR(C1784*INDEX(Harytlar!$D$5:$D$44,MATCH(B1784,Harytlar!$A$5:$A$44,0)),""))</f>
        <v/>
      </c>
    </row>
    <row r="1785" spans="1:7" x14ac:dyDescent="0.3">
      <c r="A1785" s="17"/>
      <c r="B1785" s="18"/>
      <c r="C1785" s="18"/>
      <c r="D1785" s="18"/>
      <c r="E1785" s="10" t="str">
        <f>IF(B1785="","",IFERROR(INDEX(Harytlar!$C$5:$C$44,MATCH(B1785,Harytlar!$A$5:$A$44,0)),""))</f>
        <v/>
      </c>
      <c r="F1785" s="10" t="str">
        <f t="shared" si="27"/>
        <v/>
      </c>
      <c r="G1785" s="10" t="str">
        <f>IF(OR(C1785="",B1785=""),"",IFERROR(C1785*INDEX(Harytlar!$D$5:$D$44,MATCH(B1785,Harytlar!$A$5:$A$44,0)),""))</f>
        <v/>
      </c>
    </row>
    <row r="1786" spans="1:7" x14ac:dyDescent="0.3">
      <c r="A1786" s="17"/>
      <c r="B1786" s="18"/>
      <c r="C1786" s="18"/>
      <c r="D1786" s="18"/>
      <c r="E1786" s="10" t="str">
        <f>IF(B1786="","",IFERROR(INDEX(Harytlar!$C$5:$C$44,MATCH(B1786,Harytlar!$A$5:$A$44,0)),""))</f>
        <v/>
      </c>
      <c r="F1786" s="10" t="str">
        <f t="shared" si="27"/>
        <v/>
      </c>
      <c r="G1786" s="10" t="str">
        <f>IF(OR(C1786="",B1786=""),"",IFERROR(C1786*INDEX(Harytlar!$D$5:$D$44,MATCH(B1786,Harytlar!$A$5:$A$44,0)),""))</f>
        <v/>
      </c>
    </row>
    <row r="1787" spans="1:7" x14ac:dyDescent="0.3">
      <c r="A1787" s="17"/>
      <c r="B1787" s="18"/>
      <c r="C1787" s="18"/>
      <c r="D1787" s="18"/>
      <c r="E1787" s="10" t="str">
        <f>IF(B1787="","",IFERROR(INDEX(Harytlar!$C$5:$C$44,MATCH(B1787,Harytlar!$A$5:$A$44,0)),""))</f>
        <v/>
      </c>
      <c r="F1787" s="10" t="str">
        <f t="shared" si="27"/>
        <v/>
      </c>
      <c r="G1787" s="10" t="str">
        <f>IF(OR(C1787="",B1787=""),"",IFERROR(C1787*INDEX(Harytlar!$D$5:$D$44,MATCH(B1787,Harytlar!$A$5:$A$44,0)),""))</f>
        <v/>
      </c>
    </row>
    <row r="1788" spans="1:7" x14ac:dyDescent="0.3">
      <c r="A1788" s="17"/>
      <c r="B1788" s="18"/>
      <c r="C1788" s="18"/>
      <c r="D1788" s="18"/>
      <c r="E1788" s="10" t="str">
        <f>IF(B1788="","",IFERROR(INDEX(Harytlar!$C$5:$C$44,MATCH(B1788,Harytlar!$A$5:$A$44,0)),""))</f>
        <v/>
      </c>
      <c r="F1788" s="10" t="str">
        <f t="shared" si="27"/>
        <v/>
      </c>
      <c r="G1788" s="10" t="str">
        <f>IF(OR(C1788="",B1788=""),"",IFERROR(C1788*INDEX(Harytlar!$D$5:$D$44,MATCH(B1788,Harytlar!$A$5:$A$44,0)),""))</f>
        <v/>
      </c>
    </row>
    <row r="1789" spans="1:7" x14ac:dyDescent="0.3">
      <c r="A1789" s="17"/>
      <c r="B1789" s="18"/>
      <c r="C1789" s="18"/>
      <c r="D1789" s="18"/>
      <c r="E1789" s="10" t="str">
        <f>IF(B1789="","",IFERROR(INDEX(Harytlar!$C$5:$C$44,MATCH(B1789,Harytlar!$A$5:$A$44,0)),""))</f>
        <v/>
      </c>
      <c r="F1789" s="10" t="str">
        <f t="shared" si="27"/>
        <v/>
      </c>
      <c r="G1789" s="10" t="str">
        <f>IF(OR(C1789="",B1789=""),"",IFERROR(C1789*INDEX(Harytlar!$D$5:$D$44,MATCH(B1789,Harytlar!$A$5:$A$44,0)),""))</f>
        <v/>
      </c>
    </row>
    <row r="1790" spans="1:7" x14ac:dyDescent="0.3">
      <c r="A1790" s="17"/>
      <c r="B1790" s="18"/>
      <c r="C1790" s="18"/>
      <c r="D1790" s="18"/>
      <c r="E1790" s="10" t="str">
        <f>IF(B1790="","",IFERROR(INDEX(Harytlar!$C$5:$C$44,MATCH(B1790,Harytlar!$A$5:$A$44,0)),""))</f>
        <v/>
      </c>
      <c r="F1790" s="10" t="str">
        <f t="shared" si="27"/>
        <v/>
      </c>
      <c r="G1790" s="10" t="str">
        <f>IF(OR(C1790="",B1790=""),"",IFERROR(C1790*INDEX(Harytlar!$D$5:$D$44,MATCH(B1790,Harytlar!$A$5:$A$44,0)),""))</f>
        <v/>
      </c>
    </row>
    <row r="1791" spans="1:7" x14ac:dyDescent="0.3">
      <c r="A1791" s="17"/>
      <c r="B1791" s="18"/>
      <c r="C1791" s="18"/>
      <c r="D1791" s="18"/>
      <c r="E1791" s="10" t="str">
        <f>IF(B1791="","",IFERROR(INDEX(Harytlar!$C$5:$C$44,MATCH(B1791,Harytlar!$A$5:$A$44,0)),""))</f>
        <v/>
      </c>
      <c r="F1791" s="10" t="str">
        <f t="shared" si="27"/>
        <v/>
      </c>
      <c r="G1791" s="10" t="str">
        <f>IF(OR(C1791="",B1791=""),"",IFERROR(C1791*INDEX(Harytlar!$D$5:$D$44,MATCH(B1791,Harytlar!$A$5:$A$44,0)),""))</f>
        <v/>
      </c>
    </row>
    <row r="1792" spans="1:7" x14ac:dyDescent="0.3">
      <c r="A1792" s="17"/>
      <c r="B1792" s="18"/>
      <c r="C1792" s="18"/>
      <c r="D1792" s="18"/>
      <c r="E1792" s="10" t="str">
        <f>IF(B1792="","",IFERROR(INDEX(Harytlar!$C$5:$C$44,MATCH(B1792,Harytlar!$A$5:$A$44,0)),""))</f>
        <v/>
      </c>
      <c r="F1792" s="10" t="str">
        <f t="shared" si="27"/>
        <v/>
      </c>
      <c r="G1792" s="10" t="str">
        <f>IF(OR(C1792="",B1792=""),"",IFERROR(C1792*INDEX(Harytlar!$D$5:$D$44,MATCH(B1792,Harytlar!$A$5:$A$44,0)),""))</f>
        <v/>
      </c>
    </row>
    <row r="1793" spans="1:7" x14ac:dyDescent="0.3">
      <c r="A1793" s="17"/>
      <c r="B1793" s="18"/>
      <c r="C1793" s="18"/>
      <c r="D1793" s="18"/>
      <c r="E1793" s="10" t="str">
        <f>IF(B1793="","",IFERROR(INDEX(Harytlar!$C$5:$C$44,MATCH(B1793,Harytlar!$A$5:$A$44,0)),""))</f>
        <v/>
      </c>
      <c r="F1793" s="10" t="str">
        <f t="shared" si="27"/>
        <v/>
      </c>
      <c r="G1793" s="10" t="str">
        <f>IF(OR(C1793="",B1793=""),"",IFERROR(C1793*INDEX(Harytlar!$D$5:$D$44,MATCH(B1793,Harytlar!$A$5:$A$44,0)),""))</f>
        <v/>
      </c>
    </row>
    <row r="1794" spans="1:7" x14ac:dyDescent="0.3">
      <c r="A1794" s="17"/>
      <c r="B1794" s="18"/>
      <c r="C1794" s="18"/>
      <c r="D1794" s="18"/>
      <c r="E1794" s="10" t="str">
        <f>IF(B1794="","",IFERROR(INDEX(Harytlar!$C$5:$C$44,MATCH(B1794,Harytlar!$A$5:$A$44,0)),""))</f>
        <v/>
      </c>
      <c r="F1794" s="10" t="str">
        <f t="shared" si="27"/>
        <v/>
      </c>
      <c r="G1794" s="10" t="str">
        <f>IF(OR(C1794="",B1794=""),"",IFERROR(C1794*INDEX(Harytlar!$D$5:$D$44,MATCH(B1794,Harytlar!$A$5:$A$44,0)),""))</f>
        <v/>
      </c>
    </row>
    <row r="1795" spans="1:7" x14ac:dyDescent="0.3">
      <c r="A1795" s="17"/>
      <c r="B1795" s="18"/>
      <c r="C1795" s="18"/>
      <c r="D1795" s="18"/>
      <c r="E1795" s="10" t="str">
        <f>IF(B1795="","",IFERROR(INDEX(Harytlar!$C$5:$C$44,MATCH(B1795,Harytlar!$A$5:$A$44,0)),""))</f>
        <v/>
      </c>
      <c r="F1795" s="10" t="str">
        <f t="shared" si="27"/>
        <v/>
      </c>
      <c r="G1795" s="10" t="str">
        <f>IF(OR(C1795="",B1795=""),"",IFERROR(C1795*INDEX(Harytlar!$D$5:$D$44,MATCH(B1795,Harytlar!$A$5:$A$44,0)),""))</f>
        <v/>
      </c>
    </row>
    <row r="1796" spans="1:7" x14ac:dyDescent="0.3">
      <c r="A1796" s="17"/>
      <c r="B1796" s="18"/>
      <c r="C1796" s="18"/>
      <c r="D1796" s="18"/>
      <c r="E1796" s="10" t="str">
        <f>IF(B1796="","",IFERROR(INDEX(Harytlar!$C$5:$C$44,MATCH(B1796,Harytlar!$A$5:$A$44,0)),""))</f>
        <v/>
      </c>
      <c r="F1796" s="10" t="str">
        <f t="shared" si="27"/>
        <v/>
      </c>
      <c r="G1796" s="10" t="str">
        <f>IF(OR(C1796="",B1796=""),"",IFERROR(C1796*INDEX(Harytlar!$D$5:$D$44,MATCH(B1796,Harytlar!$A$5:$A$44,0)),""))</f>
        <v/>
      </c>
    </row>
    <row r="1797" spans="1:7" x14ac:dyDescent="0.3">
      <c r="A1797" s="17"/>
      <c r="B1797" s="18"/>
      <c r="C1797" s="18"/>
      <c r="D1797" s="18"/>
      <c r="E1797" s="10" t="str">
        <f>IF(B1797="","",IFERROR(INDEX(Harytlar!$C$5:$C$44,MATCH(B1797,Harytlar!$A$5:$A$44,0)),""))</f>
        <v/>
      </c>
      <c r="F1797" s="10" t="str">
        <f t="shared" si="27"/>
        <v/>
      </c>
      <c r="G1797" s="10" t="str">
        <f>IF(OR(C1797="",B1797=""),"",IFERROR(C1797*INDEX(Harytlar!$D$5:$D$44,MATCH(B1797,Harytlar!$A$5:$A$44,0)),""))</f>
        <v/>
      </c>
    </row>
    <row r="1798" spans="1:7" x14ac:dyDescent="0.3">
      <c r="A1798" s="17"/>
      <c r="B1798" s="18"/>
      <c r="C1798" s="18"/>
      <c r="D1798" s="18"/>
      <c r="E1798" s="10" t="str">
        <f>IF(B1798="","",IFERROR(INDEX(Harytlar!$C$5:$C$44,MATCH(B1798,Harytlar!$A$5:$A$44,0)),""))</f>
        <v/>
      </c>
      <c r="F1798" s="10" t="str">
        <f t="shared" ref="F1798:F1861" si="28">IF(OR(C1798="",E1798=""),"",C1798*E1798)</f>
        <v/>
      </c>
      <c r="G1798" s="10" t="str">
        <f>IF(OR(C1798="",B1798=""),"",IFERROR(C1798*INDEX(Harytlar!$D$5:$D$44,MATCH(B1798,Harytlar!$A$5:$A$44,0)),""))</f>
        <v/>
      </c>
    </row>
    <row r="1799" spans="1:7" x14ac:dyDescent="0.3">
      <c r="A1799" s="17"/>
      <c r="B1799" s="18"/>
      <c r="C1799" s="18"/>
      <c r="D1799" s="18"/>
      <c r="E1799" s="10" t="str">
        <f>IF(B1799="","",IFERROR(INDEX(Harytlar!$C$5:$C$44,MATCH(B1799,Harytlar!$A$5:$A$44,0)),""))</f>
        <v/>
      </c>
      <c r="F1799" s="10" t="str">
        <f t="shared" si="28"/>
        <v/>
      </c>
      <c r="G1799" s="10" t="str">
        <f>IF(OR(C1799="",B1799=""),"",IFERROR(C1799*INDEX(Harytlar!$D$5:$D$44,MATCH(B1799,Harytlar!$A$5:$A$44,0)),""))</f>
        <v/>
      </c>
    </row>
    <row r="1800" spans="1:7" x14ac:dyDescent="0.3">
      <c r="A1800" s="17"/>
      <c r="B1800" s="18"/>
      <c r="C1800" s="18"/>
      <c r="D1800" s="18"/>
      <c r="E1800" s="10" t="str">
        <f>IF(B1800="","",IFERROR(INDEX(Harytlar!$C$5:$C$44,MATCH(B1800,Harytlar!$A$5:$A$44,0)),""))</f>
        <v/>
      </c>
      <c r="F1800" s="10" t="str">
        <f t="shared" si="28"/>
        <v/>
      </c>
      <c r="G1800" s="10" t="str">
        <f>IF(OR(C1800="",B1800=""),"",IFERROR(C1800*INDEX(Harytlar!$D$5:$D$44,MATCH(B1800,Harytlar!$A$5:$A$44,0)),""))</f>
        <v/>
      </c>
    </row>
    <row r="1801" spans="1:7" x14ac:dyDescent="0.3">
      <c r="A1801" s="17"/>
      <c r="B1801" s="18"/>
      <c r="C1801" s="18"/>
      <c r="D1801" s="18"/>
      <c r="E1801" s="10" t="str">
        <f>IF(B1801="","",IFERROR(INDEX(Harytlar!$C$5:$C$44,MATCH(B1801,Harytlar!$A$5:$A$44,0)),""))</f>
        <v/>
      </c>
      <c r="F1801" s="10" t="str">
        <f t="shared" si="28"/>
        <v/>
      </c>
      <c r="G1801" s="10" t="str">
        <f>IF(OR(C1801="",B1801=""),"",IFERROR(C1801*INDEX(Harytlar!$D$5:$D$44,MATCH(B1801,Harytlar!$A$5:$A$44,0)),""))</f>
        <v/>
      </c>
    </row>
    <row r="1802" spans="1:7" x14ac:dyDescent="0.3">
      <c r="A1802" s="17"/>
      <c r="B1802" s="18"/>
      <c r="C1802" s="18"/>
      <c r="D1802" s="18"/>
      <c r="E1802" s="10" t="str">
        <f>IF(B1802="","",IFERROR(INDEX(Harytlar!$C$5:$C$44,MATCH(B1802,Harytlar!$A$5:$A$44,0)),""))</f>
        <v/>
      </c>
      <c r="F1802" s="10" t="str">
        <f t="shared" si="28"/>
        <v/>
      </c>
      <c r="G1802" s="10" t="str">
        <f>IF(OR(C1802="",B1802=""),"",IFERROR(C1802*INDEX(Harytlar!$D$5:$D$44,MATCH(B1802,Harytlar!$A$5:$A$44,0)),""))</f>
        <v/>
      </c>
    </row>
    <row r="1803" spans="1:7" x14ac:dyDescent="0.3">
      <c r="A1803" s="17"/>
      <c r="B1803" s="18"/>
      <c r="C1803" s="18"/>
      <c r="D1803" s="18"/>
      <c r="E1803" s="10" t="str">
        <f>IF(B1803="","",IFERROR(INDEX(Harytlar!$C$5:$C$44,MATCH(B1803,Harytlar!$A$5:$A$44,0)),""))</f>
        <v/>
      </c>
      <c r="F1803" s="10" t="str">
        <f t="shared" si="28"/>
        <v/>
      </c>
      <c r="G1803" s="10" t="str">
        <f>IF(OR(C1803="",B1803=""),"",IFERROR(C1803*INDEX(Harytlar!$D$5:$D$44,MATCH(B1803,Harytlar!$A$5:$A$44,0)),""))</f>
        <v/>
      </c>
    </row>
    <row r="1804" spans="1:7" x14ac:dyDescent="0.3">
      <c r="A1804" s="17"/>
      <c r="B1804" s="18"/>
      <c r="C1804" s="18"/>
      <c r="D1804" s="18"/>
      <c r="E1804" s="10" t="str">
        <f>IF(B1804="","",IFERROR(INDEX(Harytlar!$C$5:$C$44,MATCH(B1804,Harytlar!$A$5:$A$44,0)),""))</f>
        <v/>
      </c>
      <c r="F1804" s="10" t="str">
        <f t="shared" si="28"/>
        <v/>
      </c>
      <c r="G1804" s="10" t="str">
        <f>IF(OR(C1804="",B1804=""),"",IFERROR(C1804*INDEX(Harytlar!$D$5:$D$44,MATCH(B1804,Harytlar!$A$5:$A$44,0)),""))</f>
        <v/>
      </c>
    </row>
    <row r="1805" spans="1:7" x14ac:dyDescent="0.3">
      <c r="A1805" s="17"/>
      <c r="B1805" s="18"/>
      <c r="C1805" s="18"/>
      <c r="D1805" s="18"/>
      <c r="E1805" s="10" t="str">
        <f>IF(B1805="","",IFERROR(INDEX(Harytlar!$C$5:$C$44,MATCH(B1805,Harytlar!$A$5:$A$44,0)),""))</f>
        <v/>
      </c>
      <c r="F1805" s="10" t="str">
        <f t="shared" si="28"/>
        <v/>
      </c>
      <c r="G1805" s="10" t="str">
        <f>IF(OR(C1805="",B1805=""),"",IFERROR(C1805*INDEX(Harytlar!$D$5:$D$44,MATCH(B1805,Harytlar!$A$5:$A$44,0)),""))</f>
        <v/>
      </c>
    </row>
    <row r="1806" spans="1:7" x14ac:dyDescent="0.3">
      <c r="A1806" s="17"/>
      <c r="B1806" s="18"/>
      <c r="C1806" s="18"/>
      <c r="D1806" s="18"/>
      <c r="E1806" s="10" t="str">
        <f>IF(B1806="","",IFERROR(INDEX(Harytlar!$C$5:$C$44,MATCH(B1806,Harytlar!$A$5:$A$44,0)),""))</f>
        <v/>
      </c>
      <c r="F1806" s="10" t="str">
        <f t="shared" si="28"/>
        <v/>
      </c>
      <c r="G1806" s="10" t="str">
        <f>IF(OR(C1806="",B1806=""),"",IFERROR(C1806*INDEX(Harytlar!$D$5:$D$44,MATCH(B1806,Harytlar!$A$5:$A$44,0)),""))</f>
        <v/>
      </c>
    </row>
    <row r="1807" spans="1:7" x14ac:dyDescent="0.3">
      <c r="A1807" s="17"/>
      <c r="B1807" s="18"/>
      <c r="C1807" s="18"/>
      <c r="D1807" s="18"/>
      <c r="E1807" s="10" t="str">
        <f>IF(B1807="","",IFERROR(INDEX(Harytlar!$C$5:$C$44,MATCH(B1807,Harytlar!$A$5:$A$44,0)),""))</f>
        <v/>
      </c>
      <c r="F1807" s="10" t="str">
        <f t="shared" si="28"/>
        <v/>
      </c>
      <c r="G1807" s="10" t="str">
        <f>IF(OR(C1807="",B1807=""),"",IFERROR(C1807*INDEX(Harytlar!$D$5:$D$44,MATCH(B1807,Harytlar!$A$5:$A$44,0)),""))</f>
        <v/>
      </c>
    </row>
    <row r="1808" spans="1:7" x14ac:dyDescent="0.3">
      <c r="A1808" s="17"/>
      <c r="B1808" s="18"/>
      <c r="C1808" s="18"/>
      <c r="D1808" s="18"/>
      <c r="E1808" s="10" t="str">
        <f>IF(B1808="","",IFERROR(INDEX(Harytlar!$C$5:$C$44,MATCH(B1808,Harytlar!$A$5:$A$44,0)),""))</f>
        <v/>
      </c>
      <c r="F1808" s="10" t="str">
        <f t="shared" si="28"/>
        <v/>
      </c>
      <c r="G1808" s="10" t="str">
        <f>IF(OR(C1808="",B1808=""),"",IFERROR(C1808*INDEX(Harytlar!$D$5:$D$44,MATCH(B1808,Harytlar!$A$5:$A$44,0)),""))</f>
        <v/>
      </c>
    </row>
    <row r="1809" spans="1:7" x14ac:dyDescent="0.3">
      <c r="A1809" s="17"/>
      <c r="B1809" s="18"/>
      <c r="C1809" s="18"/>
      <c r="D1809" s="18"/>
      <c r="E1809" s="10" t="str">
        <f>IF(B1809="","",IFERROR(INDEX(Harytlar!$C$5:$C$44,MATCH(B1809,Harytlar!$A$5:$A$44,0)),""))</f>
        <v/>
      </c>
      <c r="F1809" s="10" t="str">
        <f t="shared" si="28"/>
        <v/>
      </c>
      <c r="G1809" s="10" t="str">
        <f>IF(OR(C1809="",B1809=""),"",IFERROR(C1809*INDEX(Harytlar!$D$5:$D$44,MATCH(B1809,Harytlar!$A$5:$A$44,0)),""))</f>
        <v/>
      </c>
    </row>
    <row r="1810" spans="1:7" x14ac:dyDescent="0.3">
      <c r="A1810" s="17"/>
      <c r="B1810" s="18"/>
      <c r="C1810" s="18"/>
      <c r="D1810" s="18"/>
      <c r="E1810" s="10" t="str">
        <f>IF(B1810="","",IFERROR(INDEX(Harytlar!$C$5:$C$44,MATCH(B1810,Harytlar!$A$5:$A$44,0)),""))</f>
        <v/>
      </c>
      <c r="F1810" s="10" t="str">
        <f t="shared" si="28"/>
        <v/>
      </c>
      <c r="G1810" s="10" t="str">
        <f>IF(OR(C1810="",B1810=""),"",IFERROR(C1810*INDEX(Harytlar!$D$5:$D$44,MATCH(B1810,Harytlar!$A$5:$A$44,0)),""))</f>
        <v/>
      </c>
    </row>
    <row r="1811" spans="1:7" x14ac:dyDescent="0.3">
      <c r="A1811" s="17"/>
      <c r="B1811" s="18"/>
      <c r="C1811" s="18"/>
      <c r="D1811" s="18"/>
      <c r="E1811" s="10" t="str">
        <f>IF(B1811="","",IFERROR(INDEX(Harytlar!$C$5:$C$44,MATCH(B1811,Harytlar!$A$5:$A$44,0)),""))</f>
        <v/>
      </c>
      <c r="F1811" s="10" t="str">
        <f t="shared" si="28"/>
        <v/>
      </c>
      <c r="G1811" s="10" t="str">
        <f>IF(OR(C1811="",B1811=""),"",IFERROR(C1811*INDEX(Harytlar!$D$5:$D$44,MATCH(B1811,Harytlar!$A$5:$A$44,0)),""))</f>
        <v/>
      </c>
    </row>
    <row r="1812" spans="1:7" x14ac:dyDescent="0.3">
      <c r="A1812" s="17"/>
      <c r="B1812" s="18"/>
      <c r="C1812" s="18"/>
      <c r="D1812" s="18"/>
      <c r="E1812" s="10" t="str">
        <f>IF(B1812="","",IFERROR(INDEX(Harytlar!$C$5:$C$44,MATCH(B1812,Harytlar!$A$5:$A$44,0)),""))</f>
        <v/>
      </c>
      <c r="F1812" s="10" t="str">
        <f t="shared" si="28"/>
        <v/>
      </c>
      <c r="G1812" s="10" t="str">
        <f>IF(OR(C1812="",B1812=""),"",IFERROR(C1812*INDEX(Harytlar!$D$5:$D$44,MATCH(B1812,Harytlar!$A$5:$A$44,0)),""))</f>
        <v/>
      </c>
    </row>
    <row r="1813" spans="1:7" x14ac:dyDescent="0.3">
      <c r="A1813" s="17"/>
      <c r="B1813" s="18"/>
      <c r="C1813" s="18"/>
      <c r="D1813" s="18"/>
      <c r="E1813" s="10" t="str">
        <f>IF(B1813="","",IFERROR(INDEX(Harytlar!$C$5:$C$44,MATCH(B1813,Harytlar!$A$5:$A$44,0)),""))</f>
        <v/>
      </c>
      <c r="F1813" s="10" t="str">
        <f t="shared" si="28"/>
        <v/>
      </c>
      <c r="G1813" s="10" t="str">
        <f>IF(OR(C1813="",B1813=""),"",IFERROR(C1813*INDEX(Harytlar!$D$5:$D$44,MATCH(B1813,Harytlar!$A$5:$A$44,0)),""))</f>
        <v/>
      </c>
    </row>
    <row r="1814" spans="1:7" x14ac:dyDescent="0.3">
      <c r="A1814" s="17"/>
      <c r="B1814" s="18"/>
      <c r="C1814" s="18"/>
      <c r="D1814" s="18"/>
      <c r="E1814" s="10" t="str">
        <f>IF(B1814="","",IFERROR(INDEX(Harytlar!$C$5:$C$44,MATCH(B1814,Harytlar!$A$5:$A$44,0)),""))</f>
        <v/>
      </c>
      <c r="F1814" s="10" t="str">
        <f t="shared" si="28"/>
        <v/>
      </c>
      <c r="G1814" s="10" t="str">
        <f>IF(OR(C1814="",B1814=""),"",IFERROR(C1814*INDEX(Harytlar!$D$5:$D$44,MATCH(B1814,Harytlar!$A$5:$A$44,0)),""))</f>
        <v/>
      </c>
    </row>
    <row r="1815" spans="1:7" x14ac:dyDescent="0.3">
      <c r="A1815" s="17"/>
      <c r="B1815" s="18"/>
      <c r="C1815" s="18"/>
      <c r="D1815" s="18"/>
      <c r="E1815" s="10" t="str">
        <f>IF(B1815="","",IFERROR(INDEX(Harytlar!$C$5:$C$44,MATCH(B1815,Harytlar!$A$5:$A$44,0)),""))</f>
        <v/>
      </c>
      <c r="F1815" s="10" t="str">
        <f t="shared" si="28"/>
        <v/>
      </c>
      <c r="G1815" s="10" t="str">
        <f>IF(OR(C1815="",B1815=""),"",IFERROR(C1815*INDEX(Harytlar!$D$5:$D$44,MATCH(B1815,Harytlar!$A$5:$A$44,0)),""))</f>
        <v/>
      </c>
    </row>
    <row r="1816" spans="1:7" x14ac:dyDescent="0.3">
      <c r="A1816" s="17"/>
      <c r="B1816" s="18"/>
      <c r="C1816" s="18"/>
      <c r="D1816" s="18"/>
      <c r="E1816" s="10" t="str">
        <f>IF(B1816="","",IFERROR(INDEX(Harytlar!$C$5:$C$44,MATCH(B1816,Harytlar!$A$5:$A$44,0)),""))</f>
        <v/>
      </c>
      <c r="F1816" s="10" t="str">
        <f t="shared" si="28"/>
        <v/>
      </c>
      <c r="G1816" s="10" t="str">
        <f>IF(OR(C1816="",B1816=""),"",IFERROR(C1816*INDEX(Harytlar!$D$5:$D$44,MATCH(B1816,Harytlar!$A$5:$A$44,0)),""))</f>
        <v/>
      </c>
    </row>
    <row r="1817" spans="1:7" x14ac:dyDescent="0.3">
      <c r="A1817" s="17"/>
      <c r="B1817" s="18"/>
      <c r="C1817" s="18"/>
      <c r="D1817" s="18"/>
      <c r="E1817" s="10" t="str">
        <f>IF(B1817="","",IFERROR(INDEX(Harytlar!$C$5:$C$44,MATCH(B1817,Harytlar!$A$5:$A$44,0)),""))</f>
        <v/>
      </c>
      <c r="F1817" s="10" t="str">
        <f t="shared" si="28"/>
        <v/>
      </c>
      <c r="G1817" s="10" t="str">
        <f>IF(OR(C1817="",B1817=""),"",IFERROR(C1817*INDEX(Harytlar!$D$5:$D$44,MATCH(B1817,Harytlar!$A$5:$A$44,0)),""))</f>
        <v/>
      </c>
    </row>
    <row r="1818" spans="1:7" x14ac:dyDescent="0.3">
      <c r="A1818" s="17"/>
      <c r="B1818" s="18"/>
      <c r="C1818" s="18"/>
      <c r="D1818" s="18"/>
      <c r="E1818" s="10" t="str">
        <f>IF(B1818="","",IFERROR(INDEX(Harytlar!$C$5:$C$44,MATCH(B1818,Harytlar!$A$5:$A$44,0)),""))</f>
        <v/>
      </c>
      <c r="F1818" s="10" t="str">
        <f t="shared" si="28"/>
        <v/>
      </c>
      <c r="G1818" s="10" t="str">
        <f>IF(OR(C1818="",B1818=""),"",IFERROR(C1818*INDEX(Harytlar!$D$5:$D$44,MATCH(B1818,Harytlar!$A$5:$A$44,0)),""))</f>
        <v/>
      </c>
    </row>
    <row r="1819" spans="1:7" x14ac:dyDescent="0.3">
      <c r="A1819" s="17"/>
      <c r="B1819" s="18"/>
      <c r="C1819" s="18"/>
      <c r="D1819" s="18"/>
      <c r="E1819" s="10" t="str">
        <f>IF(B1819="","",IFERROR(INDEX(Harytlar!$C$5:$C$44,MATCH(B1819,Harytlar!$A$5:$A$44,0)),""))</f>
        <v/>
      </c>
      <c r="F1819" s="10" t="str">
        <f t="shared" si="28"/>
        <v/>
      </c>
      <c r="G1819" s="10" t="str">
        <f>IF(OR(C1819="",B1819=""),"",IFERROR(C1819*INDEX(Harytlar!$D$5:$D$44,MATCH(B1819,Harytlar!$A$5:$A$44,0)),""))</f>
        <v/>
      </c>
    </row>
    <row r="1820" spans="1:7" x14ac:dyDescent="0.3">
      <c r="A1820" s="17"/>
      <c r="B1820" s="18"/>
      <c r="C1820" s="18"/>
      <c r="D1820" s="18"/>
      <c r="E1820" s="10" t="str">
        <f>IF(B1820="","",IFERROR(INDEX(Harytlar!$C$5:$C$44,MATCH(B1820,Harytlar!$A$5:$A$44,0)),""))</f>
        <v/>
      </c>
      <c r="F1820" s="10" t="str">
        <f t="shared" si="28"/>
        <v/>
      </c>
      <c r="G1820" s="10" t="str">
        <f>IF(OR(C1820="",B1820=""),"",IFERROR(C1820*INDEX(Harytlar!$D$5:$D$44,MATCH(B1820,Harytlar!$A$5:$A$44,0)),""))</f>
        <v/>
      </c>
    </row>
    <row r="1821" spans="1:7" x14ac:dyDescent="0.3">
      <c r="A1821" s="17"/>
      <c r="B1821" s="18"/>
      <c r="C1821" s="18"/>
      <c r="D1821" s="18"/>
      <c r="E1821" s="10" t="str">
        <f>IF(B1821="","",IFERROR(INDEX(Harytlar!$C$5:$C$44,MATCH(B1821,Harytlar!$A$5:$A$44,0)),""))</f>
        <v/>
      </c>
      <c r="F1821" s="10" t="str">
        <f t="shared" si="28"/>
        <v/>
      </c>
      <c r="G1821" s="10" t="str">
        <f>IF(OR(C1821="",B1821=""),"",IFERROR(C1821*INDEX(Harytlar!$D$5:$D$44,MATCH(B1821,Harytlar!$A$5:$A$44,0)),""))</f>
        <v/>
      </c>
    </row>
    <row r="1822" spans="1:7" x14ac:dyDescent="0.3">
      <c r="A1822" s="17"/>
      <c r="B1822" s="18"/>
      <c r="C1822" s="18"/>
      <c r="D1822" s="18"/>
      <c r="E1822" s="10" t="str">
        <f>IF(B1822="","",IFERROR(INDEX(Harytlar!$C$5:$C$44,MATCH(B1822,Harytlar!$A$5:$A$44,0)),""))</f>
        <v/>
      </c>
      <c r="F1822" s="10" t="str">
        <f t="shared" si="28"/>
        <v/>
      </c>
      <c r="G1822" s="10" t="str">
        <f>IF(OR(C1822="",B1822=""),"",IFERROR(C1822*INDEX(Harytlar!$D$5:$D$44,MATCH(B1822,Harytlar!$A$5:$A$44,0)),""))</f>
        <v/>
      </c>
    </row>
    <row r="1823" spans="1:7" x14ac:dyDescent="0.3">
      <c r="A1823" s="17"/>
      <c r="B1823" s="18"/>
      <c r="C1823" s="18"/>
      <c r="D1823" s="18"/>
      <c r="E1823" s="10" t="str">
        <f>IF(B1823="","",IFERROR(INDEX(Harytlar!$C$5:$C$44,MATCH(B1823,Harytlar!$A$5:$A$44,0)),""))</f>
        <v/>
      </c>
      <c r="F1823" s="10" t="str">
        <f t="shared" si="28"/>
        <v/>
      </c>
      <c r="G1823" s="10" t="str">
        <f>IF(OR(C1823="",B1823=""),"",IFERROR(C1823*INDEX(Harytlar!$D$5:$D$44,MATCH(B1823,Harytlar!$A$5:$A$44,0)),""))</f>
        <v/>
      </c>
    </row>
    <row r="1824" spans="1:7" x14ac:dyDescent="0.3">
      <c r="A1824" s="17"/>
      <c r="B1824" s="18"/>
      <c r="C1824" s="18"/>
      <c r="D1824" s="18"/>
      <c r="E1824" s="10" t="str">
        <f>IF(B1824="","",IFERROR(INDEX(Harytlar!$C$5:$C$44,MATCH(B1824,Harytlar!$A$5:$A$44,0)),""))</f>
        <v/>
      </c>
      <c r="F1824" s="10" t="str">
        <f t="shared" si="28"/>
        <v/>
      </c>
      <c r="G1824" s="10" t="str">
        <f>IF(OR(C1824="",B1824=""),"",IFERROR(C1824*INDEX(Harytlar!$D$5:$D$44,MATCH(B1824,Harytlar!$A$5:$A$44,0)),""))</f>
        <v/>
      </c>
    </row>
    <row r="1825" spans="1:7" x14ac:dyDescent="0.3">
      <c r="A1825" s="17"/>
      <c r="B1825" s="18"/>
      <c r="C1825" s="18"/>
      <c r="D1825" s="18"/>
      <c r="E1825" s="10" t="str">
        <f>IF(B1825="","",IFERROR(INDEX(Harytlar!$C$5:$C$44,MATCH(B1825,Harytlar!$A$5:$A$44,0)),""))</f>
        <v/>
      </c>
      <c r="F1825" s="10" t="str">
        <f t="shared" si="28"/>
        <v/>
      </c>
      <c r="G1825" s="10" t="str">
        <f>IF(OR(C1825="",B1825=""),"",IFERROR(C1825*INDEX(Harytlar!$D$5:$D$44,MATCH(B1825,Harytlar!$A$5:$A$44,0)),""))</f>
        <v/>
      </c>
    </row>
    <row r="1826" spans="1:7" x14ac:dyDescent="0.3">
      <c r="A1826" s="17"/>
      <c r="B1826" s="18"/>
      <c r="C1826" s="18"/>
      <c r="D1826" s="18"/>
      <c r="E1826" s="10" t="str">
        <f>IF(B1826="","",IFERROR(INDEX(Harytlar!$C$5:$C$44,MATCH(B1826,Harytlar!$A$5:$A$44,0)),""))</f>
        <v/>
      </c>
      <c r="F1826" s="10" t="str">
        <f t="shared" si="28"/>
        <v/>
      </c>
      <c r="G1826" s="10" t="str">
        <f>IF(OR(C1826="",B1826=""),"",IFERROR(C1826*INDEX(Harytlar!$D$5:$D$44,MATCH(B1826,Harytlar!$A$5:$A$44,0)),""))</f>
        <v/>
      </c>
    </row>
    <row r="1827" spans="1:7" x14ac:dyDescent="0.3">
      <c r="A1827" s="17"/>
      <c r="B1827" s="18"/>
      <c r="C1827" s="18"/>
      <c r="D1827" s="18"/>
      <c r="E1827" s="10" t="str">
        <f>IF(B1827="","",IFERROR(INDEX(Harytlar!$C$5:$C$44,MATCH(B1827,Harytlar!$A$5:$A$44,0)),""))</f>
        <v/>
      </c>
      <c r="F1827" s="10" t="str">
        <f t="shared" si="28"/>
        <v/>
      </c>
      <c r="G1827" s="10" t="str">
        <f>IF(OR(C1827="",B1827=""),"",IFERROR(C1827*INDEX(Harytlar!$D$5:$D$44,MATCH(B1827,Harytlar!$A$5:$A$44,0)),""))</f>
        <v/>
      </c>
    </row>
    <row r="1828" spans="1:7" x14ac:dyDescent="0.3">
      <c r="A1828" s="17"/>
      <c r="B1828" s="18"/>
      <c r="C1828" s="18"/>
      <c r="D1828" s="18"/>
      <c r="E1828" s="10" t="str">
        <f>IF(B1828="","",IFERROR(INDEX(Harytlar!$C$5:$C$44,MATCH(B1828,Harytlar!$A$5:$A$44,0)),""))</f>
        <v/>
      </c>
      <c r="F1828" s="10" t="str">
        <f t="shared" si="28"/>
        <v/>
      </c>
      <c r="G1828" s="10" t="str">
        <f>IF(OR(C1828="",B1828=""),"",IFERROR(C1828*INDEX(Harytlar!$D$5:$D$44,MATCH(B1828,Harytlar!$A$5:$A$44,0)),""))</f>
        <v/>
      </c>
    </row>
    <row r="1829" spans="1:7" x14ac:dyDescent="0.3">
      <c r="A1829" s="17"/>
      <c r="B1829" s="18"/>
      <c r="C1829" s="18"/>
      <c r="D1829" s="18"/>
      <c r="E1829" s="10" t="str">
        <f>IF(B1829="","",IFERROR(INDEX(Harytlar!$C$5:$C$44,MATCH(B1829,Harytlar!$A$5:$A$44,0)),""))</f>
        <v/>
      </c>
      <c r="F1829" s="10" t="str">
        <f t="shared" si="28"/>
        <v/>
      </c>
      <c r="G1829" s="10" t="str">
        <f>IF(OR(C1829="",B1829=""),"",IFERROR(C1829*INDEX(Harytlar!$D$5:$D$44,MATCH(B1829,Harytlar!$A$5:$A$44,0)),""))</f>
        <v/>
      </c>
    </row>
    <row r="1830" spans="1:7" x14ac:dyDescent="0.3">
      <c r="A1830" s="17"/>
      <c r="B1830" s="18"/>
      <c r="C1830" s="18"/>
      <c r="D1830" s="18"/>
      <c r="E1830" s="10" t="str">
        <f>IF(B1830="","",IFERROR(INDEX(Harytlar!$C$5:$C$44,MATCH(B1830,Harytlar!$A$5:$A$44,0)),""))</f>
        <v/>
      </c>
      <c r="F1830" s="10" t="str">
        <f t="shared" si="28"/>
        <v/>
      </c>
      <c r="G1830" s="10" t="str">
        <f>IF(OR(C1830="",B1830=""),"",IFERROR(C1830*INDEX(Harytlar!$D$5:$D$44,MATCH(B1830,Harytlar!$A$5:$A$44,0)),""))</f>
        <v/>
      </c>
    </row>
    <row r="1831" spans="1:7" x14ac:dyDescent="0.3">
      <c r="A1831" s="17"/>
      <c r="B1831" s="18"/>
      <c r="C1831" s="18"/>
      <c r="D1831" s="18"/>
      <c r="E1831" s="10" t="str">
        <f>IF(B1831="","",IFERROR(INDEX(Harytlar!$C$5:$C$44,MATCH(B1831,Harytlar!$A$5:$A$44,0)),""))</f>
        <v/>
      </c>
      <c r="F1831" s="10" t="str">
        <f t="shared" si="28"/>
        <v/>
      </c>
      <c r="G1831" s="10" t="str">
        <f>IF(OR(C1831="",B1831=""),"",IFERROR(C1831*INDEX(Harytlar!$D$5:$D$44,MATCH(B1831,Harytlar!$A$5:$A$44,0)),""))</f>
        <v/>
      </c>
    </row>
    <row r="1832" spans="1:7" x14ac:dyDescent="0.3">
      <c r="A1832" s="17"/>
      <c r="B1832" s="18"/>
      <c r="C1832" s="18"/>
      <c r="D1832" s="18"/>
      <c r="E1832" s="10" t="str">
        <f>IF(B1832="","",IFERROR(INDEX(Harytlar!$C$5:$C$44,MATCH(B1832,Harytlar!$A$5:$A$44,0)),""))</f>
        <v/>
      </c>
      <c r="F1832" s="10" t="str">
        <f t="shared" si="28"/>
        <v/>
      </c>
      <c r="G1832" s="10" t="str">
        <f>IF(OR(C1832="",B1832=""),"",IFERROR(C1832*INDEX(Harytlar!$D$5:$D$44,MATCH(B1832,Harytlar!$A$5:$A$44,0)),""))</f>
        <v/>
      </c>
    </row>
    <row r="1833" spans="1:7" x14ac:dyDescent="0.3">
      <c r="A1833" s="17"/>
      <c r="B1833" s="18"/>
      <c r="C1833" s="18"/>
      <c r="D1833" s="18"/>
      <c r="E1833" s="10" t="str">
        <f>IF(B1833="","",IFERROR(INDEX(Harytlar!$C$5:$C$44,MATCH(B1833,Harytlar!$A$5:$A$44,0)),""))</f>
        <v/>
      </c>
      <c r="F1833" s="10" t="str">
        <f t="shared" si="28"/>
        <v/>
      </c>
      <c r="G1833" s="10" t="str">
        <f>IF(OR(C1833="",B1833=""),"",IFERROR(C1833*INDEX(Harytlar!$D$5:$D$44,MATCH(B1833,Harytlar!$A$5:$A$44,0)),""))</f>
        <v/>
      </c>
    </row>
    <row r="1834" spans="1:7" x14ac:dyDescent="0.3">
      <c r="A1834" s="17"/>
      <c r="B1834" s="18"/>
      <c r="C1834" s="18"/>
      <c r="D1834" s="18"/>
      <c r="E1834" s="10" t="str">
        <f>IF(B1834="","",IFERROR(INDEX(Harytlar!$C$5:$C$44,MATCH(B1834,Harytlar!$A$5:$A$44,0)),""))</f>
        <v/>
      </c>
      <c r="F1834" s="10" t="str">
        <f t="shared" si="28"/>
        <v/>
      </c>
      <c r="G1834" s="10" t="str">
        <f>IF(OR(C1834="",B1834=""),"",IFERROR(C1834*INDEX(Harytlar!$D$5:$D$44,MATCH(B1834,Harytlar!$A$5:$A$44,0)),""))</f>
        <v/>
      </c>
    </row>
    <row r="1835" spans="1:7" x14ac:dyDescent="0.3">
      <c r="A1835" s="17"/>
      <c r="B1835" s="18"/>
      <c r="C1835" s="18"/>
      <c r="D1835" s="18"/>
      <c r="E1835" s="10" t="str">
        <f>IF(B1835="","",IFERROR(INDEX(Harytlar!$C$5:$C$44,MATCH(B1835,Harytlar!$A$5:$A$44,0)),""))</f>
        <v/>
      </c>
      <c r="F1835" s="10" t="str">
        <f t="shared" si="28"/>
        <v/>
      </c>
      <c r="G1835" s="10" t="str">
        <f>IF(OR(C1835="",B1835=""),"",IFERROR(C1835*INDEX(Harytlar!$D$5:$D$44,MATCH(B1835,Harytlar!$A$5:$A$44,0)),""))</f>
        <v/>
      </c>
    </row>
    <row r="1836" spans="1:7" x14ac:dyDescent="0.3">
      <c r="A1836" s="17"/>
      <c r="B1836" s="18"/>
      <c r="C1836" s="18"/>
      <c r="D1836" s="18"/>
      <c r="E1836" s="10" t="str">
        <f>IF(B1836="","",IFERROR(INDEX(Harytlar!$C$5:$C$44,MATCH(B1836,Harytlar!$A$5:$A$44,0)),""))</f>
        <v/>
      </c>
      <c r="F1836" s="10" t="str">
        <f t="shared" si="28"/>
        <v/>
      </c>
      <c r="G1836" s="10" t="str">
        <f>IF(OR(C1836="",B1836=""),"",IFERROR(C1836*INDEX(Harytlar!$D$5:$D$44,MATCH(B1836,Harytlar!$A$5:$A$44,0)),""))</f>
        <v/>
      </c>
    </row>
    <row r="1837" spans="1:7" x14ac:dyDescent="0.3">
      <c r="A1837" s="17"/>
      <c r="B1837" s="18"/>
      <c r="C1837" s="18"/>
      <c r="D1837" s="18"/>
      <c r="E1837" s="10" t="str">
        <f>IF(B1837="","",IFERROR(INDEX(Harytlar!$C$5:$C$44,MATCH(B1837,Harytlar!$A$5:$A$44,0)),""))</f>
        <v/>
      </c>
      <c r="F1837" s="10" t="str">
        <f t="shared" si="28"/>
        <v/>
      </c>
      <c r="G1837" s="10" t="str">
        <f>IF(OR(C1837="",B1837=""),"",IFERROR(C1837*INDEX(Harytlar!$D$5:$D$44,MATCH(B1837,Harytlar!$A$5:$A$44,0)),""))</f>
        <v/>
      </c>
    </row>
    <row r="1838" spans="1:7" x14ac:dyDescent="0.3">
      <c r="A1838" s="17"/>
      <c r="B1838" s="18"/>
      <c r="C1838" s="18"/>
      <c r="D1838" s="18"/>
      <c r="E1838" s="10" t="str">
        <f>IF(B1838="","",IFERROR(INDEX(Harytlar!$C$5:$C$44,MATCH(B1838,Harytlar!$A$5:$A$44,0)),""))</f>
        <v/>
      </c>
      <c r="F1838" s="10" t="str">
        <f t="shared" si="28"/>
        <v/>
      </c>
      <c r="G1838" s="10" t="str">
        <f>IF(OR(C1838="",B1838=""),"",IFERROR(C1838*INDEX(Harytlar!$D$5:$D$44,MATCH(B1838,Harytlar!$A$5:$A$44,0)),""))</f>
        <v/>
      </c>
    </row>
    <row r="1839" spans="1:7" x14ac:dyDescent="0.3">
      <c r="A1839" s="17"/>
      <c r="B1839" s="18"/>
      <c r="C1839" s="18"/>
      <c r="D1839" s="18"/>
      <c r="E1839" s="10" t="str">
        <f>IF(B1839="","",IFERROR(INDEX(Harytlar!$C$5:$C$44,MATCH(B1839,Harytlar!$A$5:$A$44,0)),""))</f>
        <v/>
      </c>
      <c r="F1839" s="10" t="str">
        <f t="shared" si="28"/>
        <v/>
      </c>
      <c r="G1839" s="10" t="str">
        <f>IF(OR(C1839="",B1839=""),"",IFERROR(C1839*INDEX(Harytlar!$D$5:$D$44,MATCH(B1839,Harytlar!$A$5:$A$44,0)),""))</f>
        <v/>
      </c>
    </row>
    <row r="1840" spans="1:7" x14ac:dyDescent="0.3">
      <c r="A1840" s="17"/>
      <c r="B1840" s="18"/>
      <c r="C1840" s="18"/>
      <c r="D1840" s="18"/>
      <c r="E1840" s="10" t="str">
        <f>IF(B1840="","",IFERROR(INDEX(Harytlar!$C$5:$C$44,MATCH(B1840,Harytlar!$A$5:$A$44,0)),""))</f>
        <v/>
      </c>
      <c r="F1840" s="10" t="str">
        <f t="shared" si="28"/>
        <v/>
      </c>
      <c r="G1840" s="10" t="str">
        <f>IF(OR(C1840="",B1840=""),"",IFERROR(C1840*INDEX(Harytlar!$D$5:$D$44,MATCH(B1840,Harytlar!$A$5:$A$44,0)),""))</f>
        <v/>
      </c>
    </row>
    <row r="1841" spans="1:7" x14ac:dyDescent="0.3">
      <c r="A1841" s="17"/>
      <c r="B1841" s="18"/>
      <c r="C1841" s="18"/>
      <c r="D1841" s="18"/>
      <c r="E1841" s="10" t="str">
        <f>IF(B1841="","",IFERROR(INDEX(Harytlar!$C$5:$C$44,MATCH(B1841,Harytlar!$A$5:$A$44,0)),""))</f>
        <v/>
      </c>
      <c r="F1841" s="10" t="str">
        <f t="shared" si="28"/>
        <v/>
      </c>
      <c r="G1841" s="10" t="str">
        <f>IF(OR(C1841="",B1841=""),"",IFERROR(C1841*INDEX(Harytlar!$D$5:$D$44,MATCH(B1841,Harytlar!$A$5:$A$44,0)),""))</f>
        <v/>
      </c>
    </row>
    <row r="1842" spans="1:7" x14ac:dyDescent="0.3">
      <c r="A1842" s="17"/>
      <c r="B1842" s="18"/>
      <c r="C1842" s="18"/>
      <c r="D1842" s="18"/>
      <c r="E1842" s="10" t="str">
        <f>IF(B1842="","",IFERROR(INDEX(Harytlar!$C$5:$C$44,MATCH(B1842,Harytlar!$A$5:$A$44,0)),""))</f>
        <v/>
      </c>
      <c r="F1842" s="10" t="str">
        <f t="shared" si="28"/>
        <v/>
      </c>
      <c r="G1842" s="10" t="str">
        <f>IF(OR(C1842="",B1842=""),"",IFERROR(C1842*INDEX(Harytlar!$D$5:$D$44,MATCH(B1842,Harytlar!$A$5:$A$44,0)),""))</f>
        <v/>
      </c>
    </row>
    <row r="1843" spans="1:7" x14ac:dyDescent="0.3">
      <c r="A1843" s="17"/>
      <c r="B1843" s="18"/>
      <c r="C1843" s="18"/>
      <c r="D1843" s="18"/>
      <c r="E1843" s="10" t="str">
        <f>IF(B1843="","",IFERROR(INDEX(Harytlar!$C$5:$C$44,MATCH(B1843,Harytlar!$A$5:$A$44,0)),""))</f>
        <v/>
      </c>
      <c r="F1843" s="10" t="str">
        <f t="shared" si="28"/>
        <v/>
      </c>
      <c r="G1843" s="10" t="str">
        <f>IF(OR(C1843="",B1843=""),"",IFERROR(C1843*INDEX(Harytlar!$D$5:$D$44,MATCH(B1843,Harytlar!$A$5:$A$44,0)),""))</f>
        <v/>
      </c>
    </row>
    <row r="1844" spans="1:7" x14ac:dyDescent="0.3">
      <c r="A1844" s="17"/>
      <c r="B1844" s="18"/>
      <c r="C1844" s="18"/>
      <c r="D1844" s="18"/>
      <c r="E1844" s="10" t="str">
        <f>IF(B1844="","",IFERROR(INDEX(Harytlar!$C$5:$C$44,MATCH(B1844,Harytlar!$A$5:$A$44,0)),""))</f>
        <v/>
      </c>
      <c r="F1844" s="10" t="str">
        <f t="shared" si="28"/>
        <v/>
      </c>
      <c r="G1844" s="10" t="str">
        <f>IF(OR(C1844="",B1844=""),"",IFERROR(C1844*INDEX(Harytlar!$D$5:$D$44,MATCH(B1844,Harytlar!$A$5:$A$44,0)),""))</f>
        <v/>
      </c>
    </row>
    <row r="1845" spans="1:7" x14ac:dyDescent="0.3">
      <c r="A1845" s="17"/>
      <c r="B1845" s="18"/>
      <c r="C1845" s="18"/>
      <c r="D1845" s="18"/>
      <c r="E1845" s="10" t="str">
        <f>IF(B1845="","",IFERROR(INDEX(Harytlar!$C$5:$C$44,MATCH(B1845,Harytlar!$A$5:$A$44,0)),""))</f>
        <v/>
      </c>
      <c r="F1845" s="10" t="str">
        <f t="shared" si="28"/>
        <v/>
      </c>
      <c r="G1845" s="10" t="str">
        <f>IF(OR(C1845="",B1845=""),"",IFERROR(C1845*INDEX(Harytlar!$D$5:$D$44,MATCH(B1845,Harytlar!$A$5:$A$44,0)),""))</f>
        <v/>
      </c>
    </row>
    <row r="1846" spans="1:7" x14ac:dyDescent="0.3">
      <c r="A1846" s="17"/>
      <c r="B1846" s="18"/>
      <c r="C1846" s="18"/>
      <c r="D1846" s="18"/>
      <c r="E1846" s="10" t="str">
        <f>IF(B1846="","",IFERROR(INDEX(Harytlar!$C$5:$C$44,MATCH(B1846,Harytlar!$A$5:$A$44,0)),""))</f>
        <v/>
      </c>
      <c r="F1846" s="10" t="str">
        <f t="shared" si="28"/>
        <v/>
      </c>
      <c r="G1846" s="10" t="str">
        <f>IF(OR(C1846="",B1846=""),"",IFERROR(C1846*INDEX(Harytlar!$D$5:$D$44,MATCH(B1846,Harytlar!$A$5:$A$44,0)),""))</f>
        <v/>
      </c>
    </row>
    <row r="1847" spans="1:7" x14ac:dyDescent="0.3">
      <c r="A1847" s="17"/>
      <c r="B1847" s="18"/>
      <c r="C1847" s="18"/>
      <c r="D1847" s="18"/>
      <c r="E1847" s="10" t="str">
        <f>IF(B1847="","",IFERROR(INDEX(Harytlar!$C$5:$C$44,MATCH(B1847,Harytlar!$A$5:$A$44,0)),""))</f>
        <v/>
      </c>
      <c r="F1847" s="10" t="str">
        <f t="shared" si="28"/>
        <v/>
      </c>
      <c r="G1847" s="10" t="str">
        <f>IF(OR(C1847="",B1847=""),"",IFERROR(C1847*INDEX(Harytlar!$D$5:$D$44,MATCH(B1847,Harytlar!$A$5:$A$44,0)),""))</f>
        <v/>
      </c>
    </row>
    <row r="1848" spans="1:7" x14ac:dyDescent="0.3">
      <c r="A1848" s="17"/>
      <c r="B1848" s="18"/>
      <c r="C1848" s="18"/>
      <c r="D1848" s="18"/>
      <c r="E1848" s="10" t="str">
        <f>IF(B1848="","",IFERROR(INDEX(Harytlar!$C$5:$C$44,MATCH(B1848,Harytlar!$A$5:$A$44,0)),""))</f>
        <v/>
      </c>
      <c r="F1848" s="10" t="str">
        <f t="shared" si="28"/>
        <v/>
      </c>
      <c r="G1848" s="10" t="str">
        <f>IF(OR(C1848="",B1848=""),"",IFERROR(C1848*INDEX(Harytlar!$D$5:$D$44,MATCH(B1848,Harytlar!$A$5:$A$44,0)),""))</f>
        <v/>
      </c>
    </row>
    <row r="1849" spans="1:7" x14ac:dyDescent="0.3">
      <c r="A1849" s="17"/>
      <c r="B1849" s="18"/>
      <c r="C1849" s="18"/>
      <c r="D1849" s="18"/>
      <c r="E1849" s="10" t="str">
        <f>IF(B1849="","",IFERROR(INDEX(Harytlar!$C$5:$C$44,MATCH(B1849,Harytlar!$A$5:$A$44,0)),""))</f>
        <v/>
      </c>
      <c r="F1849" s="10" t="str">
        <f t="shared" si="28"/>
        <v/>
      </c>
      <c r="G1849" s="10" t="str">
        <f>IF(OR(C1849="",B1849=""),"",IFERROR(C1849*INDEX(Harytlar!$D$5:$D$44,MATCH(B1849,Harytlar!$A$5:$A$44,0)),""))</f>
        <v/>
      </c>
    </row>
    <row r="1850" spans="1:7" x14ac:dyDescent="0.3">
      <c r="A1850" s="17"/>
      <c r="B1850" s="18"/>
      <c r="C1850" s="18"/>
      <c r="D1850" s="18"/>
      <c r="E1850" s="10" t="str">
        <f>IF(B1850="","",IFERROR(INDEX(Harytlar!$C$5:$C$44,MATCH(B1850,Harytlar!$A$5:$A$44,0)),""))</f>
        <v/>
      </c>
      <c r="F1850" s="10" t="str">
        <f t="shared" si="28"/>
        <v/>
      </c>
      <c r="G1850" s="10" t="str">
        <f>IF(OR(C1850="",B1850=""),"",IFERROR(C1850*INDEX(Harytlar!$D$5:$D$44,MATCH(B1850,Harytlar!$A$5:$A$44,0)),""))</f>
        <v/>
      </c>
    </row>
    <row r="1851" spans="1:7" x14ac:dyDescent="0.3">
      <c r="A1851" s="17"/>
      <c r="B1851" s="18"/>
      <c r="C1851" s="18"/>
      <c r="D1851" s="18"/>
      <c r="E1851" s="10" t="str">
        <f>IF(B1851="","",IFERROR(INDEX(Harytlar!$C$5:$C$44,MATCH(B1851,Harytlar!$A$5:$A$44,0)),""))</f>
        <v/>
      </c>
      <c r="F1851" s="10" t="str">
        <f t="shared" si="28"/>
        <v/>
      </c>
      <c r="G1851" s="10" t="str">
        <f>IF(OR(C1851="",B1851=""),"",IFERROR(C1851*INDEX(Harytlar!$D$5:$D$44,MATCH(B1851,Harytlar!$A$5:$A$44,0)),""))</f>
        <v/>
      </c>
    </row>
    <row r="1852" spans="1:7" x14ac:dyDescent="0.3">
      <c r="A1852" s="17"/>
      <c r="B1852" s="18"/>
      <c r="C1852" s="18"/>
      <c r="D1852" s="18"/>
      <c r="E1852" s="10" t="str">
        <f>IF(B1852="","",IFERROR(INDEX(Harytlar!$C$5:$C$44,MATCH(B1852,Harytlar!$A$5:$A$44,0)),""))</f>
        <v/>
      </c>
      <c r="F1852" s="10" t="str">
        <f t="shared" si="28"/>
        <v/>
      </c>
      <c r="G1852" s="10" t="str">
        <f>IF(OR(C1852="",B1852=""),"",IFERROR(C1852*INDEX(Harytlar!$D$5:$D$44,MATCH(B1852,Harytlar!$A$5:$A$44,0)),""))</f>
        <v/>
      </c>
    </row>
    <row r="1853" spans="1:7" x14ac:dyDescent="0.3">
      <c r="A1853" s="17"/>
      <c r="B1853" s="18"/>
      <c r="C1853" s="18"/>
      <c r="D1853" s="18"/>
      <c r="E1853" s="10" t="str">
        <f>IF(B1853="","",IFERROR(INDEX(Harytlar!$C$5:$C$44,MATCH(B1853,Harytlar!$A$5:$A$44,0)),""))</f>
        <v/>
      </c>
      <c r="F1853" s="10" t="str">
        <f t="shared" si="28"/>
        <v/>
      </c>
      <c r="G1853" s="10" t="str">
        <f>IF(OR(C1853="",B1853=""),"",IFERROR(C1853*INDEX(Harytlar!$D$5:$D$44,MATCH(B1853,Harytlar!$A$5:$A$44,0)),""))</f>
        <v/>
      </c>
    </row>
    <row r="1854" spans="1:7" x14ac:dyDescent="0.3">
      <c r="A1854" s="17"/>
      <c r="B1854" s="18"/>
      <c r="C1854" s="18"/>
      <c r="D1854" s="18"/>
      <c r="E1854" s="10" t="str">
        <f>IF(B1854="","",IFERROR(INDEX(Harytlar!$C$5:$C$44,MATCH(B1854,Harytlar!$A$5:$A$44,0)),""))</f>
        <v/>
      </c>
      <c r="F1854" s="10" t="str">
        <f t="shared" si="28"/>
        <v/>
      </c>
      <c r="G1854" s="10" t="str">
        <f>IF(OR(C1854="",B1854=""),"",IFERROR(C1854*INDEX(Harytlar!$D$5:$D$44,MATCH(B1854,Harytlar!$A$5:$A$44,0)),""))</f>
        <v/>
      </c>
    </row>
    <row r="1855" spans="1:7" x14ac:dyDescent="0.3">
      <c r="A1855" s="17"/>
      <c r="B1855" s="18"/>
      <c r="C1855" s="18"/>
      <c r="D1855" s="18"/>
      <c r="E1855" s="10" t="str">
        <f>IF(B1855="","",IFERROR(INDEX(Harytlar!$C$5:$C$44,MATCH(B1855,Harytlar!$A$5:$A$44,0)),""))</f>
        <v/>
      </c>
      <c r="F1855" s="10" t="str">
        <f t="shared" si="28"/>
        <v/>
      </c>
      <c r="G1855" s="10" t="str">
        <f>IF(OR(C1855="",B1855=""),"",IFERROR(C1855*INDEX(Harytlar!$D$5:$D$44,MATCH(B1855,Harytlar!$A$5:$A$44,0)),""))</f>
        <v/>
      </c>
    </row>
    <row r="1856" spans="1:7" x14ac:dyDescent="0.3">
      <c r="A1856" s="17"/>
      <c r="B1856" s="18"/>
      <c r="C1856" s="18"/>
      <c r="D1856" s="18"/>
      <c r="E1856" s="10" t="str">
        <f>IF(B1856="","",IFERROR(INDEX(Harytlar!$C$5:$C$44,MATCH(B1856,Harytlar!$A$5:$A$44,0)),""))</f>
        <v/>
      </c>
      <c r="F1856" s="10" t="str">
        <f t="shared" si="28"/>
        <v/>
      </c>
      <c r="G1856" s="10" t="str">
        <f>IF(OR(C1856="",B1856=""),"",IFERROR(C1856*INDEX(Harytlar!$D$5:$D$44,MATCH(B1856,Harytlar!$A$5:$A$44,0)),""))</f>
        <v/>
      </c>
    </row>
    <row r="1857" spans="1:7" x14ac:dyDescent="0.3">
      <c r="A1857" s="17"/>
      <c r="B1857" s="18"/>
      <c r="C1857" s="18"/>
      <c r="D1857" s="18"/>
      <c r="E1857" s="10" t="str">
        <f>IF(B1857="","",IFERROR(INDEX(Harytlar!$C$5:$C$44,MATCH(B1857,Harytlar!$A$5:$A$44,0)),""))</f>
        <v/>
      </c>
      <c r="F1857" s="10" t="str">
        <f t="shared" si="28"/>
        <v/>
      </c>
      <c r="G1857" s="10" t="str">
        <f>IF(OR(C1857="",B1857=""),"",IFERROR(C1857*INDEX(Harytlar!$D$5:$D$44,MATCH(B1857,Harytlar!$A$5:$A$44,0)),""))</f>
        <v/>
      </c>
    </row>
    <row r="1858" spans="1:7" x14ac:dyDescent="0.3">
      <c r="A1858" s="17"/>
      <c r="B1858" s="18"/>
      <c r="C1858" s="18"/>
      <c r="D1858" s="18"/>
      <c r="E1858" s="10" t="str">
        <f>IF(B1858="","",IFERROR(INDEX(Harytlar!$C$5:$C$44,MATCH(B1858,Harytlar!$A$5:$A$44,0)),""))</f>
        <v/>
      </c>
      <c r="F1858" s="10" t="str">
        <f t="shared" si="28"/>
        <v/>
      </c>
      <c r="G1858" s="10" t="str">
        <f>IF(OR(C1858="",B1858=""),"",IFERROR(C1858*INDEX(Harytlar!$D$5:$D$44,MATCH(B1858,Harytlar!$A$5:$A$44,0)),""))</f>
        <v/>
      </c>
    </row>
    <row r="1859" spans="1:7" x14ac:dyDescent="0.3">
      <c r="A1859" s="17"/>
      <c r="B1859" s="18"/>
      <c r="C1859" s="18"/>
      <c r="D1859" s="18"/>
      <c r="E1859" s="10" t="str">
        <f>IF(B1859="","",IFERROR(INDEX(Harytlar!$C$5:$C$44,MATCH(B1859,Harytlar!$A$5:$A$44,0)),""))</f>
        <v/>
      </c>
      <c r="F1859" s="10" t="str">
        <f t="shared" si="28"/>
        <v/>
      </c>
      <c r="G1859" s="10" t="str">
        <f>IF(OR(C1859="",B1859=""),"",IFERROR(C1859*INDEX(Harytlar!$D$5:$D$44,MATCH(B1859,Harytlar!$A$5:$A$44,0)),""))</f>
        <v/>
      </c>
    </row>
    <row r="1860" spans="1:7" x14ac:dyDescent="0.3">
      <c r="A1860" s="17"/>
      <c r="B1860" s="18"/>
      <c r="C1860" s="18"/>
      <c r="D1860" s="18"/>
      <c r="E1860" s="10" t="str">
        <f>IF(B1860="","",IFERROR(INDEX(Harytlar!$C$5:$C$44,MATCH(B1860,Harytlar!$A$5:$A$44,0)),""))</f>
        <v/>
      </c>
      <c r="F1860" s="10" t="str">
        <f t="shared" si="28"/>
        <v/>
      </c>
      <c r="G1860" s="10" t="str">
        <f>IF(OR(C1860="",B1860=""),"",IFERROR(C1860*INDEX(Harytlar!$D$5:$D$44,MATCH(B1860,Harytlar!$A$5:$A$44,0)),""))</f>
        <v/>
      </c>
    </row>
    <row r="1861" spans="1:7" x14ac:dyDescent="0.3">
      <c r="A1861" s="17"/>
      <c r="B1861" s="18"/>
      <c r="C1861" s="18"/>
      <c r="D1861" s="18"/>
      <c r="E1861" s="10" t="str">
        <f>IF(B1861="","",IFERROR(INDEX(Harytlar!$C$5:$C$44,MATCH(B1861,Harytlar!$A$5:$A$44,0)),""))</f>
        <v/>
      </c>
      <c r="F1861" s="10" t="str">
        <f t="shared" si="28"/>
        <v/>
      </c>
      <c r="G1861" s="10" t="str">
        <f>IF(OR(C1861="",B1861=""),"",IFERROR(C1861*INDEX(Harytlar!$D$5:$D$44,MATCH(B1861,Harytlar!$A$5:$A$44,0)),""))</f>
        <v/>
      </c>
    </row>
    <row r="1862" spans="1:7" x14ac:dyDescent="0.3">
      <c r="A1862" s="17"/>
      <c r="B1862" s="18"/>
      <c r="C1862" s="18"/>
      <c r="D1862" s="18"/>
      <c r="E1862" s="10" t="str">
        <f>IF(B1862="","",IFERROR(INDEX(Harytlar!$C$5:$C$44,MATCH(B1862,Harytlar!$A$5:$A$44,0)),""))</f>
        <v/>
      </c>
      <c r="F1862" s="10" t="str">
        <f t="shared" ref="F1862:F1925" si="29">IF(OR(C1862="",E1862=""),"",C1862*E1862)</f>
        <v/>
      </c>
      <c r="G1862" s="10" t="str">
        <f>IF(OR(C1862="",B1862=""),"",IFERROR(C1862*INDEX(Harytlar!$D$5:$D$44,MATCH(B1862,Harytlar!$A$5:$A$44,0)),""))</f>
        <v/>
      </c>
    </row>
    <row r="1863" spans="1:7" x14ac:dyDescent="0.3">
      <c r="A1863" s="17"/>
      <c r="B1863" s="18"/>
      <c r="C1863" s="18"/>
      <c r="D1863" s="18"/>
      <c r="E1863" s="10" t="str">
        <f>IF(B1863="","",IFERROR(INDEX(Harytlar!$C$5:$C$44,MATCH(B1863,Harytlar!$A$5:$A$44,0)),""))</f>
        <v/>
      </c>
      <c r="F1863" s="10" t="str">
        <f t="shared" si="29"/>
        <v/>
      </c>
      <c r="G1863" s="10" t="str">
        <f>IF(OR(C1863="",B1863=""),"",IFERROR(C1863*INDEX(Harytlar!$D$5:$D$44,MATCH(B1863,Harytlar!$A$5:$A$44,0)),""))</f>
        <v/>
      </c>
    </row>
    <row r="1864" spans="1:7" x14ac:dyDescent="0.3">
      <c r="A1864" s="17"/>
      <c r="B1864" s="18"/>
      <c r="C1864" s="18"/>
      <c r="D1864" s="18"/>
      <c r="E1864" s="10" t="str">
        <f>IF(B1864="","",IFERROR(INDEX(Harytlar!$C$5:$C$44,MATCH(B1864,Harytlar!$A$5:$A$44,0)),""))</f>
        <v/>
      </c>
      <c r="F1864" s="10" t="str">
        <f t="shared" si="29"/>
        <v/>
      </c>
      <c r="G1864" s="10" t="str">
        <f>IF(OR(C1864="",B1864=""),"",IFERROR(C1864*INDEX(Harytlar!$D$5:$D$44,MATCH(B1864,Harytlar!$A$5:$A$44,0)),""))</f>
        <v/>
      </c>
    </row>
    <row r="1865" spans="1:7" x14ac:dyDescent="0.3">
      <c r="A1865" s="17"/>
      <c r="B1865" s="18"/>
      <c r="C1865" s="18"/>
      <c r="D1865" s="18"/>
      <c r="E1865" s="10" t="str">
        <f>IF(B1865="","",IFERROR(INDEX(Harytlar!$C$5:$C$44,MATCH(B1865,Harytlar!$A$5:$A$44,0)),""))</f>
        <v/>
      </c>
      <c r="F1865" s="10" t="str">
        <f t="shared" si="29"/>
        <v/>
      </c>
      <c r="G1865" s="10" t="str">
        <f>IF(OR(C1865="",B1865=""),"",IFERROR(C1865*INDEX(Harytlar!$D$5:$D$44,MATCH(B1865,Harytlar!$A$5:$A$44,0)),""))</f>
        <v/>
      </c>
    </row>
    <row r="1866" spans="1:7" x14ac:dyDescent="0.3">
      <c r="A1866" s="17"/>
      <c r="B1866" s="18"/>
      <c r="C1866" s="18"/>
      <c r="D1866" s="18"/>
      <c r="E1866" s="10" t="str">
        <f>IF(B1866="","",IFERROR(INDEX(Harytlar!$C$5:$C$44,MATCH(B1866,Harytlar!$A$5:$A$44,0)),""))</f>
        <v/>
      </c>
      <c r="F1866" s="10" t="str">
        <f t="shared" si="29"/>
        <v/>
      </c>
      <c r="G1866" s="10" t="str">
        <f>IF(OR(C1866="",B1866=""),"",IFERROR(C1866*INDEX(Harytlar!$D$5:$D$44,MATCH(B1866,Harytlar!$A$5:$A$44,0)),""))</f>
        <v/>
      </c>
    </row>
    <row r="1867" spans="1:7" x14ac:dyDescent="0.3">
      <c r="A1867" s="17"/>
      <c r="B1867" s="18"/>
      <c r="C1867" s="18"/>
      <c r="D1867" s="18"/>
      <c r="E1867" s="10" t="str">
        <f>IF(B1867="","",IFERROR(INDEX(Harytlar!$C$5:$C$44,MATCH(B1867,Harytlar!$A$5:$A$44,0)),""))</f>
        <v/>
      </c>
      <c r="F1867" s="10" t="str">
        <f t="shared" si="29"/>
        <v/>
      </c>
      <c r="G1867" s="10" t="str">
        <f>IF(OR(C1867="",B1867=""),"",IFERROR(C1867*INDEX(Harytlar!$D$5:$D$44,MATCH(B1867,Harytlar!$A$5:$A$44,0)),""))</f>
        <v/>
      </c>
    </row>
    <row r="1868" spans="1:7" x14ac:dyDescent="0.3">
      <c r="A1868" s="17"/>
      <c r="B1868" s="18"/>
      <c r="C1868" s="18"/>
      <c r="D1868" s="18"/>
      <c r="E1868" s="10" t="str">
        <f>IF(B1868="","",IFERROR(INDEX(Harytlar!$C$5:$C$44,MATCH(B1868,Harytlar!$A$5:$A$44,0)),""))</f>
        <v/>
      </c>
      <c r="F1868" s="10" t="str">
        <f t="shared" si="29"/>
        <v/>
      </c>
      <c r="G1868" s="10" t="str">
        <f>IF(OR(C1868="",B1868=""),"",IFERROR(C1868*INDEX(Harytlar!$D$5:$D$44,MATCH(B1868,Harytlar!$A$5:$A$44,0)),""))</f>
        <v/>
      </c>
    </row>
    <row r="1869" spans="1:7" x14ac:dyDescent="0.3">
      <c r="A1869" s="17"/>
      <c r="B1869" s="18"/>
      <c r="C1869" s="18"/>
      <c r="D1869" s="18"/>
      <c r="E1869" s="10" t="str">
        <f>IF(B1869="","",IFERROR(INDEX(Harytlar!$C$5:$C$44,MATCH(B1869,Harytlar!$A$5:$A$44,0)),""))</f>
        <v/>
      </c>
      <c r="F1869" s="10" t="str">
        <f t="shared" si="29"/>
        <v/>
      </c>
      <c r="G1869" s="10" t="str">
        <f>IF(OR(C1869="",B1869=""),"",IFERROR(C1869*INDEX(Harytlar!$D$5:$D$44,MATCH(B1869,Harytlar!$A$5:$A$44,0)),""))</f>
        <v/>
      </c>
    </row>
    <row r="1870" spans="1:7" x14ac:dyDescent="0.3">
      <c r="A1870" s="17"/>
      <c r="B1870" s="18"/>
      <c r="C1870" s="18"/>
      <c r="D1870" s="18"/>
      <c r="E1870" s="10" t="str">
        <f>IF(B1870="","",IFERROR(INDEX(Harytlar!$C$5:$C$44,MATCH(B1870,Harytlar!$A$5:$A$44,0)),""))</f>
        <v/>
      </c>
      <c r="F1870" s="10" t="str">
        <f t="shared" si="29"/>
        <v/>
      </c>
      <c r="G1870" s="10" t="str">
        <f>IF(OR(C1870="",B1870=""),"",IFERROR(C1870*INDEX(Harytlar!$D$5:$D$44,MATCH(B1870,Harytlar!$A$5:$A$44,0)),""))</f>
        <v/>
      </c>
    </row>
    <row r="1871" spans="1:7" x14ac:dyDescent="0.3">
      <c r="A1871" s="17"/>
      <c r="B1871" s="18"/>
      <c r="C1871" s="18"/>
      <c r="D1871" s="18"/>
      <c r="E1871" s="10" t="str">
        <f>IF(B1871="","",IFERROR(INDEX(Harytlar!$C$5:$C$44,MATCH(B1871,Harytlar!$A$5:$A$44,0)),""))</f>
        <v/>
      </c>
      <c r="F1871" s="10" t="str">
        <f t="shared" si="29"/>
        <v/>
      </c>
      <c r="G1871" s="10" t="str">
        <f>IF(OR(C1871="",B1871=""),"",IFERROR(C1871*INDEX(Harytlar!$D$5:$D$44,MATCH(B1871,Harytlar!$A$5:$A$44,0)),""))</f>
        <v/>
      </c>
    </row>
    <row r="1872" spans="1:7" x14ac:dyDescent="0.3">
      <c r="A1872" s="17"/>
      <c r="B1872" s="18"/>
      <c r="C1872" s="18"/>
      <c r="D1872" s="18"/>
      <c r="E1872" s="10" t="str">
        <f>IF(B1872="","",IFERROR(INDEX(Harytlar!$C$5:$C$44,MATCH(B1872,Harytlar!$A$5:$A$44,0)),""))</f>
        <v/>
      </c>
      <c r="F1872" s="10" t="str">
        <f t="shared" si="29"/>
        <v/>
      </c>
      <c r="G1872" s="10" t="str">
        <f>IF(OR(C1872="",B1872=""),"",IFERROR(C1872*INDEX(Harytlar!$D$5:$D$44,MATCH(B1872,Harytlar!$A$5:$A$44,0)),""))</f>
        <v/>
      </c>
    </row>
    <row r="1873" spans="1:7" x14ac:dyDescent="0.3">
      <c r="A1873" s="17"/>
      <c r="B1873" s="18"/>
      <c r="C1873" s="18"/>
      <c r="D1873" s="18"/>
      <c r="E1873" s="10" t="str">
        <f>IF(B1873="","",IFERROR(INDEX(Harytlar!$C$5:$C$44,MATCH(B1873,Harytlar!$A$5:$A$44,0)),""))</f>
        <v/>
      </c>
      <c r="F1873" s="10" t="str">
        <f t="shared" si="29"/>
        <v/>
      </c>
      <c r="G1873" s="10" t="str">
        <f>IF(OR(C1873="",B1873=""),"",IFERROR(C1873*INDEX(Harytlar!$D$5:$D$44,MATCH(B1873,Harytlar!$A$5:$A$44,0)),""))</f>
        <v/>
      </c>
    </row>
    <row r="1874" spans="1:7" x14ac:dyDescent="0.3">
      <c r="A1874" s="17"/>
      <c r="B1874" s="18"/>
      <c r="C1874" s="18"/>
      <c r="D1874" s="18"/>
      <c r="E1874" s="10" t="str">
        <f>IF(B1874="","",IFERROR(INDEX(Harytlar!$C$5:$C$44,MATCH(B1874,Harytlar!$A$5:$A$44,0)),""))</f>
        <v/>
      </c>
      <c r="F1874" s="10" t="str">
        <f t="shared" si="29"/>
        <v/>
      </c>
      <c r="G1874" s="10" t="str">
        <f>IF(OR(C1874="",B1874=""),"",IFERROR(C1874*INDEX(Harytlar!$D$5:$D$44,MATCH(B1874,Harytlar!$A$5:$A$44,0)),""))</f>
        <v/>
      </c>
    </row>
    <row r="1875" spans="1:7" x14ac:dyDescent="0.3">
      <c r="A1875" s="17"/>
      <c r="B1875" s="18"/>
      <c r="C1875" s="18"/>
      <c r="D1875" s="18"/>
      <c r="E1875" s="10" t="str">
        <f>IF(B1875="","",IFERROR(INDEX(Harytlar!$C$5:$C$44,MATCH(B1875,Harytlar!$A$5:$A$44,0)),""))</f>
        <v/>
      </c>
      <c r="F1875" s="10" t="str">
        <f t="shared" si="29"/>
        <v/>
      </c>
      <c r="G1875" s="10" t="str">
        <f>IF(OR(C1875="",B1875=""),"",IFERROR(C1875*INDEX(Harytlar!$D$5:$D$44,MATCH(B1875,Harytlar!$A$5:$A$44,0)),""))</f>
        <v/>
      </c>
    </row>
    <row r="1876" spans="1:7" x14ac:dyDescent="0.3">
      <c r="A1876" s="17"/>
      <c r="B1876" s="18"/>
      <c r="C1876" s="18"/>
      <c r="D1876" s="18"/>
      <c r="E1876" s="10" t="str">
        <f>IF(B1876="","",IFERROR(INDEX(Harytlar!$C$5:$C$44,MATCH(B1876,Harytlar!$A$5:$A$44,0)),""))</f>
        <v/>
      </c>
      <c r="F1876" s="10" t="str">
        <f t="shared" si="29"/>
        <v/>
      </c>
      <c r="G1876" s="10" t="str">
        <f>IF(OR(C1876="",B1876=""),"",IFERROR(C1876*INDEX(Harytlar!$D$5:$D$44,MATCH(B1876,Harytlar!$A$5:$A$44,0)),""))</f>
        <v/>
      </c>
    </row>
    <row r="1877" spans="1:7" x14ac:dyDescent="0.3">
      <c r="A1877" s="17"/>
      <c r="B1877" s="18"/>
      <c r="C1877" s="18"/>
      <c r="D1877" s="18"/>
      <c r="E1877" s="10" t="str">
        <f>IF(B1877="","",IFERROR(INDEX(Harytlar!$C$5:$C$44,MATCH(B1877,Harytlar!$A$5:$A$44,0)),""))</f>
        <v/>
      </c>
      <c r="F1877" s="10" t="str">
        <f t="shared" si="29"/>
        <v/>
      </c>
      <c r="G1877" s="10" t="str">
        <f>IF(OR(C1877="",B1877=""),"",IFERROR(C1877*INDEX(Harytlar!$D$5:$D$44,MATCH(B1877,Harytlar!$A$5:$A$44,0)),""))</f>
        <v/>
      </c>
    </row>
    <row r="1878" spans="1:7" x14ac:dyDescent="0.3">
      <c r="A1878" s="17"/>
      <c r="B1878" s="18"/>
      <c r="C1878" s="18"/>
      <c r="D1878" s="18"/>
      <c r="E1878" s="10" t="str">
        <f>IF(B1878="","",IFERROR(INDEX(Harytlar!$C$5:$C$44,MATCH(B1878,Harytlar!$A$5:$A$44,0)),""))</f>
        <v/>
      </c>
      <c r="F1878" s="10" t="str">
        <f t="shared" si="29"/>
        <v/>
      </c>
      <c r="G1878" s="10" t="str">
        <f>IF(OR(C1878="",B1878=""),"",IFERROR(C1878*INDEX(Harytlar!$D$5:$D$44,MATCH(B1878,Harytlar!$A$5:$A$44,0)),""))</f>
        <v/>
      </c>
    </row>
    <row r="1879" spans="1:7" x14ac:dyDescent="0.3">
      <c r="A1879" s="17"/>
      <c r="B1879" s="18"/>
      <c r="C1879" s="18"/>
      <c r="D1879" s="18"/>
      <c r="E1879" s="10" t="str">
        <f>IF(B1879="","",IFERROR(INDEX(Harytlar!$C$5:$C$44,MATCH(B1879,Harytlar!$A$5:$A$44,0)),""))</f>
        <v/>
      </c>
      <c r="F1879" s="10" t="str">
        <f t="shared" si="29"/>
        <v/>
      </c>
      <c r="G1879" s="10" t="str">
        <f>IF(OR(C1879="",B1879=""),"",IFERROR(C1879*INDEX(Harytlar!$D$5:$D$44,MATCH(B1879,Harytlar!$A$5:$A$44,0)),""))</f>
        <v/>
      </c>
    </row>
    <row r="1880" spans="1:7" x14ac:dyDescent="0.3">
      <c r="A1880" s="17"/>
      <c r="B1880" s="18"/>
      <c r="C1880" s="18"/>
      <c r="D1880" s="18"/>
      <c r="E1880" s="10" t="str">
        <f>IF(B1880="","",IFERROR(INDEX(Harytlar!$C$5:$C$44,MATCH(B1880,Harytlar!$A$5:$A$44,0)),""))</f>
        <v/>
      </c>
      <c r="F1880" s="10" t="str">
        <f t="shared" si="29"/>
        <v/>
      </c>
      <c r="G1880" s="10" t="str">
        <f>IF(OR(C1880="",B1880=""),"",IFERROR(C1880*INDEX(Harytlar!$D$5:$D$44,MATCH(B1880,Harytlar!$A$5:$A$44,0)),""))</f>
        <v/>
      </c>
    </row>
    <row r="1881" spans="1:7" x14ac:dyDescent="0.3">
      <c r="A1881" s="17"/>
      <c r="B1881" s="18"/>
      <c r="C1881" s="18"/>
      <c r="D1881" s="18"/>
      <c r="E1881" s="10" t="str">
        <f>IF(B1881="","",IFERROR(INDEX(Harytlar!$C$5:$C$44,MATCH(B1881,Harytlar!$A$5:$A$44,0)),""))</f>
        <v/>
      </c>
      <c r="F1881" s="10" t="str">
        <f t="shared" si="29"/>
        <v/>
      </c>
      <c r="G1881" s="10" t="str">
        <f>IF(OR(C1881="",B1881=""),"",IFERROR(C1881*INDEX(Harytlar!$D$5:$D$44,MATCH(B1881,Harytlar!$A$5:$A$44,0)),""))</f>
        <v/>
      </c>
    </row>
    <row r="1882" spans="1:7" x14ac:dyDescent="0.3">
      <c r="A1882" s="17"/>
      <c r="B1882" s="18"/>
      <c r="C1882" s="18"/>
      <c r="D1882" s="18"/>
      <c r="E1882" s="10" t="str">
        <f>IF(B1882="","",IFERROR(INDEX(Harytlar!$C$5:$C$44,MATCH(B1882,Harytlar!$A$5:$A$44,0)),""))</f>
        <v/>
      </c>
      <c r="F1882" s="10" t="str">
        <f t="shared" si="29"/>
        <v/>
      </c>
      <c r="G1882" s="10" t="str">
        <f>IF(OR(C1882="",B1882=""),"",IFERROR(C1882*INDEX(Harytlar!$D$5:$D$44,MATCH(B1882,Harytlar!$A$5:$A$44,0)),""))</f>
        <v/>
      </c>
    </row>
    <row r="1883" spans="1:7" x14ac:dyDescent="0.3">
      <c r="A1883" s="17"/>
      <c r="B1883" s="18"/>
      <c r="C1883" s="18"/>
      <c r="D1883" s="18"/>
      <c r="E1883" s="10" t="str">
        <f>IF(B1883="","",IFERROR(INDEX(Harytlar!$C$5:$C$44,MATCH(B1883,Harytlar!$A$5:$A$44,0)),""))</f>
        <v/>
      </c>
      <c r="F1883" s="10" t="str">
        <f t="shared" si="29"/>
        <v/>
      </c>
      <c r="G1883" s="10" t="str">
        <f>IF(OR(C1883="",B1883=""),"",IFERROR(C1883*INDEX(Harytlar!$D$5:$D$44,MATCH(B1883,Harytlar!$A$5:$A$44,0)),""))</f>
        <v/>
      </c>
    </row>
    <row r="1884" spans="1:7" x14ac:dyDescent="0.3">
      <c r="A1884" s="17"/>
      <c r="B1884" s="18"/>
      <c r="C1884" s="18"/>
      <c r="D1884" s="18"/>
      <c r="E1884" s="10" t="str">
        <f>IF(B1884="","",IFERROR(INDEX(Harytlar!$C$5:$C$44,MATCH(B1884,Harytlar!$A$5:$A$44,0)),""))</f>
        <v/>
      </c>
      <c r="F1884" s="10" t="str">
        <f t="shared" si="29"/>
        <v/>
      </c>
      <c r="G1884" s="10" t="str">
        <f>IF(OR(C1884="",B1884=""),"",IFERROR(C1884*INDEX(Harytlar!$D$5:$D$44,MATCH(B1884,Harytlar!$A$5:$A$44,0)),""))</f>
        <v/>
      </c>
    </row>
    <row r="1885" spans="1:7" x14ac:dyDescent="0.3">
      <c r="A1885" s="17"/>
      <c r="B1885" s="18"/>
      <c r="C1885" s="18"/>
      <c r="D1885" s="18"/>
      <c r="E1885" s="10" t="str">
        <f>IF(B1885="","",IFERROR(INDEX(Harytlar!$C$5:$C$44,MATCH(B1885,Harytlar!$A$5:$A$44,0)),""))</f>
        <v/>
      </c>
      <c r="F1885" s="10" t="str">
        <f t="shared" si="29"/>
        <v/>
      </c>
      <c r="G1885" s="10" t="str">
        <f>IF(OR(C1885="",B1885=""),"",IFERROR(C1885*INDEX(Harytlar!$D$5:$D$44,MATCH(B1885,Harytlar!$A$5:$A$44,0)),""))</f>
        <v/>
      </c>
    </row>
    <row r="1886" spans="1:7" x14ac:dyDescent="0.3">
      <c r="A1886" s="17"/>
      <c r="B1886" s="18"/>
      <c r="C1886" s="18"/>
      <c r="D1886" s="18"/>
      <c r="E1886" s="10" t="str">
        <f>IF(B1886="","",IFERROR(INDEX(Harytlar!$C$5:$C$44,MATCH(B1886,Harytlar!$A$5:$A$44,0)),""))</f>
        <v/>
      </c>
      <c r="F1886" s="10" t="str">
        <f t="shared" si="29"/>
        <v/>
      </c>
      <c r="G1886" s="10" t="str">
        <f>IF(OR(C1886="",B1886=""),"",IFERROR(C1886*INDEX(Harytlar!$D$5:$D$44,MATCH(B1886,Harytlar!$A$5:$A$44,0)),""))</f>
        <v/>
      </c>
    </row>
    <row r="1887" spans="1:7" x14ac:dyDescent="0.3">
      <c r="A1887" s="17"/>
      <c r="B1887" s="18"/>
      <c r="C1887" s="18"/>
      <c r="D1887" s="18"/>
      <c r="E1887" s="10" t="str">
        <f>IF(B1887="","",IFERROR(INDEX(Harytlar!$C$5:$C$44,MATCH(B1887,Harytlar!$A$5:$A$44,0)),""))</f>
        <v/>
      </c>
      <c r="F1887" s="10" t="str">
        <f t="shared" si="29"/>
        <v/>
      </c>
      <c r="G1887" s="10" t="str">
        <f>IF(OR(C1887="",B1887=""),"",IFERROR(C1887*INDEX(Harytlar!$D$5:$D$44,MATCH(B1887,Harytlar!$A$5:$A$44,0)),""))</f>
        <v/>
      </c>
    </row>
    <row r="1888" spans="1:7" x14ac:dyDescent="0.3">
      <c r="A1888" s="17"/>
      <c r="B1888" s="18"/>
      <c r="C1888" s="18"/>
      <c r="D1888" s="18"/>
      <c r="E1888" s="10" t="str">
        <f>IF(B1888="","",IFERROR(INDEX(Harytlar!$C$5:$C$44,MATCH(B1888,Harytlar!$A$5:$A$44,0)),""))</f>
        <v/>
      </c>
      <c r="F1888" s="10" t="str">
        <f t="shared" si="29"/>
        <v/>
      </c>
      <c r="G1888" s="10" t="str">
        <f>IF(OR(C1888="",B1888=""),"",IFERROR(C1888*INDEX(Harytlar!$D$5:$D$44,MATCH(B1888,Harytlar!$A$5:$A$44,0)),""))</f>
        <v/>
      </c>
    </row>
    <row r="1889" spans="1:7" x14ac:dyDescent="0.3">
      <c r="A1889" s="17"/>
      <c r="B1889" s="18"/>
      <c r="C1889" s="18"/>
      <c r="D1889" s="18"/>
      <c r="E1889" s="10" t="str">
        <f>IF(B1889="","",IFERROR(INDEX(Harytlar!$C$5:$C$44,MATCH(B1889,Harytlar!$A$5:$A$44,0)),""))</f>
        <v/>
      </c>
      <c r="F1889" s="10" t="str">
        <f t="shared" si="29"/>
        <v/>
      </c>
      <c r="G1889" s="10" t="str">
        <f>IF(OR(C1889="",B1889=""),"",IFERROR(C1889*INDEX(Harytlar!$D$5:$D$44,MATCH(B1889,Harytlar!$A$5:$A$44,0)),""))</f>
        <v/>
      </c>
    </row>
    <row r="1890" spans="1:7" x14ac:dyDescent="0.3">
      <c r="A1890" s="17"/>
      <c r="B1890" s="18"/>
      <c r="C1890" s="18"/>
      <c r="D1890" s="18"/>
      <c r="E1890" s="10" t="str">
        <f>IF(B1890="","",IFERROR(INDEX(Harytlar!$C$5:$C$44,MATCH(B1890,Harytlar!$A$5:$A$44,0)),""))</f>
        <v/>
      </c>
      <c r="F1890" s="10" t="str">
        <f t="shared" si="29"/>
        <v/>
      </c>
      <c r="G1890" s="10" t="str">
        <f>IF(OR(C1890="",B1890=""),"",IFERROR(C1890*INDEX(Harytlar!$D$5:$D$44,MATCH(B1890,Harytlar!$A$5:$A$44,0)),""))</f>
        <v/>
      </c>
    </row>
    <row r="1891" spans="1:7" x14ac:dyDescent="0.3">
      <c r="A1891" s="17"/>
      <c r="B1891" s="18"/>
      <c r="C1891" s="18"/>
      <c r="D1891" s="18"/>
      <c r="E1891" s="10" t="str">
        <f>IF(B1891="","",IFERROR(INDEX(Harytlar!$C$5:$C$44,MATCH(B1891,Harytlar!$A$5:$A$44,0)),""))</f>
        <v/>
      </c>
      <c r="F1891" s="10" t="str">
        <f t="shared" si="29"/>
        <v/>
      </c>
      <c r="G1891" s="10" t="str">
        <f>IF(OR(C1891="",B1891=""),"",IFERROR(C1891*INDEX(Harytlar!$D$5:$D$44,MATCH(B1891,Harytlar!$A$5:$A$44,0)),""))</f>
        <v/>
      </c>
    </row>
    <row r="1892" spans="1:7" x14ac:dyDescent="0.3">
      <c r="A1892" s="17"/>
      <c r="B1892" s="18"/>
      <c r="C1892" s="18"/>
      <c r="D1892" s="18"/>
      <c r="E1892" s="10" t="str">
        <f>IF(B1892="","",IFERROR(INDEX(Harytlar!$C$5:$C$44,MATCH(B1892,Harytlar!$A$5:$A$44,0)),""))</f>
        <v/>
      </c>
      <c r="F1892" s="10" t="str">
        <f t="shared" si="29"/>
        <v/>
      </c>
      <c r="G1892" s="10" t="str">
        <f>IF(OR(C1892="",B1892=""),"",IFERROR(C1892*INDEX(Harytlar!$D$5:$D$44,MATCH(B1892,Harytlar!$A$5:$A$44,0)),""))</f>
        <v/>
      </c>
    </row>
    <row r="1893" spans="1:7" x14ac:dyDescent="0.3">
      <c r="A1893" s="17"/>
      <c r="B1893" s="18"/>
      <c r="C1893" s="18"/>
      <c r="D1893" s="18"/>
      <c r="E1893" s="10" t="str">
        <f>IF(B1893="","",IFERROR(INDEX(Harytlar!$C$5:$C$44,MATCH(B1893,Harytlar!$A$5:$A$44,0)),""))</f>
        <v/>
      </c>
      <c r="F1893" s="10" t="str">
        <f t="shared" si="29"/>
        <v/>
      </c>
      <c r="G1893" s="10" t="str">
        <f>IF(OR(C1893="",B1893=""),"",IFERROR(C1893*INDEX(Harytlar!$D$5:$D$44,MATCH(B1893,Harytlar!$A$5:$A$44,0)),""))</f>
        <v/>
      </c>
    </row>
    <row r="1894" spans="1:7" x14ac:dyDescent="0.3">
      <c r="A1894" s="17"/>
      <c r="B1894" s="18"/>
      <c r="C1894" s="18"/>
      <c r="D1894" s="18"/>
      <c r="E1894" s="10" t="str">
        <f>IF(B1894="","",IFERROR(INDEX(Harytlar!$C$5:$C$44,MATCH(B1894,Harytlar!$A$5:$A$44,0)),""))</f>
        <v/>
      </c>
      <c r="F1894" s="10" t="str">
        <f t="shared" si="29"/>
        <v/>
      </c>
      <c r="G1894" s="10" t="str">
        <f>IF(OR(C1894="",B1894=""),"",IFERROR(C1894*INDEX(Harytlar!$D$5:$D$44,MATCH(B1894,Harytlar!$A$5:$A$44,0)),""))</f>
        <v/>
      </c>
    </row>
    <row r="1895" spans="1:7" x14ac:dyDescent="0.3">
      <c r="A1895" s="17"/>
      <c r="B1895" s="18"/>
      <c r="C1895" s="18"/>
      <c r="D1895" s="18"/>
      <c r="E1895" s="10" t="str">
        <f>IF(B1895="","",IFERROR(INDEX(Harytlar!$C$5:$C$44,MATCH(B1895,Harytlar!$A$5:$A$44,0)),""))</f>
        <v/>
      </c>
      <c r="F1895" s="10" t="str">
        <f t="shared" si="29"/>
        <v/>
      </c>
      <c r="G1895" s="10" t="str">
        <f>IF(OR(C1895="",B1895=""),"",IFERROR(C1895*INDEX(Harytlar!$D$5:$D$44,MATCH(B1895,Harytlar!$A$5:$A$44,0)),""))</f>
        <v/>
      </c>
    </row>
    <row r="1896" spans="1:7" x14ac:dyDescent="0.3">
      <c r="A1896" s="17"/>
      <c r="B1896" s="18"/>
      <c r="C1896" s="18"/>
      <c r="D1896" s="18"/>
      <c r="E1896" s="10" t="str">
        <f>IF(B1896="","",IFERROR(INDEX(Harytlar!$C$5:$C$44,MATCH(B1896,Harytlar!$A$5:$A$44,0)),""))</f>
        <v/>
      </c>
      <c r="F1896" s="10" t="str">
        <f t="shared" si="29"/>
        <v/>
      </c>
      <c r="G1896" s="10" t="str">
        <f>IF(OR(C1896="",B1896=""),"",IFERROR(C1896*INDEX(Harytlar!$D$5:$D$44,MATCH(B1896,Harytlar!$A$5:$A$44,0)),""))</f>
        <v/>
      </c>
    </row>
    <row r="1897" spans="1:7" x14ac:dyDescent="0.3">
      <c r="A1897" s="17"/>
      <c r="B1897" s="18"/>
      <c r="C1897" s="18"/>
      <c r="D1897" s="18"/>
      <c r="E1897" s="10" t="str">
        <f>IF(B1897="","",IFERROR(INDEX(Harytlar!$C$5:$C$44,MATCH(B1897,Harytlar!$A$5:$A$44,0)),""))</f>
        <v/>
      </c>
      <c r="F1897" s="10" t="str">
        <f t="shared" si="29"/>
        <v/>
      </c>
      <c r="G1897" s="10" t="str">
        <f>IF(OR(C1897="",B1897=""),"",IFERROR(C1897*INDEX(Harytlar!$D$5:$D$44,MATCH(B1897,Harytlar!$A$5:$A$44,0)),""))</f>
        <v/>
      </c>
    </row>
    <row r="1898" spans="1:7" x14ac:dyDescent="0.3">
      <c r="A1898" s="17"/>
      <c r="B1898" s="18"/>
      <c r="C1898" s="18"/>
      <c r="D1898" s="18"/>
      <c r="E1898" s="10" t="str">
        <f>IF(B1898="","",IFERROR(INDEX(Harytlar!$C$5:$C$44,MATCH(B1898,Harytlar!$A$5:$A$44,0)),""))</f>
        <v/>
      </c>
      <c r="F1898" s="10" t="str">
        <f t="shared" si="29"/>
        <v/>
      </c>
      <c r="G1898" s="10" t="str">
        <f>IF(OR(C1898="",B1898=""),"",IFERROR(C1898*INDEX(Harytlar!$D$5:$D$44,MATCH(B1898,Harytlar!$A$5:$A$44,0)),""))</f>
        <v/>
      </c>
    </row>
    <row r="1899" spans="1:7" x14ac:dyDescent="0.3">
      <c r="A1899" s="17"/>
      <c r="B1899" s="18"/>
      <c r="C1899" s="18"/>
      <c r="D1899" s="18"/>
      <c r="E1899" s="10" t="str">
        <f>IF(B1899="","",IFERROR(INDEX(Harytlar!$C$5:$C$44,MATCH(B1899,Harytlar!$A$5:$A$44,0)),""))</f>
        <v/>
      </c>
      <c r="F1899" s="10" t="str">
        <f t="shared" si="29"/>
        <v/>
      </c>
      <c r="G1899" s="10" t="str">
        <f>IF(OR(C1899="",B1899=""),"",IFERROR(C1899*INDEX(Harytlar!$D$5:$D$44,MATCH(B1899,Harytlar!$A$5:$A$44,0)),""))</f>
        <v/>
      </c>
    </row>
    <row r="1900" spans="1:7" x14ac:dyDescent="0.3">
      <c r="A1900" s="17"/>
      <c r="B1900" s="18"/>
      <c r="C1900" s="18"/>
      <c r="D1900" s="18"/>
      <c r="E1900" s="10" t="str">
        <f>IF(B1900="","",IFERROR(INDEX(Harytlar!$C$5:$C$44,MATCH(B1900,Harytlar!$A$5:$A$44,0)),""))</f>
        <v/>
      </c>
      <c r="F1900" s="10" t="str">
        <f t="shared" si="29"/>
        <v/>
      </c>
      <c r="G1900" s="10" t="str">
        <f>IF(OR(C1900="",B1900=""),"",IFERROR(C1900*INDEX(Harytlar!$D$5:$D$44,MATCH(B1900,Harytlar!$A$5:$A$44,0)),""))</f>
        <v/>
      </c>
    </row>
    <row r="1901" spans="1:7" x14ac:dyDescent="0.3">
      <c r="A1901" s="17"/>
      <c r="B1901" s="18"/>
      <c r="C1901" s="18"/>
      <c r="D1901" s="18"/>
      <c r="E1901" s="10" t="str">
        <f>IF(B1901="","",IFERROR(INDEX(Harytlar!$C$5:$C$44,MATCH(B1901,Harytlar!$A$5:$A$44,0)),""))</f>
        <v/>
      </c>
      <c r="F1901" s="10" t="str">
        <f t="shared" si="29"/>
        <v/>
      </c>
      <c r="G1901" s="10" t="str">
        <f>IF(OR(C1901="",B1901=""),"",IFERROR(C1901*INDEX(Harytlar!$D$5:$D$44,MATCH(B1901,Harytlar!$A$5:$A$44,0)),""))</f>
        <v/>
      </c>
    </row>
    <row r="1902" spans="1:7" x14ac:dyDescent="0.3">
      <c r="A1902" s="17"/>
      <c r="B1902" s="18"/>
      <c r="C1902" s="18"/>
      <c r="D1902" s="18"/>
      <c r="E1902" s="10" t="str">
        <f>IF(B1902="","",IFERROR(INDEX(Harytlar!$C$5:$C$44,MATCH(B1902,Harytlar!$A$5:$A$44,0)),""))</f>
        <v/>
      </c>
      <c r="F1902" s="10" t="str">
        <f t="shared" si="29"/>
        <v/>
      </c>
      <c r="G1902" s="10" t="str">
        <f>IF(OR(C1902="",B1902=""),"",IFERROR(C1902*INDEX(Harytlar!$D$5:$D$44,MATCH(B1902,Harytlar!$A$5:$A$44,0)),""))</f>
        <v/>
      </c>
    </row>
    <row r="1903" spans="1:7" x14ac:dyDescent="0.3">
      <c r="A1903" s="17"/>
      <c r="B1903" s="18"/>
      <c r="C1903" s="18"/>
      <c r="D1903" s="18"/>
      <c r="E1903" s="10" t="str">
        <f>IF(B1903="","",IFERROR(INDEX(Harytlar!$C$5:$C$44,MATCH(B1903,Harytlar!$A$5:$A$44,0)),""))</f>
        <v/>
      </c>
      <c r="F1903" s="10" t="str">
        <f t="shared" si="29"/>
        <v/>
      </c>
      <c r="G1903" s="10" t="str">
        <f>IF(OR(C1903="",B1903=""),"",IFERROR(C1903*INDEX(Harytlar!$D$5:$D$44,MATCH(B1903,Harytlar!$A$5:$A$44,0)),""))</f>
        <v/>
      </c>
    </row>
    <row r="1904" spans="1:7" x14ac:dyDescent="0.3">
      <c r="A1904" s="17"/>
      <c r="B1904" s="18"/>
      <c r="C1904" s="18"/>
      <c r="D1904" s="18"/>
      <c r="E1904" s="10" t="str">
        <f>IF(B1904="","",IFERROR(INDEX(Harytlar!$C$5:$C$44,MATCH(B1904,Harytlar!$A$5:$A$44,0)),""))</f>
        <v/>
      </c>
      <c r="F1904" s="10" t="str">
        <f t="shared" si="29"/>
        <v/>
      </c>
      <c r="G1904" s="10" t="str">
        <f>IF(OR(C1904="",B1904=""),"",IFERROR(C1904*INDEX(Harytlar!$D$5:$D$44,MATCH(B1904,Harytlar!$A$5:$A$44,0)),""))</f>
        <v/>
      </c>
    </row>
    <row r="1905" spans="1:7" x14ac:dyDescent="0.3">
      <c r="A1905" s="17"/>
      <c r="B1905" s="18"/>
      <c r="C1905" s="18"/>
      <c r="D1905" s="18"/>
      <c r="E1905" s="10" t="str">
        <f>IF(B1905="","",IFERROR(INDEX(Harytlar!$C$5:$C$44,MATCH(B1905,Harytlar!$A$5:$A$44,0)),""))</f>
        <v/>
      </c>
      <c r="F1905" s="10" t="str">
        <f t="shared" si="29"/>
        <v/>
      </c>
      <c r="G1905" s="10" t="str">
        <f>IF(OR(C1905="",B1905=""),"",IFERROR(C1905*INDEX(Harytlar!$D$5:$D$44,MATCH(B1905,Harytlar!$A$5:$A$44,0)),""))</f>
        <v/>
      </c>
    </row>
    <row r="1906" spans="1:7" x14ac:dyDescent="0.3">
      <c r="A1906" s="17"/>
      <c r="B1906" s="18"/>
      <c r="C1906" s="18"/>
      <c r="D1906" s="18"/>
      <c r="E1906" s="10" t="str">
        <f>IF(B1906="","",IFERROR(INDEX(Harytlar!$C$5:$C$44,MATCH(B1906,Harytlar!$A$5:$A$44,0)),""))</f>
        <v/>
      </c>
      <c r="F1906" s="10" t="str">
        <f t="shared" si="29"/>
        <v/>
      </c>
      <c r="G1906" s="10" t="str">
        <f>IF(OR(C1906="",B1906=""),"",IFERROR(C1906*INDEX(Harytlar!$D$5:$D$44,MATCH(B1906,Harytlar!$A$5:$A$44,0)),""))</f>
        <v/>
      </c>
    </row>
    <row r="1907" spans="1:7" x14ac:dyDescent="0.3">
      <c r="A1907" s="17"/>
      <c r="B1907" s="18"/>
      <c r="C1907" s="18"/>
      <c r="D1907" s="18"/>
      <c r="E1907" s="10" t="str">
        <f>IF(B1907="","",IFERROR(INDEX(Harytlar!$C$5:$C$44,MATCH(B1907,Harytlar!$A$5:$A$44,0)),""))</f>
        <v/>
      </c>
      <c r="F1907" s="10" t="str">
        <f t="shared" si="29"/>
        <v/>
      </c>
      <c r="G1907" s="10" t="str">
        <f>IF(OR(C1907="",B1907=""),"",IFERROR(C1907*INDEX(Harytlar!$D$5:$D$44,MATCH(B1907,Harytlar!$A$5:$A$44,0)),""))</f>
        <v/>
      </c>
    </row>
    <row r="1908" spans="1:7" x14ac:dyDescent="0.3">
      <c r="A1908" s="17"/>
      <c r="B1908" s="18"/>
      <c r="C1908" s="18"/>
      <c r="D1908" s="18"/>
      <c r="E1908" s="10" t="str">
        <f>IF(B1908="","",IFERROR(INDEX(Harytlar!$C$5:$C$44,MATCH(B1908,Harytlar!$A$5:$A$44,0)),""))</f>
        <v/>
      </c>
      <c r="F1908" s="10" t="str">
        <f t="shared" si="29"/>
        <v/>
      </c>
      <c r="G1908" s="10" t="str">
        <f>IF(OR(C1908="",B1908=""),"",IFERROR(C1908*INDEX(Harytlar!$D$5:$D$44,MATCH(B1908,Harytlar!$A$5:$A$44,0)),""))</f>
        <v/>
      </c>
    </row>
    <row r="1909" spans="1:7" x14ac:dyDescent="0.3">
      <c r="A1909" s="17"/>
      <c r="B1909" s="18"/>
      <c r="C1909" s="18"/>
      <c r="D1909" s="18"/>
      <c r="E1909" s="10" t="str">
        <f>IF(B1909="","",IFERROR(INDEX(Harytlar!$C$5:$C$44,MATCH(B1909,Harytlar!$A$5:$A$44,0)),""))</f>
        <v/>
      </c>
      <c r="F1909" s="10" t="str">
        <f t="shared" si="29"/>
        <v/>
      </c>
      <c r="G1909" s="10" t="str">
        <f>IF(OR(C1909="",B1909=""),"",IFERROR(C1909*INDEX(Harytlar!$D$5:$D$44,MATCH(B1909,Harytlar!$A$5:$A$44,0)),""))</f>
        <v/>
      </c>
    </row>
    <row r="1910" spans="1:7" x14ac:dyDescent="0.3">
      <c r="A1910" s="17"/>
      <c r="B1910" s="18"/>
      <c r="C1910" s="18"/>
      <c r="D1910" s="18"/>
      <c r="E1910" s="10" t="str">
        <f>IF(B1910="","",IFERROR(INDEX(Harytlar!$C$5:$C$44,MATCH(B1910,Harytlar!$A$5:$A$44,0)),""))</f>
        <v/>
      </c>
      <c r="F1910" s="10" t="str">
        <f t="shared" si="29"/>
        <v/>
      </c>
      <c r="G1910" s="10" t="str">
        <f>IF(OR(C1910="",B1910=""),"",IFERROR(C1910*INDEX(Harytlar!$D$5:$D$44,MATCH(B1910,Harytlar!$A$5:$A$44,0)),""))</f>
        <v/>
      </c>
    </row>
    <row r="1911" spans="1:7" x14ac:dyDescent="0.3">
      <c r="A1911" s="17"/>
      <c r="B1911" s="18"/>
      <c r="C1911" s="18"/>
      <c r="D1911" s="18"/>
      <c r="E1911" s="10" t="str">
        <f>IF(B1911="","",IFERROR(INDEX(Harytlar!$C$5:$C$44,MATCH(B1911,Harytlar!$A$5:$A$44,0)),""))</f>
        <v/>
      </c>
      <c r="F1911" s="10" t="str">
        <f t="shared" si="29"/>
        <v/>
      </c>
      <c r="G1911" s="10" t="str">
        <f>IF(OR(C1911="",B1911=""),"",IFERROR(C1911*INDEX(Harytlar!$D$5:$D$44,MATCH(B1911,Harytlar!$A$5:$A$44,0)),""))</f>
        <v/>
      </c>
    </row>
    <row r="1912" spans="1:7" x14ac:dyDescent="0.3">
      <c r="A1912" s="17"/>
      <c r="B1912" s="18"/>
      <c r="C1912" s="18"/>
      <c r="D1912" s="18"/>
      <c r="E1912" s="10" t="str">
        <f>IF(B1912="","",IFERROR(INDEX(Harytlar!$C$5:$C$44,MATCH(B1912,Harytlar!$A$5:$A$44,0)),""))</f>
        <v/>
      </c>
      <c r="F1912" s="10" t="str">
        <f t="shared" si="29"/>
        <v/>
      </c>
      <c r="G1912" s="10" t="str">
        <f>IF(OR(C1912="",B1912=""),"",IFERROR(C1912*INDEX(Harytlar!$D$5:$D$44,MATCH(B1912,Harytlar!$A$5:$A$44,0)),""))</f>
        <v/>
      </c>
    </row>
    <row r="1913" spans="1:7" x14ac:dyDescent="0.3">
      <c r="A1913" s="17"/>
      <c r="B1913" s="18"/>
      <c r="C1913" s="18"/>
      <c r="D1913" s="18"/>
      <c r="E1913" s="10" t="str">
        <f>IF(B1913="","",IFERROR(INDEX(Harytlar!$C$5:$C$44,MATCH(B1913,Harytlar!$A$5:$A$44,0)),""))</f>
        <v/>
      </c>
      <c r="F1913" s="10" t="str">
        <f t="shared" si="29"/>
        <v/>
      </c>
      <c r="G1913" s="10" t="str">
        <f>IF(OR(C1913="",B1913=""),"",IFERROR(C1913*INDEX(Harytlar!$D$5:$D$44,MATCH(B1913,Harytlar!$A$5:$A$44,0)),""))</f>
        <v/>
      </c>
    </row>
    <row r="1914" spans="1:7" x14ac:dyDescent="0.3">
      <c r="A1914" s="17"/>
      <c r="B1914" s="18"/>
      <c r="C1914" s="18"/>
      <c r="D1914" s="18"/>
      <c r="E1914" s="10" t="str">
        <f>IF(B1914="","",IFERROR(INDEX(Harytlar!$C$5:$C$44,MATCH(B1914,Harytlar!$A$5:$A$44,0)),""))</f>
        <v/>
      </c>
      <c r="F1914" s="10" t="str">
        <f t="shared" si="29"/>
        <v/>
      </c>
      <c r="G1914" s="10" t="str">
        <f>IF(OR(C1914="",B1914=""),"",IFERROR(C1914*INDEX(Harytlar!$D$5:$D$44,MATCH(B1914,Harytlar!$A$5:$A$44,0)),""))</f>
        <v/>
      </c>
    </row>
    <row r="1915" spans="1:7" x14ac:dyDescent="0.3">
      <c r="A1915" s="17"/>
      <c r="B1915" s="18"/>
      <c r="C1915" s="18"/>
      <c r="D1915" s="18"/>
      <c r="E1915" s="10" t="str">
        <f>IF(B1915="","",IFERROR(INDEX(Harytlar!$C$5:$C$44,MATCH(B1915,Harytlar!$A$5:$A$44,0)),""))</f>
        <v/>
      </c>
      <c r="F1915" s="10" t="str">
        <f t="shared" si="29"/>
        <v/>
      </c>
      <c r="G1915" s="10" t="str">
        <f>IF(OR(C1915="",B1915=""),"",IFERROR(C1915*INDEX(Harytlar!$D$5:$D$44,MATCH(B1915,Harytlar!$A$5:$A$44,0)),""))</f>
        <v/>
      </c>
    </row>
    <row r="1916" spans="1:7" x14ac:dyDescent="0.3">
      <c r="A1916" s="17"/>
      <c r="B1916" s="18"/>
      <c r="C1916" s="18"/>
      <c r="D1916" s="18"/>
      <c r="E1916" s="10" t="str">
        <f>IF(B1916="","",IFERROR(INDEX(Harytlar!$C$5:$C$44,MATCH(B1916,Harytlar!$A$5:$A$44,0)),""))</f>
        <v/>
      </c>
      <c r="F1916" s="10" t="str">
        <f t="shared" si="29"/>
        <v/>
      </c>
      <c r="G1916" s="10" t="str">
        <f>IF(OR(C1916="",B1916=""),"",IFERROR(C1916*INDEX(Harytlar!$D$5:$D$44,MATCH(B1916,Harytlar!$A$5:$A$44,0)),""))</f>
        <v/>
      </c>
    </row>
    <row r="1917" spans="1:7" x14ac:dyDescent="0.3">
      <c r="A1917" s="17"/>
      <c r="B1917" s="18"/>
      <c r="C1917" s="18"/>
      <c r="D1917" s="18"/>
      <c r="E1917" s="10" t="str">
        <f>IF(B1917="","",IFERROR(INDEX(Harytlar!$C$5:$C$44,MATCH(B1917,Harytlar!$A$5:$A$44,0)),""))</f>
        <v/>
      </c>
      <c r="F1917" s="10" t="str">
        <f t="shared" si="29"/>
        <v/>
      </c>
      <c r="G1917" s="10" t="str">
        <f>IF(OR(C1917="",B1917=""),"",IFERROR(C1917*INDEX(Harytlar!$D$5:$D$44,MATCH(B1917,Harytlar!$A$5:$A$44,0)),""))</f>
        <v/>
      </c>
    </row>
    <row r="1918" spans="1:7" x14ac:dyDescent="0.3">
      <c r="A1918" s="17"/>
      <c r="B1918" s="18"/>
      <c r="C1918" s="18"/>
      <c r="D1918" s="18"/>
      <c r="E1918" s="10" t="str">
        <f>IF(B1918="","",IFERROR(INDEX(Harytlar!$C$5:$C$44,MATCH(B1918,Harytlar!$A$5:$A$44,0)),""))</f>
        <v/>
      </c>
      <c r="F1918" s="10" t="str">
        <f t="shared" si="29"/>
        <v/>
      </c>
      <c r="G1918" s="10" t="str">
        <f>IF(OR(C1918="",B1918=""),"",IFERROR(C1918*INDEX(Harytlar!$D$5:$D$44,MATCH(B1918,Harytlar!$A$5:$A$44,0)),""))</f>
        <v/>
      </c>
    </row>
    <row r="1919" spans="1:7" x14ac:dyDescent="0.3">
      <c r="A1919" s="17"/>
      <c r="B1919" s="18"/>
      <c r="C1919" s="18"/>
      <c r="D1919" s="18"/>
      <c r="E1919" s="10" t="str">
        <f>IF(B1919="","",IFERROR(INDEX(Harytlar!$C$5:$C$44,MATCH(B1919,Harytlar!$A$5:$A$44,0)),""))</f>
        <v/>
      </c>
      <c r="F1919" s="10" t="str">
        <f t="shared" si="29"/>
        <v/>
      </c>
      <c r="G1919" s="10" t="str">
        <f>IF(OR(C1919="",B1919=""),"",IFERROR(C1919*INDEX(Harytlar!$D$5:$D$44,MATCH(B1919,Harytlar!$A$5:$A$44,0)),""))</f>
        <v/>
      </c>
    </row>
    <row r="1920" spans="1:7" x14ac:dyDescent="0.3">
      <c r="A1920" s="17"/>
      <c r="B1920" s="18"/>
      <c r="C1920" s="18"/>
      <c r="D1920" s="18"/>
      <c r="E1920" s="10" t="str">
        <f>IF(B1920="","",IFERROR(INDEX(Harytlar!$C$5:$C$44,MATCH(B1920,Harytlar!$A$5:$A$44,0)),""))</f>
        <v/>
      </c>
      <c r="F1920" s="10" t="str">
        <f t="shared" si="29"/>
        <v/>
      </c>
      <c r="G1920" s="10" t="str">
        <f>IF(OR(C1920="",B1920=""),"",IFERROR(C1920*INDEX(Harytlar!$D$5:$D$44,MATCH(B1920,Harytlar!$A$5:$A$44,0)),""))</f>
        <v/>
      </c>
    </row>
    <row r="1921" spans="1:7" x14ac:dyDescent="0.3">
      <c r="A1921" s="17"/>
      <c r="B1921" s="18"/>
      <c r="C1921" s="18"/>
      <c r="D1921" s="18"/>
      <c r="E1921" s="10" t="str">
        <f>IF(B1921="","",IFERROR(INDEX(Harytlar!$C$5:$C$44,MATCH(B1921,Harytlar!$A$5:$A$44,0)),""))</f>
        <v/>
      </c>
      <c r="F1921" s="10" t="str">
        <f t="shared" si="29"/>
        <v/>
      </c>
      <c r="G1921" s="10" t="str">
        <f>IF(OR(C1921="",B1921=""),"",IFERROR(C1921*INDEX(Harytlar!$D$5:$D$44,MATCH(B1921,Harytlar!$A$5:$A$44,0)),""))</f>
        <v/>
      </c>
    </row>
    <row r="1922" spans="1:7" x14ac:dyDescent="0.3">
      <c r="A1922" s="17"/>
      <c r="B1922" s="18"/>
      <c r="C1922" s="18"/>
      <c r="D1922" s="18"/>
      <c r="E1922" s="10" t="str">
        <f>IF(B1922="","",IFERROR(INDEX(Harytlar!$C$5:$C$44,MATCH(B1922,Harytlar!$A$5:$A$44,0)),""))</f>
        <v/>
      </c>
      <c r="F1922" s="10" t="str">
        <f t="shared" si="29"/>
        <v/>
      </c>
      <c r="G1922" s="10" t="str">
        <f>IF(OR(C1922="",B1922=""),"",IFERROR(C1922*INDEX(Harytlar!$D$5:$D$44,MATCH(B1922,Harytlar!$A$5:$A$44,0)),""))</f>
        <v/>
      </c>
    </row>
    <row r="1923" spans="1:7" x14ac:dyDescent="0.3">
      <c r="A1923" s="17"/>
      <c r="B1923" s="18"/>
      <c r="C1923" s="18"/>
      <c r="D1923" s="18"/>
      <c r="E1923" s="10" t="str">
        <f>IF(B1923="","",IFERROR(INDEX(Harytlar!$C$5:$C$44,MATCH(B1923,Harytlar!$A$5:$A$44,0)),""))</f>
        <v/>
      </c>
      <c r="F1923" s="10" t="str">
        <f t="shared" si="29"/>
        <v/>
      </c>
      <c r="G1923" s="10" t="str">
        <f>IF(OR(C1923="",B1923=""),"",IFERROR(C1923*INDEX(Harytlar!$D$5:$D$44,MATCH(B1923,Harytlar!$A$5:$A$44,0)),""))</f>
        <v/>
      </c>
    </row>
    <row r="1924" spans="1:7" x14ac:dyDescent="0.3">
      <c r="A1924" s="17"/>
      <c r="B1924" s="18"/>
      <c r="C1924" s="18"/>
      <c r="D1924" s="18"/>
      <c r="E1924" s="10" t="str">
        <f>IF(B1924="","",IFERROR(INDEX(Harytlar!$C$5:$C$44,MATCH(B1924,Harytlar!$A$5:$A$44,0)),""))</f>
        <v/>
      </c>
      <c r="F1924" s="10" t="str">
        <f t="shared" si="29"/>
        <v/>
      </c>
      <c r="G1924" s="10" t="str">
        <f>IF(OR(C1924="",B1924=""),"",IFERROR(C1924*INDEX(Harytlar!$D$5:$D$44,MATCH(B1924,Harytlar!$A$5:$A$44,0)),""))</f>
        <v/>
      </c>
    </row>
    <row r="1925" spans="1:7" x14ac:dyDescent="0.3">
      <c r="A1925" s="17"/>
      <c r="B1925" s="18"/>
      <c r="C1925" s="18"/>
      <c r="D1925" s="18"/>
      <c r="E1925" s="10" t="str">
        <f>IF(B1925="","",IFERROR(INDEX(Harytlar!$C$5:$C$44,MATCH(B1925,Harytlar!$A$5:$A$44,0)),""))</f>
        <v/>
      </c>
      <c r="F1925" s="10" t="str">
        <f t="shared" si="29"/>
        <v/>
      </c>
      <c r="G1925" s="10" t="str">
        <f>IF(OR(C1925="",B1925=""),"",IFERROR(C1925*INDEX(Harytlar!$D$5:$D$44,MATCH(B1925,Harytlar!$A$5:$A$44,0)),""))</f>
        <v/>
      </c>
    </row>
    <row r="1926" spans="1:7" x14ac:dyDescent="0.3">
      <c r="A1926" s="17"/>
      <c r="B1926" s="18"/>
      <c r="C1926" s="18"/>
      <c r="D1926" s="18"/>
      <c r="E1926" s="10" t="str">
        <f>IF(B1926="","",IFERROR(INDEX(Harytlar!$C$5:$C$44,MATCH(B1926,Harytlar!$A$5:$A$44,0)),""))</f>
        <v/>
      </c>
      <c r="F1926" s="10" t="str">
        <f t="shared" ref="F1926:F1989" si="30">IF(OR(C1926="",E1926=""),"",C1926*E1926)</f>
        <v/>
      </c>
      <c r="G1926" s="10" t="str">
        <f>IF(OR(C1926="",B1926=""),"",IFERROR(C1926*INDEX(Harytlar!$D$5:$D$44,MATCH(B1926,Harytlar!$A$5:$A$44,0)),""))</f>
        <v/>
      </c>
    </row>
    <row r="1927" spans="1:7" x14ac:dyDescent="0.3">
      <c r="A1927" s="17"/>
      <c r="B1927" s="18"/>
      <c r="C1927" s="18"/>
      <c r="D1927" s="18"/>
      <c r="E1927" s="10" t="str">
        <f>IF(B1927="","",IFERROR(INDEX(Harytlar!$C$5:$C$44,MATCH(B1927,Harytlar!$A$5:$A$44,0)),""))</f>
        <v/>
      </c>
      <c r="F1927" s="10" t="str">
        <f t="shared" si="30"/>
        <v/>
      </c>
      <c r="G1927" s="10" t="str">
        <f>IF(OR(C1927="",B1927=""),"",IFERROR(C1927*INDEX(Harytlar!$D$5:$D$44,MATCH(B1927,Harytlar!$A$5:$A$44,0)),""))</f>
        <v/>
      </c>
    </row>
    <row r="1928" spans="1:7" x14ac:dyDescent="0.3">
      <c r="A1928" s="17"/>
      <c r="B1928" s="18"/>
      <c r="C1928" s="18"/>
      <c r="D1928" s="18"/>
      <c r="E1928" s="10" t="str">
        <f>IF(B1928="","",IFERROR(INDEX(Harytlar!$C$5:$C$44,MATCH(B1928,Harytlar!$A$5:$A$44,0)),""))</f>
        <v/>
      </c>
      <c r="F1928" s="10" t="str">
        <f t="shared" si="30"/>
        <v/>
      </c>
      <c r="G1928" s="10" t="str">
        <f>IF(OR(C1928="",B1928=""),"",IFERROR(C1928*INDEX(Harytlar!$D$5:$D$44,MATCH(B1928,Harytlar!$A$5:$A$44,0)),""))</f>
        <v/>
      </c>
    </row>
    <row r="1929" spans="1:7" x14ac:dyDescent="0.3">
      <c r="A1929" s="17"/>
      <c r="B1929" s="18"/>
      <c r="C1929" s="18"/>
      <c r="D1929" s="18"/>
      <c r="E1929" s="10" t="str">
        <f>IF(B1929="","",IFERROR(INDEX(Harytlar!$C$5:$C$44,MATCH(B1929,Harytlar!$A$5:$A$44,0)),""))</f>
        <v/>
      </c>
      <c r="F1929" s="10" t="str">
        <f t="shared" si="30"/>
        <v/>
      </c>
      <c r="G1929" s="10" t="str">
        <f>IF(OR(C1929="",B1929=""),"",IFERROR(C1929*INDEX(Harytlar!$D$5:$D$44,MATCH(B1929,Harytlar!$A$5:$A$44,0)),""))</f>
        <v/>
      </c>
    </row>
    <row r="1930" spans="1:7" x14ac:dyDescent="0.3">
      <c r="A1930" s="17"/>
      <c r="B1930" s="18"/>
      <c r="C1930" s="18"/>
      <c r="D1930" s="18"/>
      <c r="E1930" s="10" t="str">
        <f>IF(B1930="","",IFERROR(INDEX(Harytlar!$C$5:$C$44,MATCH(B1930,Harytlar!$A$5:$A$44,0)),""))</f>
        <v/>
      </c>
      <c r="F1930" s="10" t="str">
        <f t="shared" si="30"/>
        <v/>
      </c>
      <c r="G1930" s="10" t="str">
        <f>IF(OR(C1930="",B1930=""),"",IFERROR(C1930*INDEX(Harytlar!$D$5:$D$44,MATCH(B1930,Harytlar!$A$5:$A$44,0)),""))</f>
        <v/>
      </c>
    </row>
    <row r="1931" spans="1:7" x14ac:dyDescent="0.3">
      <c r="A1931" s="17"/>
      <c r="B1931" s="18"/>
      <c r="C1931" s="18"/>
      <c r="D1931" s="18"/>
      <c r="E1931" s="10" t="str">
        <f>IF(B1931="","",IFERROR(INDEX(Harytlar!$C$5:$C$44,MATCH(B1931,Harytlar!$A$5:$A$44,0)),""))</f>
        <v/>
      </c>
      <c r="F1931" s="10" t="str">
        <f t="shared" si="30"/>
        <v/>
      </c>
      <c r="G1931" s="10" t="str">
        <f>IF(OR(C1931="",B1931=""),"",IFERROR(C1931*INDEX(Harytlar!$D$5:$D$44,MATCH(B1931,Harytlar!$A$5:$A$44,0)),""))</f>
        <v/>
      </c>
    </row>
    <row r="1932" spans="1:7" x14ac:dyDescent="0.3">
      <c r="A1932" s="17"/>
      <c r="B1932" s="18"/>
      <c r="C1932" s="18"/>
      <c r="D1932" s="18"/>
      <c r="E1932" s="10" t="str">
        <f>IF(B1932="","",IFERROR(INDEX(Harytlar!$C$5:$C$44,MATCH(B1932,Harytlar!$A$5:$A$44,0)),""))</f>
        <v/>
      </c>
      <c r="F1932" s="10" t="str">
        <f t="shared" si="30"/>
        <v/>
      </c>
      <c r="G1932" s="10" t="str">
        <f>IF(OR(C1932="",B1932=""),"",IFERROR(C1932*INDEX(Harytlar!$D$5:$D$44,MATCH(B1932,Harytlar!$A$5:$A$44,0)),""))</f>
        <v/>
      </c>
    </row>
    <row r="1933" spans="1:7" x14ac:dyDescent="0.3">
      <c r="A1933" s="17"/>
      <c r="B1933" s="18"/>
      <c r="C1933" s="18"/>
      <c r="D1933" s="18"/>
      <c r="E1933" s="10" t="str">
        <f>IF(B1933="","",IFERROR(INDEX(Harytlar!$C$5:$C$44,MATCH(B1933,Harytlar!$A$5:$A$44,0)),""))</f>
        <v/>
      </c>
      <c r="F1933" s="10" t="str">
        <f t="shared" si="30"/>
        <v/>
      </c>
      <c r="G1933" s="10" t="str">
        <f>IF(OR(C1933="",B1933=""),"",IFERROR(C1933*INDEX(Harytlar!$D$5:$D$44,MATCH(B1933,Harytlar!$A$5:$A$44,0)),""))</f>
        <v/>
      </c>
    </row>
    <row r="1934" spans="1:7" x14ac:dyDescent="0.3">
      <c r="A1934" s="17"/>
      <c r="B1934" s="18"/>
      <c r="C1934" s="18"/>
      <c r="D1934" s="18"/>
      <c r="E1934" s="10" t="str">
        <f>IF(B1934="","",IFERROR(INDEX(Harytlar!$C$5:$C$44,MATCH(B1934,Harytlar!$A$5:$A$44,0)),""))</f>
        <v/>
      </c>
      <c r="F1934" s="10" t="str">
        <f t="shared" si="30"/>
        <v/>
      </c>
      <c r="G1934" s="10" t="str">
        <f>IF(OR(C1934="",B1934=""),"",IFERROR(C1934*INDEX(Harytlar!$D$5:$D$44,MATCH(B1934,Harytlar!$A$5:$A$44,0)),""))</f>
        <v/>
      </c>
    </row>
    <row r="1935" spans="1:7" x14ac:dyDescent="0.3">
      <c r="A1935" s="17"/>
      <c r="B1935" s="18"/>
      <c r="C1935" s="18"/>
      <c r="D1935" s="18"/>
      <c r="E1935" s="10" t="str">
        <f>IF(B1935="","",IFERROR(INDEX(Harytlar!$C$5:$C$44,MATCH(B1935,Harytlar!$A$5:$A$44,0)),""))</f>
        <v/>
      </c>
      <c r="F1935" s="10" t="str">
        <f t="shared" si="30"/>
        <v/>
      </c>
      <c r="G1935" s="10" t="str">
        <f>IF(OR(C1935="",B1935=""),"",IFERROR(C1935*INDEX(Harytlar!$D$5:$D$44,MATCH(B1935,Harytlar!$A$5:$A$44,0)),""))</f>
        <v/>
      </c>
    </row>
    <row r="1936" spans="1:7" x14ac:dyDescent="0.3">
      <c r="A1936" s="17"/>
      <c r="B1936" s="18"/>
      <c r="C1936" s="18"/>
      <c r="D1936" s="18"/>
      <c r="E1936" s="10" t="str">
        <f>IF(B1936="","",IFERROR(INDEX(Harytlar!$C$5:$C$44,MATCH(B1936,Harytlar!$A$5:$A$44,0)),""))</f>
        <v/>
      </c>
      <c r="F1936" s="10" t="str">
        <f t="shared" si="30"/>
        <v/>
      </c>
      <c r="G1936" s="10" t="str">
        <f>IF(OR(C1936="",B1936=""),"",IFERROR(C1936*INDEX(Harytlar!$D$5:$D$44,MATCH(B1936,Harytlar!$A$5:$A$44,0)),""))</f>
        <v/>
      </c>
    </row>
    <row r="1937" spans="1:7" x14ac:dyDescent="0.3">
      <c r="A1937" s="17"/>
      <c r="B1937" s="18"/>
      <c r="C1937" s="18"/>
      <c r="D1937" s="18"/>
      <c r="E1937" s="10" t="str">
        <f>IF(B1937="","",IFERROR(INDEX(Harytlar!$C$5:$C$44,MATCH(B1937,Harytlar!$A$5:$A$44,0)),""))</f>
        <v/>
      </c>
      <c r="F1937" s="10" t="str">
        <f t="shared" si="30"/>
        <v/>
      </c>
      <c r="G1937" s="10" t="str">
        <f>IF(OR(C1937="",B1937=""),"",IFERROR(C1937*INDEX(Harytlar!$D$5:$D$44,MATCH(B1937,Harytlar!$A$5:$A$44,0)),""))</f>
        <v/>
      </c>
    </row>
    <row r="1938" spans="1:7" x14ac:dyDescent="0.3">
      <c r="A1938" s="17"/>
      <c r="B1938" s="18"/>
      <c r="C1938" s="18"/>
      <c r="D1938" s="18"/>
      <c r="E1938" s="10" t="str">
        <f>IF(B1938="","",IFERROR(INDEX(Harytlar!$C$5:$C$44,MATCH(B1938,Harytlar!$A$5:$A$44,0)),""))</f>
        <v/>
      </c>
      <c r="F1938" s="10" t="str">
        <f t="shared" si="30"/>
        <v/>
      </c>
      <c r="G1938" s="10" t="str">
        <f>IF(OR(C1938="",B1938=""),"",IFERROR(C1938*INDEX(Harytlar!$D$5:$D$44,MATCH(B1938,Harytlar!$A$5:$A$44,0)),""))</f>
        <v/>
      </c>
    </row>
    <row r="1939" spans="1:7" x14ac:dyDescent="0.3">
      <c r="A1939" s="17"/>
      <c r="B1939" s="18"/>
      <c r="C1939" s="18"/>
      <c r="D1939" s="18"/>
      <c r="E1939" s="10" t="str">
        <f>IF(B1939="","",IFERROR(INDEX(Harytlar!$C$5:$C$44,MATCH(B1939,Harytlar!$A$5:$A$44,0)),""))</f>
        <v/>
      </c>
      <c r="F1939" s="10" t="str">
        <f t="shared" si="30"/>
        <v/>
      </c>
      <c r="G1939" s="10" t="str">
        <f>IF(OR(C1939="",B1939=""),"",IFERROR(C1939*INDEX(Harytlar!$D$5:$D$44,MATCH(B1939,Harytlar!$A$5:$A$44,0)),""))</f>
        <v/>
      </c>
    </row>
    <row r="1940" spans="1:7" x14ac:dyDescent="0.3">
      <c r="A1940" s="17"/>
      <c r="B1940" s="18"/>
      <c r="C1940" s="18"/>
      <c r="D1940" s="18"/>
      <c r="E1940" s="10" t="str">
        <f>IF(B1940="","",IFERROR(INDEX(Harytlar!$C$5:$C$44,MATCH(B1940,Harytlar!$A$5:$A$44,0)),""))</f>
        <v/>
      </c>
      <c r="F1940" s="10" t="str">
        <f t="shared" si="30"/>
        <v/>
      </c>
      <c r="G1940" s="10" t="str">
        <f>IF(OR(C1940="",B1940=""),"",IFERROR(C1940*INDEX(Harytlar!$D$5:$D$44,MATCH(B1940,Harytlar!$A$5:$A$44,0)),""))</f>
        <v/>
      </c>
    </row>
    <row r="1941" spans="1:7" x14ac:dyDescent="0.3">
      <c r="A1941" s="17"/>
      <c r="B1941" s="18"/>
      <c r="C1941" s="18"/>
      <c r="D1941" s="18"/>
      <c r="E1941" s="10" t="str">
        <f>IF(B1941="","",IFERROR(INDEX(Harytlar!$C$5:$C$44,MATCH(B1941,Harytlar!$A$5:$A$44,0)),""))</f>
        <v/>
      </c>
      <c r="F1941" s="10" t="str">
        <f t="shared" si="30"/>
        <v/>
      </c>
      <c r="G1941" s="10" t="str">
        <f>IF(OR(C1941="",B1941=""),"",IFERROR(C1941*INDEX(Harytlar!$D$5:$D$44,MATCH(B1941,Harytlar!$A$5:$A$44,0)),""))</f>
        <v/>
      </c>
    </row>
    <row r="1942" spans="1:7" x14ac:dyDescent="0.3">
      <c r="A1942" s="17"/>
      <c r="B1942" s="18"/>
      <c r="C1942" s="18"/>
      <c r="D1942" s="18"/>
      <c r="E1942" s="10" t="str">
        <f>IF(B1942="","",IFERROR(INDEX(Harytlar!$C$5:$C$44,MATCH(B1942,Harytlar!$A$5:$A$44,0)),""))</f>
        <v/>
      </c>
      <c r="F1942" s="10" t="str">
        <f t="shared" si="30"/>
        <v/>
      </c>
      <c r="G1942" s="10" t="str">
        <f>IF(OR(C1942="",B1942=""),"",IFERROR(C1942*INDEX(Harytlar!$D$5:$D$44,MATCH(B1942,Harytlar!$A$5:$A$44,0)),""))</f>
        <v/>
      </c>
    </row>
    <row r="1943" spans="1:7" x14ac:dyDescent="0.3">
      <c r="A1943" s="17"/>
      <c r="B1943" s="18"/>
      <c r="C1943" s="18"/>
      <c r="D1943" s="18"/>
      <c r="E1943" s="10" t="str">
        <f>IF(B1943="","",IFERROR(INDEX(Harytlar!$C$5:$C$44,MATCH(B1943,Harytlar!$A$5:$A$44,0)),""))</f>
        <v/>
      </c>
      <c r="F1943" s="10" t="str">
        <f t="shared" si="30"/>
        <v/>
      </c>
      <c r="G1943" s="10" t="str">
        <f>IF(OR(C1943="",B1943=""),"",IFERROR(C1943*INDEX(Harytlar!$D$5:$D$44,MATCH(B1943,Harytlar!$A$5:$A$44,0)),""))</f>
        <v/>
      </c>
    </row>
    <row r="1944" spans="1:7" x14ac:dyDescent="0.3">
      <c r="A1944" s="17"/>
      <c r="B1944" s="18"/>
      <c r="C1944" s="18"/>
      <c r="D1944" s="18"/>
      <c r="E1944" s="10" t="str">
        <f>IF(B1944="","",IFERROR(INDEX(Harytlar!$C$5:$C$44,MATCH(B1944,Harytlar!$A$5:$A$44,0)),""))</f>
        <v/>
      </c>
      <c r="F1944" s="10" t="str">
        <f t="shared" si="30"/>
        <v/>
      </c>
      <c r="G1944" s="10" t="str">
        <f>IF(OR(C1944="",B1944=""),"",IFERROR(C1944*INDEX(Harytlar!$D$5:$D$44,MATCH(B1944,Harytlar!$A$5:$A$44,0)),""))</f>
        <v/>
      </c>
    </row>
    <row r="1945" spans="1:7" x14ac:dyDescent="0.3">
      <c r="A1945" s="17"/>
      <c r="B1945" s="18"/>
      <c r="C1945" s="18"/>
      <c r="D1945" s="18"/>
      <c r="E1945" s="10" t="str">
        <f>IF(B1945="","",IFERROR(INDEX(Harytlar!$C$5:$C$44,MATCH(B1945,Harytlar!$A$5:$A$44,0)),""))</f>
        <v/>
      </c>
      <c r="F1945" s="10" t="str">
        <f t="shared" si="30"/>
        <v/>
      </c>
      <c r="G1945" s="10" t="str">
        <f>IF(OR(C1945="",B1945=""),"",IFERROR(C1945*INDEX(Harytlar!$D$5:$D$44,MATCH(B1945,Harytlar!$A$5:$A$44,0)),""))</f>
        <v/>
      </c>
    </row>
    <row r="1946" spans="1:7" x14ac:dyDescent="0.3">
      <c r="A1946" s="17"/>
      <c r="B1946" s="18"/>
      <c r="C1946" s="18"/>
      <c r="D1946" s="18"/>
      <c r="E1946" s="10" t="str">
        <f>IF(B1946="","",IFERROR(INDEX(Harytlar!$C$5:$C$44,MATCH(B1946,Harytlar!$A$5:$A$44,0)),""))</f>
        <v/>
      </c>
      <c r="F1946" s="10" t="str">
        <f t="shared" si="30"/>
        <v/>
      </c>
      <c r="G1946" s="10" t="str">
        <f>IF(OR(C1946="",B1946=""),"",IFERROR(C1946*INDEX(Harytlar!$D$5:$D$44,MATCH(B1946,Harytlar!$A$5:$A$44,0)),""))</f>
        <v/>
      </c>
    </row>
    <row r="1947" spans="1:7" x14ac:dyDescent="0.3">
      <c r="A1947" s="17"/>
      <c r="B1947" s="18"/>
      <c r="C1947" s="18"/>
      <c r="D1947" s="18"/>
      <c r="E1947" s="10" t="str">
        <f>IF(B1947="","",IFERROR(INDEX(Harytlar!$C$5:$C$44,MATCH(B1947,Harytlar!$A$5:$A$44,0)),""))</f>
        <v/>
      </c>
      <c r="F1947" s="10" t="str">
        <f t="shared" si="30"/>
        <v/>
      </c>
      <c r="G1947" s="10" t="str">
        <f>IF(OR(C1947="",B1947=""),"",IFERROR(C1947*INDEX(Harytlar!$D$5:$D$44,MATCH(B1947,Harytlar!$A$5:$A$44,0)),""))</f>
        <v/>
      </c>
    </row>
    <row r="1948" spans="1:7" x14ac:dyDescent="0.3">
      <c r="A1948" s="17"/>
      <c r="B1948" s="18"/>
      <c r="C1948" s="18"/>
      <c r="D1948" s="18"/>
      <c r="E1948" s="10" t="str">
        <f>IF(B1948="","",IFERROR(INDEX(Harytlar!$C$5:$C$44,MATCH(B1948,Harytlar!$A$5:$A$44,0)),""))</f>
        <v/>
      </c>
      <c r="F1948" s="10" t="str">
        <f t="shared" si="30"/>
        <v/>
      </c>
      <c r="G1948" s="10" t="str">
        <f>IF(OR(C1948="",B1948=""),"",IFERROR(C1948*INDEX(Harytlar!$D$5:$D$44,MATCH(B1948,Harytlar!$A$5:$A$44,0)),""))</f>
        <v/>
      </c>
    </row>
    <row r="1949" spans="1:7" x14ac:dyDescent="0.3">
      <c r="A1949" s="17"/>
      <c r="B1949" s="18"/>
      <c r="C1949" s="18"/>
      <c r="D1949" s="18"/>
      <c r="E1949" s="10" t="str">
        <f>IF(B1949="","",IFERROR(INDEX(Harytlar!$C$5:$C$44,MATCH(B1949,Harytlar!$A$5:$A$44,0)),""))</f>
        <v/>
      </c>
      <c r="F1949" s="10" t="str">
        <f t="shared" si="30"/>
        <v/>
      </c>
      <c r="G1949" s="10" t="str">
        <f>IF(OR(C1949="",B1949=""),"",IFERROR(C1949*INDEX(Harytlar!$D$5:$D$44,MATCH(B1949,Harytlar!$A$5:$A$44,0)),""))</f>
        <v/>
      </c>
    </row>
    <row r="1950" spans="1:7" x14ac:dyDescent="0.3">
      <c r="A1950" s="17"/>
      <c r="B1950" s="18"/>
      <c r="C1950" s="18"/>
      <c r="D1950" s="18"/>
      <c r="E1950" s="10" t="str">
        <f>IF(B1950="","",IFERROR(INDEX(Harytlar!$C$5:$C$44,MATCH(B1950,Harytlar!$A$5:$A$44,0)),""))</f>
        <v/>
      </c>
      <c r="F1950" s="10" t="str">
        <f t="shared" si="30"/>
        <v/>
      </c>
      <c r="G1950" s="10" t="str">
        <f>IF(OR(C1950="",B1950=""),"",IFERROR(C1950*INDEX(Harytlar!$D$5:$D$44,MATCH(B1950,Harytlar!$A$5:$A$44,0)),""))</f>
        <v/>
      </c>
    </row>
    <row r="1951" spans="1:7" x14ac:dyDescent="0.3">
      <c r="A1951" s="17"/>
      <c r="B1951" s="18"/>
      <c r="C1951" s="18"/>
      <c r="D1951" s="18"/>
      <c r="E1951" s="10" t="str">
        <f>IF(B1951="","",IFERROR(INDEX(Harytlar!$C$5:$C$44,MATCH(B1951,Harytlar!$A$5:$A$44,0)),""))</f>
        <v/>
      </c>
      <c r="F1951" s="10" t="str">
        <f t="shared" si="30"/>
        <v/>
      </c>
      <c r="G1951" s="10" t="str">
        <f>IF(OR(C1951="",B1951=""),"",IFERROR(C1951*INDEX(Harytlar!$D$5:$D$44,MATCH(B1951,Harytlar!$A$5:$A$44,0)),""))</f>
        <v/>
      </c>
    </row>
    <row r="1952" spans="1:7" x14ac:dyDescent="0.3">
      <c r="A1952" s="17"/>
      <c r="B1952" s="18"/>
      <c r="C1952" s="18"/>
      <c r="D1952" s="18"/>
      <c r="E1952" s="10" t="str">
        <f>IF(B1952="","",IFERROR(INDEX(Harytlar!$C$5:$C$44,MATCH(B1952,Harytlar!$A$5:$A$44,0)),""))</f>
        <v/>
      </c>
      <c r="F1952" s="10" t="str">
        <f t="shared" si="30"/>
        <v/>
      </c>
      <c r="G1952" s="10" t="str">
        <f>IF(OR(C1952="",B1952=""),"",IFERROR(C1952*INDEX(Harytlar!$D$5:$D$44,MATCH(B1952,Harytlar!$A$5:$A$44,0)),""))</f>
        <v/>
      </c>
    </row>
    <row r="1953" spans="1:7" x14ac:dyDescent="0.3">
      <c r="A1953" s="17"/>
      <c r="B1953" s="18"/>
      <c r="C1953" s="18"/>
      <c r="D1953" s="18"/>
      <c r="E1953" s="10" t="str">
        <f>IF(B1953="","",IFERROR(INDEX(Harytlar!$C$5:$C$44,MATCH(B1953,Harytlar!$A$5:$A$44,0)),""))</f>
        <v/>
      </c>
      <c r="F1953" s="10" t="str">
        <f t="shared" si="30"/>
        <v/>
      </c>
      <c r="G1953" s="10" t="str">
        <f>IF(OR(C1953="",B1953=""),"",IFERROR(C1953*INDEX(Harytlar!$D$5:$D$44,MATCH(B1953,Harytlar!$A$5:$A$44,0)),""))</f>
        <v/>
      </c>
    </row>
    <row r="1954" spans="1:7" x14ac:dyDescent="0.3">
      <c r="A1954" s="17"/>
      <c r="B1954" s="18"/>
      <c r="C1954" s="18"/>
      <c r="D1954" s="18"/>
      <c r="E1954" s="10" t="str">
        <f>IF(B1954="","",IFERROR(INDEX(Harytlar!$C$5:$C$44,MATCH(B1954,Harytlar!$A$5:$A$44,0)),""))</f>
        <v/>
      </c>
      <c r="F1954" s="10" t="str">
        <f t="shared" si="30"/>
        <v/>
      </c>
      <c r="G1954" s="10" t="str">
        <f>IF(OR(C1954="",B1954=""),"",IFERROR(C1954*INDEX(Harytlar!$D$5:$D$44,MATCH(B1954,Harytlar!$A$5:$A$44,0)),""))</f>
        <v/>
      </c>
    </row>
    <row r="1955" spans="1:7" x14ac:dyDescent="0.3">
      <c r="A1955" s="17"/>
      <c r="B1955" s="18"/>
      <c r="C1955" s="18"/>
      <c r="D1955" s="18"/>
      <c r="E1955" s="10" t="str">
        <f>IF(B1955="","",IFERROR(INDEX(Harytlar!$C$5:$C$44,MATCH(B1955,Harytlar!$A$5:$A$44,0)),""))</f>
        <v/>
      </c>
      <c r="F1955" s="10" t="str">
        <f t="shared" si="30"/>
        <v/>
      </c>
      <c r="G1955" s="10" t="str">
        <f>IF(OR(C1955="",B1955=""),"",IFERROR(C1955*INDEX(Harytlar!$D$5:$D$44,MATCH(B1955,Harytlar!$A$5:$A$44,0)),""))</f>
        <v/>
      </c>
    </row>
    <row r="1956" spans="1:7" x14ac:dyDescent="0.3">
      <c r="A1956" s="17"/>
      <c r="B1956" s="18"/>
      <c r="C1956" s="18"/>
      <c r="D1956" s="18"/>
      <c r="E1956" s="10" t="str">
        <f>IF(B1956="","",IFERROR(INDEX(Harytlar!$C$5:$C$44,MATCH(B1956,Harytlar!$A$5:$A$44,0)),""))</f>
        <v/>
      </c>
      <c r="F1956" s="10" t="str">
        <f t="shared" si="30"/>
        <v/>
      </c>
      <c r="G1956" s="10" t="str">
        <f>IF(OR(C1956="",B1956=""),"",IFERROR(C1956*INDEX(Harytlar!$D$5:$D$44,MATCH(B1956,Harytlar!$A$5:$A$44,0)),""))</f>
        <v/>
      </c>
    </row>
    <row r="1957" spans="1:7" x14ac:dyDescent="0.3">
      <c r="A1957" s="17"/>
      <c r="B1957" s="18"/>
      <c r="C1957" s="18"/>
      <c r="D1957" s="18"/>
      <c r="E1957" s="10" t="str">
        <f>IF(B1957="","",IFERROR(INDEX(Harytlar!$C$5:$C$44,MATCH(B1957,Harytlar!$A$5:$A$44,0)),""))</f>
        <v/>
      </c>
      <c r="F1957" s="10" t="str">
        <f t="shared" si="30"/>
        <v/>
      </c>
      <c r="G1957" s="10" t="str">
        <f>IF(OR(C1957="",B1957=""),"",IFERROR(C1957*INDEX(Harytlar!$D$5:$D$44,MATCH(B1957,Harytlar!$A$5:$A$44,0)),""))</f>
        <v/>
      </c>
    </row>
    <row r="1958" spans="1:7" x14ac:dyDescent="0.3">
      <c r="A1958" s="17"/>
      <c r="B1958" s="18"/>
      <c r="C1958" s="18"/>
      <c r="D1958" s="18"/>
      <c r="E1958" s="10" t="str">
        <f>IF(B1958="","",IFERROR(INDEX(Harytlar!$C$5:$C$44,MATCH(B1958,Harytlar!$A$5:$A$44,0)),""))</f>
        <v/>
      </c>
      <c r="F1958" s="10" t="str">
        <f t="shared" si="30"/>
        <v/>
      </c>
      <c r="G1958" s="10" t="str">
        <f>IF(OR(C1958="",B1958=""),"",IFERROR(C1958*INDEX(Harytlar!$D$5:$D$44,MATCH(B1958,Harytlar!$A$5:$A$44,0)),""))</f>
        <v/>
      </c>
    </row>
    <row r="1959" spans="1:7" x14ac:dyDescent="0.3">
      <c r="A1959" s="17"/>
      <c r="B1959" s="18"/>
      <c r="C1959" s="18"/>
      <c r="D1959" s="18"/>
      <c r="E1959" s="10" t="str">
        <f>IF(B1959="","",IFERROR(INDEX(Harytlar!$C$5:$C$44,MATCH(B1959,Harytlar!$A$5:$A$44,0)),""))</f>
        <v/>
      </c>
      <c r="F1959" s="10" t="str">
        <f t="shared" si="30"/>
        <v/>
      </c>
      <c r="G1959" s="10" t="str">
        <f>IF(OR(C1959="",B1959=""),"",IFERROR(C1959*INDEX(Harytlar!$D$5:$D$44,MATCH(B1959,Harytlar!$A$5:$A$44,0)),""))</f>
        <v/>
      </c>
    </row>
    <row r="1960" spans="1:7" x14ac:dyDescent="0.3">
      <c r="A1960" s="17"/>
      <c r="B1960" s="18"/>
      <c r="C1960" s="18"/>
      <c r="D1960" s="18"/>
      <c r="E1960" s="10" t="str">
        <f>IF(B1960="","",IFERROR(INDEX(Harytlar!$C$5:$C$44,MATCH(B1960,Harytlar!$A$5:$A$44,0)),""))</f>
        <v/>
      </c>
      <c r="F1960" s="10" t="str">
        <f t="shared" si="30"/>
        <v/>
      </c>
      <c r="G1960" s="10" t="str">
        <f>IF(OR(C1960="",B1960=""),"",IFERROR(C1960*INDEX(Harytlar!$D$5:$D$44,MATCH(B1960,Harytlar!$A$5:$A$44,0)),""))</f>
        <v/>
      </c>
    </row>
    <row r="1961" spans="1:7" x14ac:dyDescent="0.3">
      <c r="A1961" s="17"/>
      <c r="B1961" s="18"/>
      <c r="C1961" s="18"/>
      <c r="D1961" s="18"/>
      <c r="E1961" s="10" t="str">
        <f>IF(B1961="","",IFERROR(INDEX(Harytlar!$C$5:$C$44,MATCH(B1961,Harytlar!$A$5:$A$44,0)),""))</f>
        <v/>
      </c>
      <c r="F1961" s="10" t="str">
        <f t="shared" si="30"/>
        <v/>
      </c>
      <c r="G1961" s="10" t="str">
        <f>IF(OR(C1961="",B1961=""),"",IFERROR(C1961*INDEX(Harytlar!$D$5:$D$44,MATCH(B1961,Harytlar!$A$5:$A$44,0)),""))</f>
        <v/>
      </c>
    </row>
    <row r="1962" spans="1:7" x14ac:dyDescent="0.3">
      <c r="A1962" s="17"/>
      <c r="B1962" s="18"/>
      <c r="C1962" s="18"/>
      <c r="D1962" s="18"/>
      <c r="E1962" s="10" t="str">
        <f>IF(B1962="","",IFERROR(INDEX(Harytlar!$C$5:$C$44,MATCH(B1962,Harytlar!$A$5:$A$44,0)),""))</f>
        <v/>
      </c>
      <c r="F1962" s="10" t="str">
        <f t="shared" si="30"/>
        <v/>
      </c>
      <c r="G1962" s="10" t="str">
        <f>IF(OR(C1962="",B1962=""),"",IFERROR(C1962*INDEX(Harytlar!$D$5:$D$44,MATCH(B1962,Harytlar!$A$5:$A$44,0)),""))</f>
        <v/>
      </c>
    </row>
    <row r="1963" spans="1:7" x14ac:dyDescent="0.3">
      <c r="A1963" s="17"/>
      <c r="B1963" s="18"/>
      <c r="C1963" s="18"/>
      <c r="D1963" s="18"/>
      <c r="E1963" s="10" t="str">
        <f>IF(B1963="","",IFERROR(INDEX(Harytlar!$C$5:$C$44,MATCH(B1963,Harytlar!$A$5:$A$44,0)),""))</f>
        <v/>
      </c>
      <c r="F1963" s="10" t="str">
        <f t="shared" si="30"/>
        <v/>
      </c>
      <c r="G1963" s="10" t="str">
        <f>IF(OR(C1963="",B1963=""),"",IFERROR(C1963*INDEX(Harytlar!$D$5:$D$44,MATCH(B1963,Harytlar!$A$5:$A$44,0)),""))</f>
        <v/>
      </c>
    </row>
    <row r="1964" spans="1:7" x14ac:dyDescent="0.3">
      <c r="A1964" s="17"/>
      <c r="B1964" s="18"/>
      <c r="C1964" s="18"/>
      <c r="D1964" s="18"/>
      <c r="E1964" s="10" t="str">
        <f>IF(B1964="","",IFERROR(INDEX(Harytlar!$C$5:$C$44,MATCH(B1964,Harytlar!$A$5:$A$44,0)),""))</f>
        <v/>
      </c>
      <c r="F1964" s="10" t="str">
        <f t="shared" si="30"/>
        <v/>
      </c>
      <c r="G1964" s="10" t="str">
        <f>IF(OR(C1964="",B1964=""),"",IFERROR(C1964*INDEX(Harytlar!$D$5:$D$44,MATCH(B1964,Harytlar!$A$5:$A$44,0)),""))</f>
        <v/>
      </c>
    </row>
    <row r="1965" spans="1:7" x14ac:dyDescent="0.3">
      <c r="A1965" s="17"/>
      <c r="B1965" s="18"/>
      <c r="C1965" s="18"/>
      <c r="D1965" s="18"/>
      <c r="E1965" s="10" t="str">
        <f>IF(B1965="","",IFERROR(INDEX(Harytlar!$C$5:$C$44,MATCH(B1965,Harytlar!$A$5:$A$44,0)),""))</f>
        <v/>
      </c>
      <c r="F1965" s="10" t="str">
        <f t="shared" si="30"/>
        <v/>
      </c>
      <c r="G1965" s="10" t="str">
        <f>IF(OR(C1965="",B1965=""),"",IFERROR(C1965*INDEX(Harytlar!$D$5:$D$44,MATCH(B1965,Harytlar!$A$5:$A$44,0)),""))</f>
        <v/>
      </c>
    </row>
    <row r="1966" spans="1:7" x14ac:dyDescent="0.3">
      <c r="A1966" s="17"/>
      <c r="B1966" s="18"/>
      <c r="C1966" s="18"/>
      <c r="D1966" s="18"/>
      <c r="E1966" s="10" t="str">
        <f>IF(B1966="","",IFERROR(INDEX(Harytlar!$C$5:$C$44,MATCH(B1966,Harytlar!$A$5:$A$44,0)),""))</f>
        <v/>
      </c>
      <c r="F1966" s="10" t="str">
        <f t="shared" si="30"/>
        <v/>
      </c>
      <c r="G1966" s="10" t="str">
        <f>IF(OR(C1966="",B1966=""),"",IFERROR(C1966*INDEX(Harytlar!$D$5:$D$44,MATCH(B1966,Harytlar!$A$5:$A$44,0)),""))</f>
        <v/>
      </c>
    </row>
    <row r="1967" spans="1:7" x14ac:dyDescent="0.3">
      <c r="A1967" s="17"/>
      <c r="B1967" s="18"/>
      <c r="C1967" s="18"/>
      <c r="D1967" s="18"/>
      <c r="E1967" s="10" t="str">
        <f>IF(B1967="","",IFERROR(INDEX(Harytlar!$C$5:$C$44,MATCH(B1967,Harytlar!$A$5:$A$44,0)),""))</f>
        <v/>
      </c>
      <c r="F1967" s="10" t="str">
        <f t="shared" si="30"/>
        <v/>
      </c>
      <c r="G1967" s="10" t="str">
        <f>IF(OR(C1967="",B1967=""),"",IFERROR(C1967*INDEX(Harytlar!$D$5:$D$44,MATCH(B1967,Harytlar!$A$5:$A$44,0)),""))</f>
        <v/>
      </c>
    </row>
    <row r="1968" spans="1:7" x14ac:dyDescent="0.3">
      <c r="A1968" s="17"/>
      <c r="B1968" s="18"/>
      <c r="C1968" s="18"/>
      <c r="D1968" s="18"/>
      <c r="E1968" s="10" t="str">
        <f>IF(B1968="","",IFERROR(INDEX(Harytlar!$C$5:$C$44,MATCH(B1968,Harytlar!$A$5:$A$44,0)),""))</f>
        <v/>
      </c>
      <c r="F1968" s="10" t="str">
        <f t="shared" si="30"/>
        <v/>
      </c>
      <c r="G1968" s="10" t="str">
        <f>IF(OR(C1968="",B1968=""),"",IFERROR(C1968*INDEX(Harytlar!$D$5:$D$44,MATCH(B1968,Harytlar!$A$5:$A$44,0)),""))</f>
        <v/>
      </c>
    </row>
    <row r="1969" spans="1:7" x14ac:dyDescent="0.3">
      <c r="A1969" s="17"/>
      <c r="B1969" s="18"/>
      <c r="C1969" s="18"/>
      <c r="D1969" s="18"/>
      <c r="E1969" s="10" t="str">
        <f>IF(B1969="","",IFERROR(INDEX(Harytlar!$C$5:$C$44,MATCH(B1969,Harytlar!$A$5:$A$44,0)),""))</f>
        <v/>
      </c>
      <c r="F1969" s="10" t="str">
        <f t="shared" si="30"/>
        <v/>
      </c>
      <c r="G1969" s="10" t="str">
        <f>IF(OR(C1969="",B1969=""),"",IFERROR(C1969*INDEX(Harytlar!$D$5:$D$44,MATCH(B1969,Harytlar!$A$5:$A$44,0)),""))</f>
        <v/>
      </c>
    </row>
    <row r="1970" spans="1:7" x14ac:dyDescent="0.3">
      <c r="A1970" s="17"/>
      <c r="B1970" s="18"/>
      <c r="C1970" s="18"/>
      <c r="D1970" s="18"/>
      <c r="E1970" s="10" t="str">
        <f>IF(B1970="","",IFERROR(INDEX(Harytlar!$C$5:$C$44,MATCH(B1970,Harytlar!$A$5:$A$44,0)),""))</f>
        <v/>
      </c>
      <c r="F1970" s="10" t="str">
        <f t="shared" si="30"/>
        <v/>
      </c>
      <c r="G1970" s="10" t="str">
        <f>IF(OR(C1970="",B1970=""),"",IFERROR(C1970*INDEX(Harytlar!$D$5:$D$44,MATCH(B1970,Harytlar!$A$5:$A$44,0)),""))</f>
        <v/>
      </c>
    </row>
    <row r="1971" spans="1:7" x14ac:dyDescent="0.3">
      <c r="A1971" s="17"/>
      <c r="B1971" s="18"/>
      <c r="C1971" s="18"/>
      <c r="D1971" s="18"/>
      <c r="E1971" s="10" t="str">
        <f>IF(B1971="","",IFERROR(INDEX(Harytlar!$C$5:$C$44,MATCH(B1971,Harytlar!$A$5:$A$44,0)),""))</f>
        <v/>
      </c>
      <c r="F1971" s="10" t="str">
        <f t="shared" si="30"/>
        <v/>
      </c>
      <c r="G1971" s="10" t="str">
        <f>IF(OR(C1971="",B1971=""),"",IFERROR(C1971*INDEX(Harytlar!$D$5:$D$44,MATCH(B1971,Harytlar!$A$5:$A$44,0)),""))</f>
        <v/>
      </c>
    </row>
    <row r="1972" spans="1:7" x14ac:dyDescent="0.3">
      <c r="A1972" s="17"/>
      <c r="B1972" s="18"/>
      <c r="C1972" s="18"/>
      <c r="D1972" s="18"/>
      <c r="E1972" s="10" t="str">
        <f>IF(B1972="","",IFERROR(INDEX(Harytlar!$C$5:$C$44,MATCH(B1972,Harytlar!$A$5:$A$44,0)),""))</f>
        <v/>
      </c>
      <c r="F1972" s="10" t="str">
        <f t="shared" si="30"/>
        <v/>
      </c>
      <c r="G1972" s="10" t="str">
        <f>IF(OR(C1972="",B1972=""),"",IFERROR(C1972*INDEX(Harytlar!$D$5:$D$44,MATCH(B1972,Harytlar!$A$5:$A$44,0)),""))</f>
        <v/>
      </c>
    </row>
    <row r="1973" spans="1:7" x14ac:dyDescent="0.3">
      <c r="A1973" s="17"/>
      <c r="B1973" s="18"/>
      <c r="C1973" s="18"/>
      <c r="D1973" s="18"/>
      <c r="E1973" s="10" t="str">
        <f>IF(B1973="","",IFERROR(INDEX(Harytlar!$C$5:$C$44,MATCH(B1973,Harytlar!$A$5:$A$44,0)),""))</f>
        <v/>
      </c>
      <c r="F1973" s="10" t="str">
        <f t="shared" si="30"/>
        <v/>
      </c>
      <c r="G1973" s="10" t="str">
        <f>IF(OR(C1973="",B1973=""),"",IFERROR(C1973*INDEX(Harytlar!$D$5:$D$44,MATCH(B1973,Harytlar!$A$5:$A$44,0)),""))</f>
        <v/>
      </c>
    </row>
    <row r="1974" spans="1:7" x14ac:dyDescent="0.3">
      <c r="A1974" s="17"/>
      <c r="B1974" s="18"/>
      <c r="C1974" s="18"/>
      <c r="D1974" s="18"/>
      <c r="E1974" s="10" t="str">
        <f>IF(B1974="","",IFERROR(INDEX(Harytlar!$C$5:$C$44,MATCH(B1974,Harytlar!$A$5:$A$44,0)),""))</f>
        <v/>
      </c>
      <c r="F1974" s="10" t="str">
        <f t="shared" si="30"/>
        <v/>
      </c>
      <c r="G1974" s="10" t="str">
        <f>IF(OR(C1974="",B1974=""),"",IFERROR(C1974*INDEX(Harytlar!$D$5:$D$44,MATCH(B1974,Harytlar!$A$5:$A$44,0)),""))</f>
        <v/>
      </c>
    </row>
    <row r="1975" spans="1:7" x14ac:dyDescent="0.3">
      <c r="A1975" s="17"/>
      <c r="B1975" s="18"/>
      <c r="C1975" s="18"/>
      <c r="D1975" s="18"/>
      <c r="E1975" s="10" t="str">
        <f>IF(B1975="","",IFERROR(INDEX(Harytlar!$C$5:$C$44,MATCH(B1975,Harytlar!$A$5:$A$44,0)),""))</f>
        <v/>
      </c>
      <c r="F1975" s="10" t="str">
        <f t="shared" si="30"/>
        <v/>
      </c>
      <c r="G1975" s="10" t="str">
        <f>IF(OR(C1975="",B1975=""),"",IFERROR(C1975*INDEX(Harytlar!$D$5:$D$44,MATCH(B1975,Harytlar!$A$5:$A$44,0)),""))</f>
        <v/>
      </c>
    </row>
    <row r="1976" spans="1:7" x14ac:dyDescent="0.3">
      <c r="A1976" s="17"/>
      <c r="B1976" s="18"/>
      <c r="C1976" s="18"/>
      <c r="D1976" s="18"/>
      <c r="E1976" s="10" t="str">
        <f>IF(B1976="","",IFERROR(INDEX(Harytlar!$C$5:$C$44,MATCH(B1976,Harytlar!$A$5:$A$44,0)),""))</f>
        <v/>
      </c>
      <c r="F1976" s="10" t="str">
        <f t="shared" si="30"/>
        <v/>
      </c>
      <c r="G1976" s="10" t="str">
        <f>IF(OR(C1976="",B1976=""),"",IFERROR(C1976*INDEX(Harytlar!$D$5:$D$44,MATCH(B1976,Harytlar!$A$5:$A$44,0)),""))</f>
        <v/>
      </c>
    </row>
    <row r="1977" spans="1:7" x14ac:dyDescent="0.3">
      <c r="A1977" s="17"/>
      <c r="B1977" s="18"/>
      <c r="C1977" s="18"/>
      <c r="D1977" s="18"/>
      <c r="E1977" s="10" t="str">
        <f>IF(B1977="","",IFERROR(INDEX(Harytlar!$C$5:$C$44,MATCH(B1977,Harytlar!$A$5:$A$44,0)),""))</f>
        <v/>
      </c>
      <c r="F1977" s="10" t="str">
        <f t="shared" si="30"/>
        <v/>
      </c>
      <c r="G1977" s="10" t="str">
        <f>IF(OR(C1977="",B1977=""),"",IFERROR(C1977*INDEX(Harytlar!$D$5:$D$44,MATCH(B1977,Harytlar!$A$5:$A$44,0)),""))</f>
        <v/>
      </c>
    </row>
    <row r="1978" spans="1:7" x14ac:dyDescent="0.3">
      <c r="A1978" s="17"/>
      <c r="B1978" s="18"/>
      <c r="C1978" s="18"/>
      <c r="D1978" s="18"/>
      <c r="E1978" s="10" t="str">
        <f>IF(B1978="","",IFERROR(INDEX(Harytlar!$C$5:$C$44,MATCH(B1978,Harytlar!$A$5:$A$44,0)),""))</f>
        <v/>
      </c>
      <c r="F1978" s="10" t="str">
        <f t="shared" si="30"/>
        <v/>
      </c>
      <c r="G1978" s="10" t="str">
        <f>IF(OR(C1978="",B1978=""),"",IFERROR(C1978*INDEX(Harytlar!$D$5:$D$44,MATCH(B1978,Harytlar!$A$5:$A$44,0)),""))</f>
        <v/>
      </c>
    </row>
    <row r="1979" spans="1:7" x14ac:dyDescent="0.3">
      <c r="A1979" s="17"/>
      <c r="B1979" s="18"/>
      <c r="C1979" s="18"/>
      <c r="D1979" s="18"/>
      <c r="E1979" s="10" t="str">
        <f>IF(B1979="","",IFERROR(INDEX(Harytlar!$C$5:$C$44,MATCH(B1979,Harytlar!$A$5:$A$44,0)),""))</f>
        <v/>
      </c>
      <c r="F1979" s="10" t="str">
        <f t="shared" si="30"/>
        <v/>
      </c>
      <c r="G1979" s="10" t="str">
        <f>IF(OR(C1979="",B1979=""),"",IFERROR(C1979*INDEX(Harytlar!$D$5:$D$44,MATCH(B1979,Harytlar!$A$5:$A$44,0)),""))</f>
        <v/>
      </c>
    </row>
    <row r="1980" spans="1:7" x14ac:dyDescent="0.3">
      <c r="A1980" s="17"/>
      <c r="B1980" s="18"/>
      <c r="C1980" s="18"/>
      <c r="D1980" s="18"/>
      <c r="E1980" s="10" t="str">
        <f>IF(B1980="","",IFERROR(INDEX(Harytlar!$C$5:$C$44,MATCH(B1980,Harytlar!$A$5:$A$44,0)),""))</f>
        <v/>
      </c>
      <c r="F1980" s="10" t="str">
        <f t="shared" si="30"/>
        <v/>
      </c>
      <c r="G1980" s="10" t="str">
        <f>IF(OR(C1980="",B1980=""),"",IFERROR(C1980*INDEX(Harytlar!$D$5:$D$44,MATCH(B1980,Harytlar!$A$5:$A$44,0)),""))</f>
        <v/>
      </c>
    </row>
    <row r="1981" spans="1:7" x14ac:dyDescent="0.3">
      <c r="A1981" s="17"/>
      <c r="B1981" s="18"/>
      <c r="C1981" s="18"/>
      <c r="D1981" s="18"/>
      <c r="E1981" s="10" t="str">
        <f>IF(B1981="","",IFERROR(INDEX(Harytlar!$C$5:$C$44,MATCH(B1981,Harytlar!$A$5:$A$44,0)),""))</f>
        <v/>
      </c>
      <c r="F1981" s="10" t="str">
        <f t="shared" si="30"/>
        <v/>
      </c>
      <c r="G1981" s="10" t="str">
        <f>IF(OR(C1981="",B1981=""),"",IFERROR(C1981*INDEX(Harytlar!$D$5:$D$44,MATCH(B1981,Harytlar!$A$5:$A$44,0)),""))</f>
        <v/>
      </c>
    </row>
    <row r="1982" spans="1:7" x14ac:dyDescent="0.3">
      <c r="A1982" s="17"/>
      <c r="B1982" s="18"/>
      <c r="C1982" s="18"/>
      <c r="D1982" s="18"/>
      <c r="E1982" s="10" t="str">
        <f>IF(B1982="","",IFERROR(INDEX(Harytlar!$C$5:$C$44,MATCH(B1982,Harytlar!$A$5:$A$44,0)),""))</f>
        <v/>
      </c>
      <c r="F1982" s="10" t="str">
        <f t="shared" si="30"/>
        <v/>
      </c>
      <c r="G1982" s="10" t="str">
        <f>IF(OR(C1982="",B1982=""),"",IFERROR(C1982*INDEX(Harytlar!$D$5:$D$44,MATCH(B1982,Harytlar!$A$5:$A$44,0)),""))</f>
        <v/>
      </c>
    </row>
    <row r="1983" spans="1:7" x14ac:dyDescent="0.3">
      <c r="A1983" s="17"/>
      <c r="B1983" s="18"/>
      <c r="C1983" s="18"/>
      <c r="D1983" s="18"/>
      <c r="E1983" s="10" t="str">
        <f>IF(B1983="","",IFERROR(INDEX(Harytlar!$C$5:$C$44,MATCH(B1983,Harytlar!$A$5:$A$44,0)),""))</f>
        <v/>
      </c>
      <c r="F1983" s="10" t="str">
        <f t="shared" si="30"/>
        <v/>
      </c>
      <c r="G1983" s="10" t="str">
        <f>IF(OR(C1983="",B1983=""),"",IFERROR(C1983*INDEX(Harytlar!$D$5:$D$44,MATCH(B1983,Harytlar!$A$5:$A$44,0)),""))</f>
        <v/>
      </c>
    </row>
    <row r="1984" spans="1:7" x14ac:dyDescent="0.3">
      <c r="A1984" s="17"/>
      <c r="B1984" s="18"/>
      <c r="C1984" s="18"/>
      <c r="D1984" s="18"/>
      <c r="E1984" s="10" t="str">
        <f>IF(B1984="","",IFERROR(INDEX(Harytlar!$C$5:$C$44,MATCH(B1984,Harytlar!$A$5:$A$44,0)),""))</f>
        <v/>
      </c>
      <c r="F1984" s="10" t="str">
        <f t="shared" si="30"/>
        <v/>
      </c>
      <c r="G1984" s="10" t="str">
        <f>IF(OR(C1984="",B1984=""),"",IFERROR(C1984*INDEX(Harytlar!$D$5:$D$44,MATCH(B1984,Harytlar!$A$5:$A$44,0)),""))</f>
        <v/>
      </c>
    </row>
    <row r="1985" spans="1:7" x14ac:dyDescent="0.3">
      <c r="A1985" s="17"/>
      <c r="B1985" s="18"/>
      <c r="C1985" s="18"/>
      <c r="D1985" s="18"/>
      <c r="E1985" s="10" t="str">
        <f>IF(B1985="","",IFERROR(INDEX(Harytlar!$C$5:$C$44,MATCH(B1985,Harytlar!$A$5:$A$44,0)),""))</f>
        <v/>
      </c>
      <c r="F1985" s="10" t="str">
        <f t="shared" si="30"/>
        <v/>
      </c>
      <c r="G1985" s="10" t="str">
        <f>IF(OR(C1985="",B1985=""),"",IFERROR(C1985*INDEX(Harytlar!$D$5:$D$44,MATCH(B1985,Harytlar!$A$5:$A$44,0)),""))</f>
        <v/>
      </c>
    </row>
    <row r="1986" spans="1:7" x14ac:dyDescent="0.3">
      <c r="A1986" s="17"/>
      <c r="B1986" s="18"/>
      <c r="C1986" s="18"/>
      <c r="D1986" s="18"/>
      <c r="E1986" s="10" t="str">
        <f>IF(B1986="","",IFERROR(INDEX(Harytlar!$C$5:$C$44,MATCH(B1986,Harytlar!$A$5:$A$44,0)),""))</f>
        <v/>
      </c>
      <c r="F1986" s="10" t="str">
        <f t="shared" si="30"/>
        <v/>
      </c>
      <c r="G1986" s="10" t="str">
        <f>IF(OR(C1986="",B1986=""),"",IFERROR(C1986*INDEX(Harytlar!$D$5:$D$44,MATCH(B1986,Harytlar!$A$5:$A$44,0)),""))</f>
        <v/>
      </c>
    </row>
    <row r="1987" spans="1:7" x14ac:dyDescent="0.3">
      <c r="A1987" s="17"/>
      <c r="B1987" s="18"/>
      <c r="C1987" s="18"/>
      <c r="D1987" s="18"/>
      <c r="E1987" s="10" t="str">
        <f>IF(B1987="","",IFERROR(INDEX(Harytlar!$C$5:$C$44,MATCH(B1987,Harytlar!$A$5:$A$44,0)),""))</f>
        <v/>
      </c>
      <c r="F1987" s="10" t="str">
        <f t="shared" si="30"/>
        <v/>
      </c>
      <c r="G1987" s="10" t="str">
        <f>IF(OR(C1987="",B1987=""),"",IFERROR(C1987*INDEX(Harytlar!$D$5:$D$44,MATCH(B1987,Harytlar!$A$5:$A$44,0)),""))</f>
        <v/>
      </c>
    </row>
    <row r="1988" spans="1:7" x14ac:dyDescent="0.3">
      <c r="A1988" s="17"/>
      <c r="B1988" s="18"/>
      <c r="C1988" s="18"/>
      <c r="D1988" s="18"/>
      <c r="E1988" s="10" t="str">
        <f>IF(B1988="","",IFERROR(INDEX(Harytlar!$C$5:$C$44,MATCH(B1988,Harytlar!$A$5:$A$44,0)),""))</f>
        <v/>
      </c>
      <c r="F1988" s="10" t="str">
        <f t="shared" si="30"/>
        <v/>
      </c>
      <c r="G1988" s="10" t="str">
        <f>IF(OR(C1988="",B1988=""),"",IFERROR(C1988*INDEX(Harytlar!$D$5:$D$44,MATCH(B1988,Harytlar!$A$5:$A$44,0)),""))</f>
        <v/>
      </c>
    </row>
    <row r="1989" spans="1:7" x14ac:dyDescent="0.3">
      <c r="A1989" s="17"/>
      <c r="B1989" s="18"/>
      <c r="C1989" s="18"/>
      <c r="D1989" s="18"/>
      <c r="E1989" s="10" t="str">
        <f>IF(B1989="","",IFERROR(INDEX(Harytlar!$C$5:$C$44,MATCH(B1989,Harytlar!$A$5:$A$44,0)),""))</f>
        <v/>
      </c>
      <c r="F1989" s="10" t="str">
        <f t="shared" si="30"/>
        <v/>
      </c>
      <c r="G1989" s="10" t="str">
        <f>IF(OR(C1989="",B1989=""),"",IFERROR(C1989*INDEX(Harytlar!$D$5:$D$44,MATCH(B1989,Harytlar!$A$5:$A$44,0)),""))</f>
        <v/>
      </c>
    </row>
    <row r="1990" spans="1:7" x14ac:dyDescent="0.3">
      <c r="A1990" s="17"/>
      <c r="B1990" s="18"/>
      <c r="C1990" s="18"/>
      <c r="D1990" s="18"/>
      <c r="E1990" s="10" t="str">
        <f>IF(B1990="","",IFERROR(INDEX(Harytlar!$C$5:$C$44,MATCH(B1990,Harytlar!$A$5:$A$44,0)),""))</f>
        <v/>
      </c>
      <c r="F1990" s="10" t="str">
        <f t="shared" ref="F1990:F2053" si="31">IF(OR(C1990="",E1990=""),"",C1990*E1990)</f>
        <v/>
      </c>
      <c r="G1990" s="10" t="str">
        <f>IF(OR(C1990="",B1990=""),"",IFERROR(C1990*INDEX(Harytlar!$D$5:$D$44,MATCH(B1990,Harytlar!$A$5:$A$44,0)),""))</f>
        <v/>
      </c>
    </row>
    <row r="1991" spans="1:7" x14ac:dyDescent="0.3">
      <c r="A1991" s="17"/>
      <c r="B1991" s="18"/>
      <c r="C1991" s="18"/>
      <c r="D1991" s="18"/>
      <c r="E1991" s="10" t="str">
        <f>IF(B1991="","",IFERROR(INDEX(Harytlar!$C$5:$C$44,MATCH(B1991,Harytlar!$A$5:$A$44,0)),""))</f>
        <v/>
      </c>
      <c r="F1991" s="10" t="str">
        <f t="shared" si="31"/>
        <v/>
      </c>
      <c r="G1991" s="10" t="str">
        <f>IF(OR(C1991="",B1991=""),"",IFERROR(C1991*INDEX(Harytlar!$D$5:$D$44,MATCH(B1991,Harytlar!$A$5:$A$44,0)),""))</f>
        <v/>
      </c>
    </row>
    <row r="1992" spans="1:7" x14ac:dyDescent="0.3">
      <c r="A1992" s="17"/>
      <c r="B1992" s="18"/>
      <c r="C1992" s="18"/>
      <c r="D1992" s="18"/>
      <c r="E1992" s="10" t="str">
        <f>IF(B1992="","",IFERROR(INDEX(Harytlar!$C$5:$C$44,MATCH(B1992,Harytlar!$A$5:$A$44,0)),""))</f>
        <v/>
      </c>
      <c r="F1992" s="10" t="str">
        <f t="shared" si="31"/>
        <v/>
      </c>
      <c r="G1992" s="10" t="str">
        <f>IF(OR(C1992="",B1992=""),"",IFERROR(C1992*INDEX(Harytlar!$D$5:$D$44,MATCH(B1992,Harytlar!$A$5:$A$44,0)),""))</f>
        <v/>
      </c>
    </row>
    <row r="1993" spans="1:7" x14ac:dyDescent="0.3">
      <c r="A1993" s="17"/>
      <c r="B1993" s="18"/>
      <c r="C1993" s="18"/>
      <c r="D1993" s="18"/>
      <c r="E1993" s="10" t="str">
        <f>IF(B1993="","",IFERROR(INDEX(Harytlar!$C$5:$C$44,MATCH(B1993,Harytlar!$A$5:$A$44,0)),""))</f>
        <v/>
      </c>
      <c r="F1993" s="10" t="str">
        <f t="shared" si="31"/>
        <v/>
      </c>
      <c r="G1993" s="10" t="str">
        <f>IF(OR(C1993="",B1993=""),"",IFERROR(C1993*INDEX(Harytlar!$D$5:$D$44,MATCH(B1993,Harytlar!$A$5:$A$44,0)),""))</f>
        <v/>
      </c>
    </row>
    <row r="1994" spans="1:7" x14ac:dyDescent="0.3">
      <c r="A1994" s="17"/>
      <c r="B1994" s="18"/>
      <c r="C1994" s="18"/>
      <c r="D1994" s="18"/>
      <c r="E1994" s="10" t="str">
        <f>IF(B1994="","",IFERROR(INDEX(Harytlar!$C$5:$C$44,MATCH(B1994,Harytlar!$A$5:$A$44,0)),""))</f>
        <v/>
      </c>
      <c r="F1994" s="10" t="str">
        <f t="shared" si="31"/>
        <v/>
      </c>
      <c r="G1994" s="10" t="str">
        <f>IF(OR(C1994="",B1994=""),"",IFERROR(C1994*INDEX(Harytlar!$D$5:$D$44,MATCH(B1994,Harytlar!$A$5:$A$44,0)),""))</f>
        <v/>
      </c>
    </row>
    <row r="1995" spans="1:7" x14ac:dyDescent="0.3">
      <c r="A1995" s="17"/>
      <c r="B1995" s="18"/>
      <c r="C1995" s="18"/>
      <c r="D1995" s="18"/>
      <c r="E1995" s="10" t="str">
        <f>IF(B1995="","",IFERROR(INDEX(Harytlar!$C$5:$C$44,MATCH(B1995,Harytlar!$A$5:$A$44,0)),""))</f>
        <v/>
      </c>
      <c r="F1995" s="10" t="str">
        <f t="shared" si="31"/>
        <v/>
      </c>
      <c r="G1995" s="10" t="str">
        <f>IF(OR(C1995="",B1995=""),"",IFERROR(C1995*INDEX(Harytlar!$D$5:$D$44,MATCH(B1995,Harytlar!$A$5:$A$44,0)),""))</f>
        <v/>
      </c>
    </row>
    <row r="1996" spans="1:7" x14ac:dyDescent="0.3">
      <c r="A1996" s="17"/>
      <c r="B1996" s="18"/>
      <c r="C1996" s="18"/>
      <c r="D1996" s="18"/>
      <c r="E1996" s="10" t="str">
        <f>IF(B1996="","",IFERROR(INDEX(Harytlar!$C$5:$C$44,MATCH(B1996,Harytlar!$A$5:$A$44,0)),""))</f>
        <v/>
      </c>
      <c r="F1996" s="10" t="str">
        <f t="shared" si="31"/>
        <v/>
      </c>
      <c r="G1996" s="10" t="str">
        <f>IF(OR(C1996="",B1996=""),"",IFERROR(C1996*INDEX(Harytlar!$D$5:$D$44,MATCH(B1996,Harytlar!$A$5:$A$44,0)),""))</f>
        <v/>
      </c>
    </row>
    <row r="1997" spans="1:7" x14ac:dyDescent="0.3">
      <c r="A1997" s="17"/>
      <c r="B1997" s="18"/>
      <c r="C1997" s="18"/>
      <c r="D1997" s="18"/>
      <c r="E1997" s="10" t="str">
        <f>IF(B1997="","",IFERROR(INDEX(Harytlar!$C$5:$C$44,MATCH(B1997,Harytlar!$A$5:$A$44,0)),""))</f>
        <v/>
      </c>
      <c r="F1997" s="10" t="str">
        <f t="shared" si="31"/>
        <v/>
      </c>
      <c r="G1997" s="10" t="str">
        <f>IF(OR(C1997="",B1997=""),"",IFERROR(C1997*INDEX(Harytlar!$D$5:$D$44,MATCH(B1997,Harytlar!$A$5:$A$44,0)),""))</f>
        <v/>
      </c>
    </row>
    <row r="1998" spans="1:7" x14ac:dyDescent="0.3">
      <c r="A1998" s="17"/>
      <c r="B1998" s="18"/>
      <c r="C1998" s="18"/>
      <c r="D1998" s="18"/>
      <c r="E1998" s="10" t="str">
        <f>IF(B1998="","",IFERROR(INDEX(Harytlar!$C$5:$C$44,MATCH(B1998,Harytlar!$A$5:$A$44,0)),""))</f>
        <v/>
      </c>
      <c r="F1998" s="10" t="str">
        <f t="shared" si="31"/>
        <v/>
      </c>
      <c r="G1998" s="10" t="str">
        <f>IF(OR(C1998="",B1998=""),"",IFERROR(C1998*INDEX(Harytlar!$D$5:$D$44,MATCH(B1998,Harytlar!$A$5:$A$44,0)),""))</f>
        <v/>
      </c>
    </row>
    <row r="1999" spans="1:7" x14ac:dyDescent="0.3">
      <c r="A1999" s="17"/>
      <c r="B1999" s="18"/>
      <c r="C1999" s="18"/>
      <c r="D1999" s="18"/>
      <c r="E1999" s="10" t="str">
        <f>IF(B1999="","",IFERROR(INDEX(Harytlar!$C$5:$C$44,MATCH(B1999,Harytlar!$A$5:$A$44,0)),""))</f>
        <v/>
      </c>
      <c r="F1999" s="10" t="str">
        <f t="shared" si="31"/>
        <v/>
      </c>
      <c r="G1999" s="10" t="str">
        <f>IF(OR(C1999="",B1999=""),"",IFERROR(C1999*INDEX(Harytlar!$D$5:$D$44,MATCH(B1999,Harytlar!$A$5:$A$44,0)),""))</f>
        <v/>
      </c>
    </row>
    <row r="2000" spans="1:7" x14ac:dyDescent="0.3">
      <c r="A2000" s="17"/>
      <c r="B2000" s="18"/>
      <c r="C2000" s="18"/>
      <c r="D2000" s="18"/>
      <c r="E2000" s="10" t="str">
        <f>IF(B2000="","",IFERROR(INDEX(Harytlar!$C$5:$C$44,MATCH(B2000,Harytlar!$A$5:$A$44,0)),""))</f>
        <v/>
      </c>
      <c r="F2000" s="10" t="str">
        <f t="shared" si="31"/>
        <v/>
      </c>
      <c r="G2000" s="10" t="str">
        <f>IF(OR(C2000="",B2000=""),"",IFERROR(C2000*INDEX(Harytlar!$D$5:$D$44,MATCH(B2000,Harytlar!$A$5:$A$44,0)),""))</f>
        <v/>
      </c>
    </row>
    <row r="2001" spans="1:7" x14ac:dyDescent="0.3">
      <c r="A2001" s="17"/>
      <c r="B2001" s="18"/>
      <c r="C2001" s="18"/>
      <c r="D2001" s="18"/>
      <c r="E2001" s="10" t="str">
        <f>IF(B2001="","",IFERROR(INDEX(Harytlar!$C$5:$C$44,MATCH(B2001,Harytlar!$A$5:$A$44,0)),""))</f>
        <v/>
      </c>
      <c r="F2001" s="10" t="str">
        <f t="shared" si="31"/>
        <v/>
      </c>
      <c r="G2001" s="10" t="str">
        <f>IF(OR(C2001="",B2001=""),"",IFERROR(C2001*INDEX(Harytlar!$D$5:$D$44,MATCH(B2001,Harytlar!$A$5:$A$44,0)),""))</f>
        <v/>
      </c>
    </row>
    <row r="2002" spans="1:7" x14ac:dyDescent="0.3">
      <c r="A2002" s="17"/>
      <c r="B2002" s="18"/>
      <c r="C2002" s="18"/>
      <c r="D2002" s="18"/>
      <c r="E2002" s="10" t="str">
        <f>IF(B2002="","",IFERROR(INDEX(Harytlar!$C$5:$C$44,MATCH(B2002,Harytlar!$A$5:$A$44,0)),""))</f>
        <v/>
      </c>
      <c r="F2002" s="10" t="str">
        <f t="shared" si="31"/>
        <v/>
      </c>
      <c r="G2002" s="10" t="str">
        <f>IF(OR(C2002="",B2002=""),"",IFERROR(C2002*INDEX(Harytlar!$D$5:$D$44,MATCH(B2002,Harytlar!$A$5:$A$44,0)),""))</f>
        <v/>
      </c>
    </row>
    <row r="2003" spans="1:7" x14ac:dyDescent="0.3">
      <c r="A2003" s="17"/>
      <c r="B2003" s="18"/>
      <c r="C2003" s="18"/>
      <c r="D2003" s="18"/>
      <c r="E2003" s="10" t="str">
        <f>IF(B2003="","",IFERROR(INDEX(Harytlar!$C$5:$C$44,MATCH(B2003,Harytlar!$A$5:$A$44,0)),""))</f>
        <v/>
      </c>
      <c r="F2003" s="10" t="str">
        <f t="shared" si="31"/>
        <v/>
      </c>
      <c r="G2003" s="10" t="str">
        <f>IF(OR(C2003="",B2003=""),"",IFERROR(C2003*INDEX(Harytlar!$D$5:$D$44,MATCH(B2003,Harytlar!$A$5:$A$44,0)),""))</f>
        <v/>
      </c>
    </row>
    <row r="2004" spans="1:7" x14ac:dyDescent="0.3">
      <c r="A2004" s="17"/>
      <c r="B2004" s="18"/>
      <c r="C2004" s="18"/>
      <c r="D2004" s="18"/>
      <c r="E2004" s="10" t="str">
        <f>IF(B2004="","",IFERROR(INDEX(Harytlar!$C$5:$C$44,MATCH(B2004,Harytlar!$A$5:$A$44,0)),""))</f>
        <v/>
      </c>
      <c r="F2004" s="10" t="str">
        <f t="shared" si="31"/>
        <v/>
      </c>
      <c r="G2004" s="10" t="str">
        <f>IF(OR(C2004="",B2004=""),"",IFERROR(C2004*INDEX(Harytlar!$D$5:$D$44,MATCH(B2004,Harytlar!$A$5:$A$44,0)),""))</f>
        <v/>
      </c>
    </row>
    <row r="2005" spans="1:7" x14ac:dyDescent="0.3">
      <c r="A2005" s="17"/>
      <c r="B2005" s="18"/>
      <c r="C2005" s="18"/>
      <c r="D2005" s="18"/>
      <c r="E2005" s="10" t="str">
        <f>IF(B2005="","",IFERROR(INDEX(Harytlar!$C$5:$C$44,MATCH(B2005,Harytlar!$A$5:$A$44,0)),""))</f>
        <v/>
      </c>
      <c r="F2005" s="10" t="str">
        <f t="shared" si="31"/>
        <v/>
      </c>
      <c r="G2005" s="10" t="str">
        <f>IF(OR(C2005="",B2005=""),"",IFERROR(C2005*INDEX(Harytlar!$D$5:$D$44,MATCH(B2005,Harytlar!$A$5:$A$44,0)),""))</f>
        <v/>
      </c>
    </row>
    <row r="2006" spans="1:7" x14ac:dyDescent="0.3">
      <c r="A2006" s="17"/>
      <c r="B2006" s="18"/>
      <c r="C2006" s="18"/>
      <c r="D2006" s="18"/>
      <c r="E2006" s="10" t="str">
        <f>IF(B2006="","",IFERROR(INDEX(Harytlar!$C$5:$C$44,MATCH(B2006,Harytlar!$A$5:$A$44,0)),""))</f>
        <v/>
      </c>
      <c r="F2006" s="10" t="str">
        <f t="shared" si="31"/>
        <v/>
      </c>
      <c r="G2006" s="10" t="str">
        <f>IF(OR(C2006="",B2006=""),"",IFERROR(C2006*INDEX(Harytlar!$D$5:$D$44,MATCH(B2006,Harytlar!$A$5:$A$44,0)),""))</f>
        <v/>
      </c>
    </row>
    <row r="2007" spans="1:7" x14ac:dyDescent="0.3">
      <c r="A2007" s="17"/>
      <c r="B2007" s="18"/>
      <c r="C2007" s="18"/>
      <c r="D2007" s="18"/>
      <c r="E2007" s="10" t="str">
        <f>IF(B2007="","",IFERROR(INDEX(Harytlar!$C$5:$C$44,MATCH(B2007,Harytlar!$A$5:$A$44,0)),""))</f>
        <v/>
      </c>
      <c r="F2007" s="10" t="str">
        <f t="shared" si="31"/>
        <v/>
      </c>
      <c r="G2007" s="10" t="str">
        <f>IF(OR(C2007="",B2007=""),"",IFERROR(C2007*INDEX(Harytlar!$D$5:$D$44,MATCH(B2007,Harytlar!$A$5:$A$44,0)),""))</f>
        <v/>
      </c>
    </row>
    <row r="2008" spans="1:7" x14ac:dyDescent="0.3">
      <c r="A2008" s="17"/>
      <c r="B2008" s="18"/>
      <c r="C2008" s="18"/>
      <c r="D2008" s="18"/>
      <c r="E2008" s="10" t="str">
        <f>IF(B2008="","",IFERROR(INDEX(Harytlar!$C$5:$C$44,MATCH(B2008,Harytlar!$A$5:$A$44,0)),""))</f>
        <v/>
      </c>
      <c r="F2008" s="10" t="str">
        <f t="shared" si="31"/>
        <v/>
      </c>
      <c r="G2008" s="10" t="str">
        <f>IF(OR(C2008="",B2008=""),"",IFERROR(C2008*INDEX(Harytlar!$D$5:$D$44,MATCH(B2008,Harytlar!$A$5:$A$44,0)),""))</f>
        <v/>
      </c>
    </row>
    <row r="2009" spans="1:7" x14ac:dyDescent="0.3">
      <c r="A2009" s="17"/>
      <c r="B2009" s="18"/>
      <c r="C2009" s="18"/>
      <c r="D2009" s="18"/>
      <c r="E2009" s="10" t="str">
        <f>IF(B2009="","",IFERROR(INDEX(Harytlar!$C$5:$C$44,MATCH(B2009,Harytlar!$A$5:$A$44,0)),""))</f>
        <v/>
      </c>
      <c r="F2009" s="10" t="str">
        <f t="shared" si="31"/>
        <v/>
      </c>
      <c r="G2009" s="10" t="str">
        <f>IF(OR(C2009="",B2009=""),"",IFERROR(C2009*INDEX(Harytlar!$D$5:$D$44,MATCH(B2009,Harytlar!$A$5:$A$44,0)),""))</f>
        <v/>
      </c>
    </row>
    <row r="2010" spans="1:7" x14ac:dyDescent="0.3">
      <c r="A2010" s="17"/>
      <c r="B2010" s="18"/>
      <c r="C2010" s="18"/>
      <c r="D2010" s="18"/>
      <c r="E2010" s="10" t="str">
        <f>IF(B2010="","",IFERROR(INDEX(Harytlar!$C$5:$C$44,MATCH(B2010,Harytlar!$A$5:$A$44,0)),""))</f>
        <v/>
      </c>
      <c r="F2010" s="10" t="str">
        <f t="shared" si="31"/>
        <v/>
      </c>
      <c r="G2010" s="10" t="str">
        <f>IF(OR(C2010="",B2010=""),"",IFERROR(C2010*INDEX(Harytlar!$D$5:$D$44,MATCH(B2010,Harytlar!$A$5:$A$44,0)),""))</f>
        <v/>
      </c>
    </row>
    <row r="2011" spans="1:7" x14ac:dyDescent="0.3">
      <c r="A2011" s="17"/>
      <c r="B2011" s="18"/>
      <c r="C2011" s="18"/>
      <c r="D2011" s="18"/>
      <c r="E2011" s="10" t="str">
        <f>IF(B2011="","",IFERROR(INDEX(Harytlar!$C$5:$C$44,MATCH(B2011,Harytlar!$A$5:$A$44,0)),""))</f>
        <v/>
      </c>
      <c r="F2011" s="10" t="str">
        <f t="shared" si="31"/>
        <v/>
      </c>
      <c r="G2011" s="10" t="str">
        <f>IF(OR(C2011="",B2011=""),"",IFERROR(C2011*INDEX(Harytlar!$D$5:$D$44,MATCH(B2011,Harytlar!$A$5:$A$44,0)),""))</f>
        <v/>
      </c>
    </row>
    <row r="2012" spans="1:7" x14ac:dyDescent="0.3">
      <c r="A2012" s="17"/>
      <c r="B2012" s="18"/>
      <c r="C2012" s="18"/>
      <c r="D2012" s="18"/>
      <c r="E2012" s="10" t="str">
        <f>IF(B2012="","",IFERROR(INDEX(Harytlar!$C$5:$C$44,MATCH(B2012,Harytlar!$A$5:$A$44,0)),""))</f>
        <v/>
      </c>
      <c r="F2012" s="10" t="str">
        <f t="shared" si="31"/>
        <v/>
      </c>
      <c r="G2012" s="10" t="str">
        <f>IF(OR(C2012="",B2012=""),"",IFERROR(C2012*INDEX(Harytlar!$D$5:$D$44,MATCH(B2012,Harytlar!$A$5:$A$44,0)),""))</f>
        <v/>
      </c>
    </row>
    <row r="2013" spans="1:7" x14ac:dyDescent="0.3">
      <c r="A2013" s="17"/>
      <c r="B2013" s="18"/>
      <c r="C2013" s="18"/>
      <c r="D2013" s="18"/>
      <c r="E2013" s="10" t="str">
        <f>IF(B2013="","",IFERROR(INDEX(Harytlar!$C$5:$C$44,MATCH(B2013,Harytlar!$A$5:$A$44,0)),""))</f>
        <v/>
      </c>
      <c r="F2013" s="10" t="str">
        <f t="shared" si="31"/>
        <v/>
      </c>
      <c r="G2013" s="10" t="str">
        <f>IF(OR(C2013="",B2013=""),"",IFERROR(C2013*INDEX(Harytlar!$D$5:$D$44,MATCH(B2013,Harytlar!$A$5:$A$44,0)),""))</f>
        <v/>
      </c>
    </row>
    <row r="2014" spans="1:7" x14ac:dyDescent="0.3">
      <c r="A2014" s="17"/>
      <c r="B2014" s="18"/>
      <c r="C2014" s="18"/>
      <c r="D2014" s="18"/>
      <c r="E2014" s="10" t="str">
        <f>IF(B2014="","",IFERROR(INDEX(Harytlar!$C$5:$C$44,MATCH(B2014,Harytlar!$A$5:$A$44,0)),""))</f>
        <v/>
      </c>
      <c r="F2014" s="10" t="str">
        <f t="shared" si="31"/>
        <v/>
      </c>
      <c r="G2014" s="10" t="str">
        <f>IF(OR(C2014="",B2014=""),"",IFERROR(C2014*INDEX(Harytlar!$D$5:$D$44,MATCH(B2014,Harytlar!$A$5:$A$44,0)),""))</f>
        <v/>
      </c>
    </row>
    <row r="2015" spans="1:7" x14ac:dyDescent="0.3">
      <c r="A2015" s="17"/>
      <c r="B2015" s="18"/>
      <c r="C2015" s="18"/>
      <c r="D2015" s="18"/>
      <c r="E2015" s="10" t="str">
        <f>IF(B2015="","",IFERROR(INDEX(Harytlar!$C$5:$C$44,MATCH(B2015,Harytlar!$A$5:$A$44,0)),""))</f>
        <v/>
      </c>
      <c r="F2015" s="10" t="str">
        <f t="shared" si="31"/>
        <v/>
      </c>
      <c r="G2015" s="10" t="str">
        <f>IF(OR(C2015="",B2015=""),"",IFERROR(C2015*INDEX(Harytlar!$D$5:$D$44,MATCH(B2015,Harytlar!$A$5:$A$44,0)),""))</f>
        <v/>
      </c>
    </row>
    <row r="2016" spans="1:7" x14ac:dyDescent="0.3">
      <c r="A2016" s="17"/>
      <c r="B2016" s="18"/>
      <c r="C2016" s="18"/>
      <c r="D2016" s="18"/>
      <c r="E2016" s="10" t="str">
        <f>IF(B2016="","",IFERROR(INDEX(Harytlar!$C$5:$C$44,MATCH(B2016,Harytlar!$A$5:$A$44,0)),""))</f>
        <v/>
      </c>
      <c r="F2016" s="10" t="str">
        <f t="shared" si="31"/>
        <v/>
      </c>
      <c r="G2016" s="10" t="str">
        <f>IF(OR(C2016="",B2016=""),"",IFERROR(C2016*INDEX(Harytlar!$D$5:$D$44,MATCH(B2016,Harytlar!$A$5:$A$44,0)),""))</f>
        <v/>
      </c>
    </row>
    <row r="2017" spans="1:7" x14ac:dyDescent="0.3">
      <c r="A2017" s="17"/>
      <c r="B2017" s="18"/>
      <c r="C2017" s="18"/>
      <c r="D2017" s="18"/>
      <c r="E2017" s="10" t="str">
        <f>IF(B2017="","",IFERROR(INDEX(Harytlar!$C$5:$C$44,MATCH(B2017,Harytlar!$A$5:$A$44,0)),""))</f>
        <v/>
      </c>
      <c r="F2017" s="10" t="str">
        <f t="shared" si="31"/>
        <v/>
      </c>
      <c r="G2017" s="10" t="str">
        <f>IF(OR(C2017="",B2017=""),"",IFERROR(C2017*INDEX(Harytlar!$D$5:$D$44,MATCH(B2017,Harytlar!$A$5:$A$44,0)),""))</f>
        <v/>
      </c>
    </row>
    <row r="2018" spans="1:7" x14ac:dyDescent="0.3">
      <c r="A2018" s="17"/>
      <c r="B2018" s="18"/>
      <c r="C2018" s="18"/>
      <c r="D2018" s="18"/>
      <c r="E2018" s="10" t="str">
        <f>IF(B2018="","",IFERROR(INDEX(Harytlar!$C$5:$C$44,MATCH(B2018,Harytlar!$A$5:$A$44,0)),""))</f>
        <v/>
      </c>
      <c r="F2018" s="10" t="str">
        <f t="shared" si="31"/>
        <v/>
      </c>
      <c r="G2018" s="10" t="str">
        <f>IF(OR(C2018="",B2018=""),"",IFERROR(C2018*INDEX(Harytlar!$D$5:$D$44,MATCH(B2018,Harytlar!$A$5:$A$44,0)),""))</f>
        <v/>
      </c>
    </row>
    <row r="2019" spans="1:7" x14ac:dyDescent="0.3">
      <c r="A2019" s="17"/>
      <c r="B2019" s="18"/>
      <c r="C2019" s="18"/>
      <c r="D2019" s="18"/>
      <c r="E2019" s="10" t="str">
        <f>IF(B2019="","",IFERROR(INDEX(Harytlar!$C$5:$C$44,MATCH(B2019,Harytlar!$A$5:$A$44,0)),""))</f>
        <v/>
      </c>
      <c r="F2019" s="10" t="str">
        <f t="shared" si="31"/>
        <v/>
      </c>
      <c r="G2019" s="10" t="str">
        <f>IF(OR(C2019="",B2019=""),"",IFERROR(C2019*INDEX(Harytlar!$D$5:$D$44,MATCH(B2019,Harytlar!$A$5:$A$44,0)),""))</f>
        <v/>
      </c>
    </row>
    <row r="2020" spans="1:7" x14ac:dyDescent="0.3">
      <c r="A2020" s="17"/>
      <c r="B2020" s="18"/>
      <c r="C2020" s="18"/>
      <c r="D2020" s="18"/>
      <c r="E2020" s="10" t="str">
        <f>IF(B2020="","",IFERROR(INDEX(Harytlar!$C$5:$C$44,MATCH(B2020,Harytlar!$A$5:$A$44,0)),""))</f>
        <v/>
      </c>
      <c r="F2020" s="10" t="str">
        <f t="shared" si="31"/>
        <v/>
      </c>
      <c r="G2020" s="10" t="str">
        <f>IF(OR(C2020="",B2020=""),"",IFERROR(C2020*INDEX(Harytlar!$D$5:$D$44,MATCH(B2020,Harytlar!$A$5:$A$44,0)),""))</f>
        <v/>
      </c>
    </row>
    <row r="2021" spans="1:7" x14ac:dyDescent="0.3">
      <c r="A2021" s="17"/>
      <c r="B2021" s="18"/>
      <c r="C2021" s="18"/>
      <c r="D2021" s="18"/>
      <c r="E2021" s="10" t="str">
        <f>IF(B2021="","",IFERROR(INDEX(Harytlar!$C$5:$C$44,MATCH(B2021,Harytlar!$A$5:$A$44,0)),""))</f>
        <v/>
      </c>
      <c r="F2021" s="10" t="str">
        <f t="shared" si="31"/>
        <v/>
      </c>
      <c r="G2021" s="10" t="str">
        <f>IF(OR(C2021="",B2021=""),"",IFERROR(C2021*INDEX(Harytlar!$D$5:$D$44,MATCH(B2021,Harytlar!$A$5:$A$44,0)),""))</f>
        <v/>
      </c>
    </row>
    <row r="2022" spans="1:7" x14ac:dyDescent="0.3">
      <c r="A2022" s="17"/>
      <c r="B2022" s="18"/>
      <c r="C2022" s="18"/>
      <c r="D2022" s="18"/>
      <c r="E2022" s="10" t="str">
        <f>IF(B2022="","",IFERROR(INDEX(Harytlar!$C$5:$C$44,MATCH(B2022,Harytlar!$A$5:$A$44,0)),""))</f>
        <v/>
      </c>
      <c r="F2022" s="10" t="str">
        <f t="shared" si="31"/>
        <v/>
      </c>
      <c r="G2022" s="10" t="str">
        <f>IF(OR(C2022="",B2022=""),"",IFERROR(C2022*INDEX(Harytlar!$D$5:$D$44,MATCH(B2022,Harytlar!$A$5:$A$44,0)),""))</f>
        <v/>
      </c>
    </row>
    <row r="2023" spans="1:7" x14ac:dyDescent="0.3">
      <c r="A2023" s="17"/>
      <c r="B2023" s="18"/>
      <c r="C2023" s="18"/>
      <c r="D2023" s="18"/>
      <c r="E2023" s="10" t="str">
        <f>IF(B2023="","",IFERROR(INDEX(Harytlar!$C$5:$C$44,MATCH(B2023,Harytlar!$A$5:$A$44,0)),""))</f>
        <v/>
      </c>
      <c r="F2023" s="10" t="str">
        <f t="shared" si="31"/>
        <v/>
      </c>
      <c r="G2023" s="10" t="str">
        <f>IF(OR(C2023="",B2023=""),"",IFERROR(C2023*INDEX(Harytlar!$D$5:$D$44,MATCH(B2023,Harytlar!$A$5:$A$44,0)),""))</f>
        <v/>
      </c>
    </row>
    <row r="2024" spans="1:7" x14ac:dyDescent="0.3">
      <c r="A2024" s="17"/>
      <c r="B2024" s="18"/>
      <c r="C2024" s="18"/>
      <c r="D2024" s="18"/>
      <c r="E2024" s="10" t="str">
        <f>IF(B2024="","",IFERROR(INDEX(Harytlar!$C$5:$C$44,MATCH(B2024,Harytlar!$A$5:$A$44,0)),""))</f>
        <v/>
      </c>
      <c r="F2024" s="10" t="str">
        <f t="shared" si="31"/>
        <v/>
      </c>
      <c r="G2024" s="10" t="str">
        <f>IF(OR(C2024="",B2024=""),"",IFERROR(C2024*INDEX(Harytlar!$D$5:$D$44,MATCH(B2024,Harytlar!$A$5:$A$44,0)),""))</f>
        <v/>
      </c>
    </row>
    <row r="2025" spans="1:7" x14ac:dyDescent="0.3">
      <c r="A2025" s="17"/>
      <c r="B2025" s="18"/>
      <c r="C2025" s="18"/>
      <c r="D2025" s="18"/>
      <c r="E2025" s="10" t="str">
        <f>IF(B2025="","",IFERROR(INDEX(Harytlar!$C$5:$C$44,MATCH(B2025,Harytlar!$A$5:$A$44,0)),""))</f>
        <v/>
      </c>
      <c r="F2025" s="10" t="str">
        <f t="shared" si="31"/>
        <v/>
      </c>
      <c r="G2025" s="10" t="str">
        <f>IF(OR(C2025="",B2025=""),"",IFERROR(C2025*INDEX(Harytlar!$D$5:$D$44,MATCH(B2025,Harytlar!$A$5:$A$44,0)),""))</f>
        <v/>
      </c>
    </row>
    <row r="2026" spans="1:7" x14ac:dyDescent="0.3">
      <c r="A2026" s="17"/>
      <c r="B2026" s="18"/>
      <c r="C2026" s="18"/>
      <c r="D2026" s="18"/>
      <c r="E2026" s="10" t="str">
        <f>IF(B2026="","",IFERROR(INDEX(Harytlar!$C$5:$C$44,MATCH(B2026,Harytlar!$A$5:$A$44,0)),""))</f>
        <v/>
      </c>
      <c r="F2026" s="10" t="str">
        <f t="shared" si="31"/>
        <v/>
      </c>
      <c r="G2026" s="10" t="str">
        <f>IF(OR(C2026="",B2026=""),"",IFERROR(C2026*INDEX(Harytlar!$D$5:$D$44,MATCH(B2026,Harytlar!$A$5:$A$44,0)),""))</f>
        <v/>
      </c>
    </row>
    <row r="2027" spans="1:7" x14ac:dyDescent="0.3">
      <c r="A2027" s="17"/>
      <c r="B2027" s="18"/>
      <c r="C2027" s="18"/>
      <c r="D2027" s="18"/>
      <c r="E2027" s="10" t="str">
        <f>IF(B2027="","",IFERROR(INDEX(Harytlar!$C$5:$C$44,MATCH(B2027,Harytlar!$A$5:$A$44,0)),""))</f>
        <v/>
      </c>
      <c r="F2027" s="10" t="str">
        <f t="shared" si="31"/>
        <v/>
      </c>
      <c r="G2027" s="10" t="str">
        <f>IF(OR(C2027="",B2027=""),"",IFERROR(C2027*INDEX(Harytlar!$D$5:$D$44,MATCH(B2027,Harytlar!$A$5:$A$44,0)),""))</f>
        <v/>
      </c>
    </row>
    <row r="2028" spans="1:7" x14ac:dyDescent="0.3">
      <c r="A2028" s="17"/>
      <c r="B2028" s="18"/>
      <c r="C2028" s="18"/>
      <c r="D2028" s="18"/>
      <c r="E2028" s="10" t="str">
        <f>IF(B2028="","",IFERROR(INDEX(Harytlar!$C$5:$C$44,MATCH(B2028,Harytlar!$A$5:$A$44,0)),""))</f>
        <v/>
      </c>
      <c r="F2028" s="10" t="str">
        <f t="shared" si="31"/>
        <v/>
      </c>
      <c r="G2028" s="10" t="str">
        <f>IF(OR(C2028="",B2028=""),"",IFERROR(C2028*INDEX(Harytlar!$D$5:$D$44,MATCH(B2028,Harytlar!$A$5:$A$44,0)),""))</f>
        <v/>
      </c>
    </row>
    <row r="2029" spans="1:7" x14ac:dyDescent="0.3">
      <c r="A2029" s="17"/>
      <c r="B2029" s="18"/>
      <c r="C2029" s="18"/>
      <c r="D2029" s="18"/>
      <c r="E2029" s="10" t="str">
        <f>IF(B2029="","",IFERROR(INDEX(Harytlar!$C$5:$C$44,MATCH(B2029,Harytlar!$A$5:$A$44,0)),""))</f>
        <v/>
      </c>
      <c r="F2029" s="10" t="str">
        <f t="shared" si="31"/>
        <v/>
      </c>
      <c r="G2029" s="10" t="str">
        <f>IF(OR(C2029="",B2029=""),"",IFERROR(C2029*INDEX(Harytlar!$D$5:$D$44,MATCH(B2029,Harytlar!$A$5:$A$44,0)),""))</f>
        <v/>
      </c>
    </row>
    <row r="2030" spans="1:7" x14ac:dyDescent="0.3">
      <c r="A2030" s="17"/>
      <c r="B2030" s="18"/>
      <c r="C2030" s="18"/>
      <c r="D2030" s="18"/>
      <c r="E2030" s="10" t="str">
        <f>IF(B2030="","",IFERROR(INDEX(Harytlar!$C$5:$C$44,MATCH(B2030,Harytlar!$A$5:$A$44,0)),""))</f>
        <v/>
      </c>
      <c r="F2030" s="10" t="str">
        <f t="shared" si="31"/>
        <v/>
      </c>
      <c r="G2030" s="10" t="str">
        <f>IF(OR(C2030="",B2030=""),"",IFERROR(C2030*INDEX(Harytlar!$D$5:$D$44,MATCH(B2030,Harytlar!$A$5:$A$44,0)),""))</f>
        <v/>
      </c>
    </row>
    <row r="2031" spans="1:7" x14ac:dyDescent="0.3">
      <c r="A2031" s="17"/>
      <c r="B2031" s="18"/>
      <c r="C2031" s="18"/>
      <c r="D2031" s="18"/>
      <c r="E2031" s="10" t="str">
        <f>IF(B2031="","",IFERROR(INDEX(Harytlar!$C$5:$C$44,MATCH(B2031,Harytlar!$A$5:$A$44,0)),""))</f>
        <v/>
      </c>
      <c r="F2031" s="10" t="str">
        <f t="shared" si="31"/>
        <v/>
      </c>
      <c r="G2031" s="10" t="str">
        <f>IF(OR(C2031="",B2031=""),"",IFERROR(C2031*INDEX(Harytlar!$D$5:$D$44,MATCH(B2031,Harytlar!$A$5:$A$44,0)),""))</f>
        <v/>
      </c>
    </row>
    <row r="2032" spans="1:7" x14ac:dyDescent="0.3">
      <c r="A2032" s="17"/>
      <c r="B2032" s="18"/>
      <c r="C2032" s="18"/>
      <c r="D2032" s="18"/>
      <c r="E2032" s="10" t="str">
        <f>IF(B2032="","",IFERROR(INDEX(Harytlar!$C$5:$C$44,MATCH(B2032,Harytlar!$A$5:$A$44,0)),""))</f>
        <v/>
      </c>
      <c r="F2032" s="10" t="str">
        <f t="shared" si="31"/>
        <v/>
      </c>
      <c r="G2032" s="10" t="str">
        <f>IF(OR(C2032="",B2032=""),"",IFERROR(C2032*INDEX(Harytlar!$D$5:$D$44,MATCH(B2032,Harytlar!$A$5:$A$44,0)),""))</f>
        <v/>
      </c>
    </row>
    <row r="2033" spans="1:7" x14ac:dyDescent="0.3">
      <c r="A2033" s="17"/>
      <c r="B2033" s="18"/>
      <c r="C2033" s="18"/>
      <c r="D2033" s="18"/>
      <c r="E2033" s="10" t="str">
        <f>IF(B2033="","",IFERROR(INDEX(Harytlar!$C$5:$C$44,MATCH(B2033,Harytlar!$A$5:$A$44,0)),""))</f>
        <v/>
      </c>
      <c r="F2033" s="10" t="str">
        <f t="shared" si="31"/>
        <v/>
      </c>
      <c r="G2033" s="10" t="str">
        <f>IF(OR(C2033="",B2033=""),"",IFERROR(C2033*INDEX(Harytlar!$D$5:$D$44,MATCH(B2033,Harytlar!$A$5:$A$44,0)),""))</f>
        <v/>
      </c>
    </row>
    <row r="2034" spans="1:7" x14ac:dyDescent="0.3">
      <c r="A2034" s="17"/>
      <c r="B2034" s="18"/>
      <c r="C2034" s="18"/>
      <c r="D2034" s="18"/>
      <c r="E2034" s="10" t="str">
        <f>IF(B2034="","",IFERROR(INDEX(Harytlar!$C$5:$C$44,MATCH(B2034,Harytlar!$A$5:$A$44,0)),""))</f>
        <v/>
      </c>
      <c r="F2034" s="10" t="str">
        <f t="shared" si="31"/>
        <v/>
      </c>
      <c r="G2034" s="10" t="str">
        <f>IF(OR(C2034="",B2034=""),"",IFERROR(C2034*INDEX(Harytlar!$D$5:$D$44,MATCH(B2034,Harytlar!$A$5:$A$44,0)),""))</f>
        <v/>
      </c>
    </row>
    <row r="2035" spans="1:7" x14ac:dyDescent="0.3">
      <c r="A2035" s="17"/>
      <c r="B2035" s="18"/>
      <c r="C2035" s="18"/>
      <c r="D2035" s="18"/>
      <c r="E2035" s="10" t="str">
        <f>IF(B2035="","",IFERROR(INDEX(Harytlar!$C$5:$C$44,MATCH(B2035,Harytlar!$A$5:$A$44,0)),""))</f>
        <v/>
      </c>
      <c r="F2035" s="10" t="str">
        <f t="shared" si="31"/>
        <v/>
      </c>
      <c r="G2035" s="10" t="str">
        <f>IF(OR(C2035="",B2035=""),"",IFERROR(C2035*INDEX(Harytlar!$D$5:$D$44,MATCH(B2035,Harytlar!$A$5:$A$44,0)),""))</f>
        <v/>
      </c>
    </row>
    <row r="2036" spans="1:7" x14ac:dyDescent="0.3">
      <c r="A2036" s="17"/>
      <c r="B2036" s="18"/>
      <c r="C2036" s="18"/>
      <c r="D2036" s="18"/>
      <c r="E2036" s="10" t="str">
        <f>IF(B2036="","",IFERROR(INDEX(Harytlar!$C$5:$C$44,MATCH(B2036,Harytlar!$A$5:$A$44,0)),""))</f>
        <v/>
      </c>
      <c r="F2036" s="10" t="str">
        <f t="shared" si="31"/>
        <v/>
      </c>
      <c r="G2036" s="10" t="str">
        <f>IF(OR(C2036="",B2036=""),"",IFERROR(C2036*INDEX(Harytlar!$D$5:$D$44,MATCH(B2036,Harytlar!$A$5:$A$44,0)),""))</f>
        <v/>
      </c>
    </row>
    <row r="2037" spans="1:7" x14ac:dyDescent="0.3">
      <c r="A2037" s="17"/>
      <c r="B2037" s="18"/>
      <c r="C2037" s="18"/>
      <c r="D2037" s="18"/>
      <c r="E2037" s="10" t="str">
        <f>IF(B2037="","",IFERROR(INDEX(Harytlar!$C$5:$C$44,MATCH(B2037,Harytlar!$A$5:$A$44,0)),""))</f>
        <v/>
      </c>
      <c r="F2037" s="10" t="str">
        <f t="shared" si="31"/>
        <v/>
      </c>
      <c r="G2037" s="10" t="str">
        <f>IF(OR(C2037="",B2037=""),"",IFERROR(C2037*INDEX(Harytlar!$D$5:$D$44,MATCH(B2037,Harytlar!$A$5:$A$44,0)),""))</f>
        <v/>
      </c>
    </row>
    <row r="2038" spans="1:7" x14ac:dyDescent="0.3">
      <c r="A2038" s="17"/>
      <c r="B2038" s="18"/>
      <c r="C2038" s="18"/>
      <c r="D2038" s="18"/>
      <c r="E2038" s="10" t="str">
        <f>IF(B2038="","",IFERROR(INDEX(Harytlar!$C$5:$C$44,MATCH(B2038,Harytlar!$A$5:$A$44,0)),""))</f>
        <v/>
      </c>
      <c r="F2038" s="10" t="str">
        <f t="shared" si="31"/>
        <v/>
      </c>
      <c r="G2038" s="10" t="str">
        <f>IF(OR(C2038="",B2038=""),"",IFERROR(C2038*INDEX(Harytlar!$D$5:$D$44,MATCH(B2038,Harytlar!$A$5:$A$44,0)),""))</f>
        <v/>
      </c>
    </row>
    <row r="2039" spans="1:7" x14ac:dyDescent="0.3">
      <c r="A2039" s="17"/>
      <c r="B2039" s="18"/>
      <c r="C2039" s="18"/>
      <c r="D2039" s="18"/>
      <c r="E2039" s="10" t="str">
        <f>IF(B2039="","",IFERROR(INDEX(Harytlar!$C$5:$C$44,MATCH(B2039,Harytlar!$A$5:$A$44,0)),""))</f>
        <v/>
      </c>
      <c r="F2039" s="10" t="str">
        <f t="shared" si="31"/>
        <v/>
      </c>
      <c r="G2039" s="10" t="str">
        <f>IF(OR(C2039="",B2039=""),"",IFERROR(C2039*INDEX(Harytlar!$D$5:$D$44,MATCH(B2039,Harytlar!$A$5:$A$44,0)),""))</f>
        <v/>
      </c>
    </row>
    <row r="2040" spans="1:7" x14ac:dyDescent="0.3">
      <c r="A2040" s="17"/>
      <c r="B2040" s="18"/>
      <c r="C2040" s="18"/>
      <c r="D2040" s="18"/>
      <c r="E2040" s="10" t="str">
        <f>IF(B2040="","",IFERROR(INDEX(Harytlar!$C$5:$C$44,MATCH(B2040,Harytlar!$A$5:$A$44,0)),""))</f>
        <v/>
      </c>
      <c r="F2040" s="10" t="str">
        <f t="shared" si="31"/>
        <v/>
      </c>
      <c r="G2040" s="10" t="str">
        <f>IF(OR(C2040="",B2040=""),"",IFERROR(C2040*INDEX(Harytlar!$D$5:$D$44,MATCH(B2040,Harytlar!$A$5:$A$44,0)),""))</f>
        <v/>
      </c>
    </row>
    <row r="2041" spans="1:7" x14ac:dyDescent="0.3">
      <c r="A2041" s="17"/>
      <c r="B2041" s="18"/>
      <c r="C2041" s="18"/>
      <c r="D2041" s="18"/>
      <c r="E2041" s="10" t="str">
        <f>IF(B2041="","",IFERROR(INDEX(Harytlar!$C$5:$C$44,MATCH(B2041,Harytlar!$A$5:$A$44,0)),""))</f>
        <v/>
      </c>
      <c r="F2041" s="10" t="str">
        <f t="shared" si="31"/>
        <v/>
      </c>
      <c r="G2041" s="10" t="str">
        <f>IF(OR(C2041="",B2041=""),"",IFERROR(C2041*INDEX(Harytlar!$D$5:$D$44,MATCH(B2041,Harytlar!$A$5:$A$44,0)),""))</f>
        <v/>
      </c>
    </row>
    <row r="2042" spans="1:7" x14ac:dyDescent="0.3">
      <c r="A2042" s="17"/>
      <c r="B2042" s="18"/>
      <c r="C2042" s="18"/>
      <c r="D2042" s="18"/>
      <c r="E2042" s="10" t="str">
        <f>IF(B2042="","",IFERROR(INDEX(Harytlar!$C$5:$C$44,MATCH(B2042,Harytlar!$A$5:$A$44,0)),""))</f>
        <v/>
      </c>
      <c r="F2042" s="10" t="str">
        <f t="shared" si="31"/>
        <v/>
      </c>
      <c r="G2042" s="10" t="str">
        <f>IF(OR(C2042="",B2042=""),"",IFERROR(C2042*INDEX(Harytlar!$D$5:$D$44,MATCH(B2042,Harytlar!$A$5:$A$44,0)),""))</f>
        <v/>
      </c>
    </row>
    <row r="2043" spans="1:7" x14ac:dyDescent="0.3">
      <c r="A2043" s="17"/>
      <c r="B2043" s="18"/>
      <c r="C2043" s="18"/>
      <c r="D2043" s="18"/>
      <c r="E2043" s="10" t="str">
        <f>IF(B2043="","",IFERROR(INDEX(Harytlar!$C$5:$C$44,MATCH(B2043,Harytlar!$A$5:$A$44,0)),""))</f>
        <v/>
      </c>
      <c r="F2043" s="10" t="str">
        <f t="shared" si="31"/>
        <v/>
      </c>
      <c r="G2043" s="10" t="str">
        <f>IF(OR(C2043="",B2043=""),"",IFERROR(C2043*INDEX(Harytlar!$D$5:$D$44,MATCH(B2043,Harytlar!$A$5:$A$44,0)),""))</f>
        <v/>
      </c>
    </row>
    <row r="2044" spans="1:7" x14ac:dyDescent="0.3">
      <c r="A2044" s="17"/>
      <c r="B2044" s="18"/>
      <c r="C2044" s="18"/>
      <c r="D2044" s="18"/>
      <c r="E2044" s="10" t="str">
        <f>IF(B2044="","",IFERROR(INDEX(Harytlar!$C$5:$C$44,MATCH(B2044,Harytlar!$A$5:$A$44,0)),""))</f>
        <v/>
      </c>
      <c r="F2044" s="10" t="str">
        <f t="shared" si="31"/>
        <v/>
      </c>
      <c r="G2044" s="10" t="str">
        <f>IF(OR(C2044="",B2044=""),"",IFERROR(C2044*INDEX(Harytlar!$D$5:$D$44,MATCH(B2044,Harytlar!$A$5:$A$44,0)),""))</f>
        <v/>
      </c>
    </row>
    <row r="2045" spans="1:7" x14ac:dyDescent="0.3">
      <c r="A2045" s="17"/>
      <c r="B2045" s="18"/>
      <c r="C2045" s="18"/>
      <c r="D2045" s="18"/>
      <c r="E2045" s="10" t="str">
        <f>IF(B2045="","",IFERROR(INDEX(Harytlar!$C$5:$C$44,MATCH(B2045,Harytlar!$A$5:$A$44,0)),""))</f>
        <v/>
      </c>
      <c r="F2045" s="10" t="str">
        <f t="shared" si="31"/>
        <v/>
      </c>
      <c r="G2045" s="10" t="str">
        <f>IF(OR(C2045="",B2045=""),"",IFERROR(C2045*INDEX(Harytlar!$D$5:$D$44,MATCH(B2045,Harytlar!$A$5:$A$44,0)),""))</f>
        <v/>
      </c>
    </row>
    <row r="2046" spans="1:7" x14ac:dyDescent="0.3">
      <c r="A2046" s="17"/>
      <c r="B2046" s="18"/>
      <c r="C2046" s="18"/>
      <c r="D2046" s="18"/>
      <c r="E2046" s="10" t="str">
        <f>IF(B2046="","",IFERROR(INDEX(Harytlar!$C$5:$C$44,MATCH(B2046,Harytlar!$A$5:$A$44,0)),""))</f>
        <v/>
      </c>
      <c r="F2046" s="10" t="str">
        <f t="shared" si="31"/>
        <v/>
      </c>
      <c r="G2046" s="10" t="str">
        <f>IF(OR(C2046="",B2046=""),"",IFERROR(C2046*INDEX(Harytlar!$D$5:$D$44,MATCH(B2046,Harytlar!$A$5:$A$44,0)),""))</f>
        <v/>
      </c>
    </row>
    <row r="2047" spans="1:7" x14ac:dyDescent="0.3">
      <c r="A2047" s="17"/>
      <c r="B2047" s="18"/>
      <c r="C2047" s="18"/>
      <c r="D2047" s="18"/>
      <c r="E2047" s="10" t="str">
        <f>IF(B2047="","",IFERROR(INDEX(Harytlar!$C$5:$C$44,MATCH(B2047,Harytlar!$A$5:$A$44,0)),""))</f>
        <v/>
      </c>
      <c r="F2047" s="10" t="str">
        <f t="shared" si="31"/>
        <v/>
      </c>
      <c r="G2047" s="10" t="str">
        <f>IF(OR(C2047="",B2047=""),"",IFERROR(C2047*INDEX(Harytlar!$D$5:$D$44,MATCH(B2047,Harytlar!$A$5:$A$44,0)),""))</f>
        <v/>
      </c>
    </row>
    <row r="2048" spans="1:7" x14ac:dyDescent="0.3">
      <c r="A2048" s="17"/>
      <c r="B2048" s="18"/>
      <c r="C2048" s="18"/>
      <c r="D2048" s="18"/>
      <c r="E2048" s="10" t="str">
        <f>IF(B2048="","",IFERROR(INDEX(Harytlar!$C$5:$C$44,MATCH(B2048,Harytlar!$A$5:$A$44,0)),""))</f>
        <v/>
      </c>
      <c r="F2048" s="10" t="str">
        <f t="shared" si="31"/>
        <v/>
      </c>
      <c r="G2048" s="10" t="str">
        <f>IF(OR(C2048="",B2048=""),"",IFERROR(C2048*INDEX(Harytlar!$D$5:$D$44,MATCH(B2048,Harytlar!$A$5:$A$44,0)),""))</f>
        <v/>
      </c>
    </row>
    <row r="2049" spans="1:7" x14ac:dyDescent="0.3">
      <c r="A2049" s="17"/>
      <c r="B2049" s="18"/>
      <c r="C2049" s="18"/>
      <c r="D2049" s="18"/>
      <c r="E2049" s="10" t="str">
        <f>IF(B2049="","",IFERROR(INDEX(Harytlar!$C$5:$C$44,MATCH(B2049,Harytlar!$A$5:$A$44,0)),""))</f>
        <v/>
      </c>
      <c r="F2049" s="10" t="str">
        <f t="shared" si="31"/>
        <v/>
      </c>
      <c r="G2049" s="10" t="str">
        <f>IF(OR(C2049="",B2049=""),"",IFERROR(C2049*INDEX(Harytlar!$D$5:$D$44,MATCH(B2049,Harytlar!$A$5:$A$44,0)),""))</f>
        <v/>
      </c>
    </row>
    <row r="2050" spans="1:7" x14ac:dyDescent="0.3">
      <c r="A2050" s="17"/>
      <c r="B2050" s="18"/>
      <c r="C2050" s="18"/>
      <c r="D2050" s="18"/>
      <c r="E2050" s="10" t="str">
        <f>IF(B2050="","",IFERROR(INDEX(Harytlar!$C$5:$C$44,MATCH(B2050,Harytlar!$A$5:$A$44,0)),""))</f>
        <v/>
      </c>
      <c r="F2050" s="10" t="str">
        <f t="shared" si="31"/>
        <v/>
      </c>
      <c r="G2050" s="10" t="str">
        <f>IF(OR(C2050="",B2050=""),"",IFERROR(C2050*INDEX(Harytlar!$D$5:$D$44,MATCH(B2050,Harytlar!$A$5:$A$44,0)),""))</f>
        <v/>
      </c>
    </row>
    <row r="2051" spans="1:7" x14ac:dyDescent="0.3">
      <c r="A2051" s="17"/>
      <c r="B2051" s="18"/>
      <c r="C2051" s="18"/>
      <c r="D2051" s="18"/>
      <c r="E2051" s="10" t="str">
        <f>IF(B2051="","",IFERROR(INDEX(Harytlar!$C$5:$C$44,MATCH(B2051,Harytlar!$A$5:$A$44,0)),""))</f>
        <v/>
      </c>
      <c r="F2051" s="10" t="str">
        <f t="shared" si="31"/>
        <v/>
      </c>
      <c r="G2051" s="10" t="str">
        <f>IF(OR(C2051="",B2051=""),"",IFERROR(C2051*INDEX(Harytlar!$D$5:$D$44,MATCH(B2051,Harytlar!$A$5:$A$44,0)),""))</f>
        <v/>
      </c>
    </row>
    <row r="2052" spans="1:7" x14ac:dyDescent="0.3">
      <c r="A2052" s="17"/>
      <c r="B2052" s="18"/>
      <c r="C2052" s="18"/>
      <c r="D2052" s="18"/>
      <c r="E2052" s="10" t="str">
        <f>IF(B2052="","",IFERROR(INDEX(Harytlar!$C$5:$C$44,MATCH(B2052,Harytlar!$A$5:$A$44,0)),""))</f>
        <v/>
      </c>
      <c r="F2052" s="10" t="str">
        <f t="shared" si="31"/>
        <v/>
      </c>
      <c r="G2052" s="10" t="str">
        <f>IF(OR(C2052="",B2052=""),"",IFERROR(C2052*INDEX(Harytlar!$D$5:$D$44,MATCH(B2052,Harytlar!$A$5:$A$44,0)),""))</f>
        <v/>
      </c>
    </row>
    <row r="2053" spans="1:7" x14ac:dyDescent="0.3">
      <c r="A2053" s="17"/>
      <c r="B2053" s="18"/>
      <c r="C2053" s="18"/>
      <c r="D2053" s="18"/>
      <c r="E2053" s="10" t="str">
        <f>IF(B2053="","",IFERROR(INDEX(Harytlar!$C$5:$C$44,MATCH(B2053,Harytlar!$A$5:$A$44,0)),""))</f>
        <v/>
      </c>
      <c r="F2053" s="10" t="str">
        <f t="shared" si="31"/>
        <v/>
      </c>
      <c r="G2053" s="10" t="str">
        <f>IF(OR(C2053="",B2053=""),"",IFERROR(C2053*INDEX(Harytlar!$D$5:$D$44,MATCH(B2053,Harytlar!$A$5:$A$44,0)),""))</f>
        <v/>
      </c>
    </row>
    <row r="2054" spans="1:7" x14ac:dyDescent="0.3">
      <c r="A2054" s="17"/>
      <c r="B2054" s="18"/>
      <c r="C2054" s="18"/>
      <c r="D2054" s="18"/>
      <c r="E2054" s="10" t="str">
        <f>IF(B2054="","",IFERROR(INDEX(Harytlar!$C$5:$C$44,MATCH(B2054,Harytlar!$A$5:$A$44,0)),""))</f>
        <v/>
      </c>
      <c r="F2054" s="10" t="str">
        <f t="shared" ref="F2054:F2117" si="32">IF(OR(C2054="",E2054=""),"",C2054*E2054)</f>
        <v/>
      </c>
      <c r="G2054" s="10" t="str">
        <f>IF(OR(C2054="",B2054=""),"",IFERROR(C2054*INDEX(Harytlar!$D$5:$D$44,MATCH(B2054,Harytlar!$A$5:$A$44,0)),""))</f>
        <v/>
      </c>
    </row>
    <row r="2055" spans="1:7" x14ac:dyDescent="0.3">
      <c r="A2055" s="17"/>
      <c r="B2055" s="18"/>
      <c r="C2055" s="18"/>
      <c r="D2055" s="18"/>
      <c r="E2055" s="10" t="str">
        <f>IF(B2055="","",IFERROR(INDEX(Harytlar!$C$5:$C$44,MATCH(B2055,Harytlar!$A$5:$A$44,0)),""))</f>
        <v/>
      </c>
      <c r="F2055" s="10" t="str">
        <f t="shared" si="32"/>
        <v/>
      </c>
      <c r="G2055" s="10" t="str">
        <f>IF(OR(C2055="",B2055=""),"",IFERROR(C2055*INDEX(Harytlar!$D$5:$D$44,MATCH(B2055,Harytlar!$A$5:$A$44,0)),""))</f>
        <v/>
      </c>
    </row>
    <row r="2056" spans="1:7" x14ac:dyDescent="0.3">
      <c r="A2056" s="17"/>
      <c r="B2056" s="18"/>
      <c r="C2056" s="18"/>
      <c r="D2056" s="18"/>
      <c r="E2056" s="10" t="str">
        <f>IF(B2056="","",IFERROR(INDEX(Harytlar!$C$5:$C$44,MATCH(B2056,Harytlar!$A$5:$A$44,0)),""))</f>
        <v/>
      </c>
      <c r="F2056" s="10" t="str">
        <f t="shared" si="32"/>
        <v/>
      </c>
      <c r="G2056" s="10" t="str">
        <f>IF(OR(C2056="",B2056=""),"",IFERROR(C2056*INDEX(Harytlar!$D$5:$D$44,MATCH(B2056,Harytlar!$A$5:$A$44,0)),""))</f>
        <v/>
      </c>
    </row>
    <row r="2057" spans="1:7" x14ac:dyDescent="0.3">
      <c r="A2057" s="17"/>
      <c r="B2057" s="18"/>
      <c r="C2057" s="18"/>
      <c r="D2057" s="18"/>
      <c r="E2057" s="10" t="str">
        <f>IF(B2057="","",IFERROR(INDEX(Harytlar!$C$5:$C$44,MATCH(B2057,Harytlar!$A$5:$A$44,0)),""))</f>
        <v/>
      </c>
      <c r="F2057" s="10" t="str">
        <f t="shared" si="32"/>
        <v/>
      </c>
      <c r="G2057" s="10" t="str">
        <f>IF(OR(C2057="",B2057=""),"",IFERROR(C2057*INDEX(Harytlar!$D$5:$D$44,MATCH(B2057,Harytlar!$A$5:$A$44,0)),""))</f>
        <v/>
      </c>
    </row>
    <row r="2058" spans="1:7" x14ac:dyDescent="0.3">
      <c r="A2058" s="17"/>
      <c r="B2058" s="18"/>
      <c r="C2058" s="18"/>
      <c r="D2058" s="18"/>
      <c r="E2058" s="10" t="str">
        <f>IF(B2058="","",IFERROR(INDEX(Harytlar!$C$5:$C$44,MATCH(B2058,Harytlar!$A$5:$A$44,0)),""))</f>
        <v/>
      </c>
      <c r="F2058" s="10" t="str">
        <f t="shared" si="32"/>
        <v/>
      </c>
      <c r="G2058" s="10" t="str">
        <f>IF(OR(C2058="",B2058=""),"",IFERROR(C2058*INDEX(Harytlar!$D$5:$D$44,MATCH(B2058,Harytlar!$A$5:$A$44,0)),""))</f>
        <v/>
      </c>
    </row>
    <row r="2059" spans="1:7" x14ac:dyDescent="0.3">
      <c r="A2059" s="17"/>
      <c r="B2059" s="18"/>
      <c r="C2059" s="18"/>
      <c r="D2059" s="18"/>
      <c r="E2059" s="10" t="str">
        <f>IF(B2059="","",IFERROR(INDEX(Harytlar!$C$5:$C$44,MATCH(B2059,Harytlar!$A$5:$A$44,0)),""))</f>
        <v/>
      </c>
      <c r="F2059" s="10" t="str">
        <f t="shared" si="32"/>
        <v/>
      </c>
      <c r="G2059" s="10" t="str">
        <f>IF(OR(C2059="",B2059=""),"",IFERROR(C2059*INDEX(Harytlar!$D$5:$D$44,MATCH(B2059,Harytlar!$A$5:$A$44,0)),""))</f>
        <v/>
      </c>
    </row>
    <row r="2060" spans="1:7" x14ac:dyDescent="0.3">
      <c r="A2060" s="17"/>
      <c r="B2060" s="18"/>
      <c r="C2060" s="18"/>
      <c r="D2060" s="18"/>
      <c r="E2060" s="10" t="str">
        <f>IF(B2060="","",IFERROR(INDEX(Harytlar!$C$5:$C$44,MATCH(B2060,Harytlar!$A$5:$A$44,0)),""))</f>
        <v/>
      </c>
      <c r="F2060" s="10" t="str">
        <f t="shared" si="32"/>
        <v/>
      </c>
      <c r="G2060" s="10" t="str">
        <f>IF(OR(C2060="",B2060=""),"",IFERROR(C2060*INDEX(Harytlar!$D$5:$D$44,MATCH(B2060,Harytlar!$A$5:$A$44,0)),""))</f>
        <v/>
      </c>
    </row>
    <row r="2061" spans="1:7" x14ac:dyDescent="0.3">
      <c r="A2061" s="17"/>
      <c r="B2061" s="18"/>
      <c r="C2061" s="18"/>
      <c r="D2061" s="18"/>
      <c r="E2061" s="10" t="str">
        <f>IF(B2061="","",IFERROR(INDEX(Harytlar!$C$5:$C$44,MATCH(B2061,Harytlar!$A$5:$A$44,0)),""))</f>
        <v/>
      </c>
      <c r="F2061" s="10" t="str">
        <f t="shared" si="32"/>
        <v/>
      </c>
      <c r="G2061" s="10" t="str">
        <f>IF(OR(C2061="",B2061=""),"",IFERROR(C2061*INDEX(Harytlar!$D$5:$D$44,MATCH(B2061,Harytlar!$A$5:$A$44,0)),""))</f>
        <v/>
      </c>
    </row>
    <row r="2062" spans="1:7" x14ac:dyDescent="0.3">
      <c r="A2062" s="17"/>
      <c r="B2062" s="18"/>
      <c r="C2062" s="18"/>
      <c r="D2062" s="18"/>
      <c r="E2062" s="10" t="str">
        <f>IF(B2062="","",IFERROR(INDEX(Harytlar!$C$5:$C$44,MATCH(B2062,Harytlar!$A$5:$A$44,0)),""))</f>
        <v/>
      </c>
      <c r="F2062" s="10" t="str">
        <f t="shared" si="32"/>
        <v/>
      </c>
      <c r="G2062" s="10" t="str">
        <f>IF(OR(C2062="",B2062=""),"",IFERROR(C2062*INDEX(Harytlar!$D$5:$D$44,MATCH(B2062,Harytlar!$A$5:$A$44,0)),""))</f>
        <v/>
      </c>
    </row>
    <row r="2063" spans="1:7" x14ac:dyDescent="0.3">
      <c r="A2063" s="17"/>
      <c r="B2063" s="18"/>
      <c r="C2063" s="18"/>
      <c r="D2063" s="18"/>
      <c r="E2063" s="10" t="str">
        <f>IF(B2063="","",IFERROR(INDEX(Harytlar!$C$5:$C$44,MATCH(B2063,Harytlar!$A$5:$A$44,0)),""))</f>
        <v/>
      </c>
      <c r="F2063" s="10" t="str">
        <f t="shared" si="32"/>
        <v/>
      </c>
      <c r="G2063" s="10" t="str">
        <f>IF(OR(C2063="",B2063=""),"",IFERROR(C2063*INDEX(Harytlar!$D$5:$D$44,MATCH(B2063,Harytlar!$A$5:$A$44,0)),""))</f>
        <v/>
      </c>
    </row>
    <row r="2064" spans="1:7" x14ac:dyDescent="0.3">
      <c r="A2064" s="17"/>
      <c r="B2064" s="18"/>
      <c r="C2064" s="18"/>
      <c r="D2064" s="18"/>
      <c r="E2064" s="10" t="str">
        <f>IF(B2064="","",IFERROR(INDEX(Harytlar!$C$5:$C$44,MATCH(B2064,Harytlar!$A$5:$A$44,0)),""))</f>
        <v/>
      </c>
      <c r="F2064" s="10" t="str">
        <f t="shared" si="32"/>
        <v/>
      </c>
      <c r="G2064" s="10" t="str">
        <f>IF(OR(C2064="",B2064=""),"",IFERROR(C2064*INDEX(Harytlar!$D$5:$D$44,MATCH(B2064,Harytlar!$A$5:$A$44,0)),""))</f>
        <v/>
      </c>
    </row>
    <row r="2065" spans="1:7" x14ac:dyDescent="0.3">
      <c r="A2065" s="17"/>
      <c r="B2065" s="18"/>
      <c r="C2065" s="18"/>
      <c r="D2065" s="18"/>
      <c r="E2065" s="10" t="str">
        <f>IF(B2065="","",IFERROR(INDEX(Harytlar!$C$5:$C$44,MATCH(B2065,Harytlar!$A$5:$A$44,0)),""))</f>
        <v/>
      </c>
      <c r="F2065" s="10" t="str">
        <f t="shared" si="32"/>
        <v/>
      </c>
      <c r="G2065" s="10" t="str">
        <f>IF(OR(C2065="",B2065=""),"",IFERROR(C2065*INDEX(Harytlar!$D$5:$D$44,MATCH(B2065,Harytlar!$A$5:$A$44,0)),""))</f>
        <v/>
      </c>
    </row>
    <row r="2066" spans="1:7" x14ac:dyDescent="0.3">
      <c r="A2066" s="17"/>
      <c r="B2066" s="18"/>
      <c r="C2066" s="18"/>
      <c r="D2066" s="18"/>
      <c r="E2066" s="10" t="str">
        <f>IF(B2066="","",IFERROR(INDEX(Harytlar!$C$5:$C$44,MATCH(B2066,Harytlar!$A$5:$A$44,0)),""))</f>
        <v/>
      </c>
      <c r="F2066" s="10" t="str">
        <f t="shared" si="32"/>
        <v/>
      </c>
      <c r="G2066" s="10" t="str">
        <f>IF(OR(C2066="",B2066=""),"",IFERROR(C2066*INDEX(Harytlar!$D$5:$D$44,MATCH(B2066,Harytlar!$A$5:$A$44,0)),""))</f>
        <v/>
      </c>
    </row>
    <row r="2067" spans="1:7" x14ac:dyDescent="0.3">
      <c r="A2067" s="17"/>
      <c r="B2067" s="18"/>
      <c r="C2067" s="18"/>
      <c r="D2067" s="18"/>
      <c r="E2067" s="10" t="str">
        <f>IF(B2067="","",IFERROR(INDEX(Harytlar!$C$5:$C$44,MATCH(B2067,Harytlar!$A$5:$A$44,0)),""))</f>
        <v/>
      </c>
      <c r="F2067" s="10" t="str">
        <f t="shared" si="32"/>
        <v/>
      </c>
      <c r="G2067" s="10" t="str">
        <f>IF(OR(C2067="",B2067=""),"",IFERROR(C2067*INDEX(Harytlar!$D$5:$D$44,MATCH(B2067,Harytlar!$A$5:$A$44,0)),""))</f>
        <v/>
      </c>
    </row>
    <row r="2068" spans="1:7" x14ac:dyDescent="0.3">
      <c r="A2068" s="17"/>
      <c r="B2068" s="18"/>
      <c r="C2068" s="18"/>
      <c r="D2068" s="18"/>
      <c r="E2068" s="10" t="str">
        <f>IF(B2068="","",IFERROR(INDEX(Harytlar!$C$5:$C$44,MATCH(B2068,Harytlar!$A$5:$A$44,0)),""))</f>
        <v/>
      </c>
      <c r="F2068" s="10" t="str">
        <f t="shared" si="32"/>
        <v/>
      </c>
      <c r="G2068" s="10" t="str">
        <f>IF(OR(C2068="",B2068=""),"",IFERROR(C2068*INDEX(Harytlar!$D$5:$D$44,MATCH(B2068,Harytlar!$A$5:$A$44,0)),""))</f>
        <v/>
      </c>
    </row>
    <row r="2069" spans="1:7" x14ac:dyDescent="0.3">
      <c r="A2069" s="17"/>
      <c r="B2069" s="18"/>
      <c r="C2069" s="18"/>
      <c r="D2069" s="18"/>
      <c r="E2069" s="10" t="str">
        <f>IF(B2069="","",IFERROR(INDEX(Harytlar!$C$5:$C$44,MATCH(B2069,Harytlar!$A$5:$A$44,0)),""))</f>
        <v/>
      </c>
      <c r="F2069" s="10" t="str">
        <f t="shared" si="32"/>
        <v/>
      </c>
      <c r="G2069" s="10" t="str">
        <f>IF(OR(C2069="",B2069=""),"",IFERROR(C2069*INDEX(Harytlar!$D$5:$D$44,MATCH(B2069,Harytlar!$A$5:$A$44,0)),""))</f>
        <v/>
      </c>
    </row>
    <row r="2070" spans="1:7" x14ac:dyDescent="0.3">
      <c r="A2070" s="17"/>
      <c r="B2070" s="18"/>
      <c r="C2070" s="18"/>
      <c r="D2070" s="18"/>
      <c r="E2070" s="10" t="str">
        <f>IF(B2070="","",IFERROR(INDEX(Harytlar!$C$5:$C$44,MATCH(B2070,Harytlar!$A$5:$A$44,0)),""))</f>
        <v/>
      </c>
      <c r="F2070" s="10" t="str">
        <f t="shared" si="32"/>
        <v/>
      </c>
      <c r="G2070" s="10" t="str">
        <f>IF(OR(C2070="",B2070=""),"",IFERROR(C2070*INDEX(Harytlar!$D$5:$D$44,MATCH(B2070,Harytlar!$A$5:$A$44,0)),""))</f>
        <v/>
      </c>
    </row>
    <row r="2071" spans="1:7" x14ac:dyDescent="0.3">
      <c r="A2071" s="17"/>
      <c r="B2071" s="18"/>
      <c r="C2071" s="18"/>
      <c r="D2071" s="18"/>
      <c r="E2071" s="10" t="str">
        <f>IF(B2071="","",IFERROR(INDEX(Harytlar!$C$5:$C$44,MATCH(B2071,Harytlar!$A$5:$A$44,0)),""))</f>
        <v/>
      </c>
      <c r="F2071" s="10" t="str">
        <f t="shared" si="32"/>
        <v/>
      </c>
      <c r="G2071" s="10" t="str">
        <f>IF(OR(C2071="",B2071=""),"",IFERROR(C2071*INDEX(Harytlar!$D$5:$D$44,MATCH(B2071,Harytlar!$A$5:$A$44,0)),""))</f>
        <v/>
      </c>
    </row>
    <row r="2072" spans="1:7" x14ac:dyDescent="0.3">
      <c r="A2072" s="17"/>
      <c r="B2072" s="18"/>
      <c r="C2072" s="18"/>
      <c r="D2072" s="18"/>
      <c r="E2072" s="10" t="str">
        <f>IF(B2072="","",IFERROR(INDEX(Harytlar!$C$5:$C$44,MATCH(B2072,Harytlar!$A$5:$A$44,0)),""))</f>
        <v/>
      </c>
      <c r="F2072" s="10" t="str">
        <f t="shared" si="32"/>
        <v/>
      </c>
      <c r="G2072" s="10" t="str">
        <f>IF(OR(C2072="",B2072=""),"",IFERROR(C2072*INDEX(Harytlar!$D$5:$D$44,MATCH(B2072,Harytlar!$A$5:$A$44,0)),""))</f>
        <v/>
      </c>
    </row>
    <row r="2073" spans="1:7" x14ac:dyDescent="0.3">
      <c r="A2073" s="17"/>
      <c r="B2073" s="18"/>
      <c r="C2073" s="18"/>
      <c r="D2073" s="18"/>
      <c r="E2073" s="10" t="str">
        <f>IF(B2073="","",IFERROR(INDEX(Harytlar!$C$5:$C$44,MATCH(B2073,Harytlar!$A$5:$A$44,0)),""))</f>
        <v/>
      </c>
      <c r="F2073" s="10" t="str">
        <f t="shared" si="32"/>
        <v/>
      </c>
      <c r="G2073" s="10" t="str">
        <f>IF(OR(C2073="",B2073=""),"",IFERROR(C2073*INDEX(Harytlar!$D$5:$D$44,MATCH(B2073,Harytlar!$A$5:$A$44,0)),""))</f>
        <v/>
      </c>
    </row>
    <row r="2074" spans="1:7" x14ac:dyDescent="0.3">
      <c r="A2074" s="17"/>
      <c r="B2074" s="18"/>
      <c r="C2074" s="18"/>
      <c r="D2074" s="18"/>
      <c r="E2074" s="10" t="str">
        <f>IF(B2074="","",IFERROR(INDEX(Harytlar!$C$5:$C$44,MATCH(B2074,Harytlar!$A$5:$A$44,0)),""))</f>
        <v/>
      </c>
      <c r="F2074" s="10" t="str">
        <f t="shared" si="32"/>
        <v/>
      </c>
      <c r="G2074" s="10" t="str">
        <f>IF(OR(C2074="",B2074=""),"",IFERROR(C2074*INDEX(Harytlar!$D$5:$D$44,MATCH(B2074,Harytlar!$A$5:$A$44,0)),""))</f>
        <v/>
      </c>
    </row>
    <row r="2075" spans="1:7" x14ac:dyDescent="0.3">
      <c r="A2075" s="17"/>
      <c r="B2075" s="18"/>
      <c r="C2075" s="18"/>
      <c r="D2075" s="18"/>
      <c r="E2075" s="10" t="str">
        <f>IF(B2075="","",IFERROR(INDEX(Harytlar!$C$5:$C$44,MATCH(B2075,Harytlar!$A$5:$A$44,0)),""))</f>
        <v/>
      </c>
      <c r="F2075" s="10" t="str">
        <f t="shared" si="32"/>
        <v/>
      </c>
      <c r="G2075" s="10" t="str">
        <f>IF(OR(C2075="",B2075=""),"",IFERROR(C2075*INDEX(Harytlar!$D$5:$D$44,MATCH(B2075,Harytlar!$A$5:$A$44,0)),""))</f>
        <v/>
      </c>
    </row>
    <row r="2076" spans="1:7" x14ac:dyDescent="0.3">
      <c r="A2076" s="17"/>
      <c r="B2076" s="18"/>
      <c r="C2076" s="18"/>
      <c r="D2076" s="18"/>
      <c r="E2076" s="10" t="str">
        <f>IF(B2076="","",IFERROR(INDEX(Harytlar!$C$5:$C$44,MATCH(B2076,Harytlar!$A$5:$A$44,0)),""))</f>
        <v/>
      </c>
      <c r="F2076" s="10" t="str">
        <f t="shared" si="32"/>
        <v/>
      </c>
      <c r="G2076" s="10" t="str">
        <f>IF(OR(C2076="",B2076=""),"",IFERROR(C2076*INDEX(Harytlar!$D$5:$D$44,MATCH(B2076,Harytlar!$A$5:$A$44,0)),""))</f>
        <v/>
      </c>
    </row>
    <row r="2077" spans="1:7" x14ac:dyDescent="0.3">
      <c r="A2077" s="17"/>
      <c r="B2077" s="18"/>
      <c r="C2077" s="18"/>
      <c r="D2077" s="18"/>
      <c r="E2077" s="10" t="str">
        <f>IF(B2077="","",IFERROR(INDEX(Harytlar!$C$5:$C$44,MATCH(B2077,Harytlar!$A$5:$A$44,0)),""))</f>
        <v/>
      </c>
      <c r="F2077" s="10" t="str">
        <f t="shared" si="32"/>
        <v/>
      </c>
      <c r="G2077" s="10" t="str">
        <f>IF(OR(C2077="",B2077=""),"",IFERROR(C2077*INDEX(Harytlar!$D$5:$D$44,MATCH(B2077,Harytlar!$A$5:$A$44,0)),""))</f>
        <v/>
      </c>
    </row>
    <row r="2078" spans="1:7" x14ac:dyDescent="0.3">
      <c r="A2078" s="17"/>
      <c r="B2078" s="18"/>
      <c r="C2078" s="18"/>
      <c r="D2078" s="18"/>
      <c r="E2078" s="10" t="str">
        <f>IF(B2078="","",IFERROR(INDEX(Harytlar!$C$5:$C$44,MATCH(B2078,Harytlar!$A$5:$A$44,0)),""))</f>
        <v/>
      </c>
      <c r="F2078" s="10" t="str">
        <f t="shared" si="32"/>
        <v/>
      </c>
      <c r="G2078" s="10" t="str">
        <f>IF(OR(C2078="",B2078=""),"",IFERROR(C2078*INDEX(Harytlar!$D$5:$D$44,MATCH(B2078,Harytlar!$A$5:$A$44,0)),""))</f>
        <v/>
      </c>
    </row>
    <row r="2079" spans="1:7" x14ac:dyDescent="0.3">
      <c r="A2079" s="17"/>
      <c r="B2079" s="18"/>
      <c r="C2079" s="18"/>
      <c r="D2079" s="18"/>
      <c r="E2079" s="10" t="str">
        <f>IF(B2079="","",IFERROR(INDEX(Harytlar!$C$5:$C$44,MATCH(B2079,Harytlar!$A$5:$A$44,0)),""))</f>
        <v/>
      </c>
      <c r="F2079" s="10" t="str">
        <f t="shared" si="32"/>
        <v/>
      </c>
      <c r="G2079" s="10" t="str">
        <f>IF(OR(C2079="",B2079=""),"",IFERROR(C2079*INDEX(Harytlar!$D$5:$D$44,MATCH(B2079,Harytlar!$A$5:$A$44,0)),""))</f>
        <v/>
      </c>
    </row>
    <row r="2080" spans="1:7" x14ac:dyDescent="0.3">
      <c r="A2080" s="17"/>
      <c r="B2080" s="18"/>
      <c r="C2080" s="18"/>
      <c r="D2080" s="18"/>
      <c r="E2080" s="10" t="str">
        <f>IF(B2080="","",IFERROR(INDEX(Harytlar!$C$5:$C$44,MATCH(B2080,Harytlar!$A$5:$A$44,0)),""))</f>
        <v/>
      </c>
      <c r="F2080" s="10" t="str">
        <f t="shared" si="32"/>
        <v/>
      </c>
      <c r="G2080" s="10" t="str">
        <f>IF(OR(C2080="",B2080=""),"",IFERROR(C2080*INDEX(Harytlar!$D$5:$D$44,MATCH(B2080,Harytlar!$A$5:$A$44,0)),""))</f>
        <v/>
      </c>
    </row>
    <row r="2081" spans="1:7" x14ac:dyDescent="0.3">
      <c r="A2081" s="17"/>
      <c r="B2081" s="18"/>
      <c r="C2081" s="18"/>
      <c r="D2081" s="18"/>
      <c r="E2081" s="10" t="str">
        <f>IF(B2081="","",IFERROR(INDEX(Harytlar!$C$5:$C$44,MATCH(B2081,Harytlar!$A$5:$A$44,0)),""))</f>
        <v/>
      </c>
      <c r="F2081" s="10" t="str">
        <f t="shared" si="32"/>
        <v/>
      </c>
      <c r="G2081" s="10" t="str">
        <f>IF(OR(C2081="",B2081=""),"",IFERROR(C2081*INDEX(Harytlar!$D$5:$D$44,MATCH(B2081,Harytlar!$A$5:$A$44,0)),""))</f>
        <v/>
      </c>
    </row>
    <row r="2082" spans="1:7" x14ac:dyDescent="0.3">
      <c r="A2082" s="17"/>
      <c r="B2082" s="18"/>
      <c r="C2082" s="18"/>
      <c r="D2082" s="18"/>
      <c r="E2082" s="10" t="str">
        <f>IF(B2082="","",IFERROR(INDEX(Harytlar!$C$5:$C$44,MATCH(B2082,Harytlar!$A$5:$A$44,0)),""))</f>
        <v/>
      </c>
      <c r="F2082" s="10" t="str">
        <f t="shared" si="32"/>
        <v/>
      </c>
      <c r="G2082" s="10" t="str">
        <f>IF(OR(C2082="",B2082=""),"",IFERROR(C2082*INDEX(Harytlar!$D$5:$D$44,MATCH(B2082,Harytlar!$A$5:$A$44,0)),""))</f>
        <v/>
      </c>
    </row>
    <row r="2083" spans="1:7" x14ac:dyDescent="0.3">
      <c r="A2083" s="17"/>
      <c r="B2083" s="18"/>
      <c r="C2083" s="18"/>
      <c r="D2083" s="18"/>
      <c r="E2083" s="10" t="str">
        <f>IF(B2083="","",IFERROR(INDEX(Harytlar!$C$5:$C$44,MATCH(B2083,Harytlar!$A$5:$A$44,0)),""))</f>
        <v/>
      </c>
      <c r="F2083" s="10" t="str">
        <f t="shared" si="32"/>
        <v/>
      </c>
      <c r="G2083" s="10" t="str">
        <f>IF(OR(C2083="",B2083=""),"",IFERROR(C2083*INDEX(Harytlar!$D$5:$D$44,MATCH(B2083,Harytlar!$A$5:$A$44,0)),""))</f>
        <v/>
      </c>
    </row>
    <row r="2084" spans="1:7" x14ac:dyDescent="0.3">
      <c r="A2084" s="17"/>
      <c r="B2084" s="18"/>
      <c r="C2084" s="18"/>
      <c r="D2084" s="18"/>
      <c r="E2084" s="10" t="str">
        <f>IF(B2084="","",IFERROR(INDEX(Harytlar!$C$5:$C$44,MATCH(B2084,Harytlar!$A$5:$A$44,0)),""))</f>
        <v/>
      </c>
      <c r="F2084" s="10" t="str">
        <f t="shared" si="32"/>
        <v/>
      </c>
      <c r="G2084" s="10" t="str">
        <f>IF(OR(C2084="",B2084=""),"",IFERROR(C2084*INDEX(Harytlar!$D$5:$D$44,MATCH(B2084,Harytlar!$A$5:$A$44,0)),""))</f>
        <v/>
      </c>
    </row>
    <row r="2085" spans="1:7" x14ac:dyDescent="0.3">
      <c r="A2085" s="17"/>
      <c r="B2085" s="18"/>
      <c r="C2085" s="18"/>
      <c r="D2085" s="18"/>
      <c r="E2085" s="10" t="str">
        <f>IF(B2085="","",IFERROR(INDEX(Harytlar!$C$5:$C$44,MATCH(B2085,Harytlar!$A$5:$A$44,0)),""))</f>
        <v/>
      </c>
      <c r="F2085" s="10" t="str">
        <f t="shared" si="32"/>
        <v/>
      </c>
      <c r="G2085" s="10" t="str">
        <f>IF(OR(C2085="",B2085=""),"",IFERROR(C2085*INDEX(Harytlar!$D$5:$D$44,MATCH(B2085,Harytlar!$A$5:$A$44,0)),""))</f>
        <v/>
      </c>
    </row>
    <row r="2086" spans="1:7" x14ac:dyDescent="0.3">
      <c r="A2086" s="17"/>
      <c r="B2086" s="18"/>
      <c r="C2086" s="18"/>
      <c r="D2086" s="18"/>
      <c r="E2086" s="10" t="str">
        <f>IF(B2086="","",IFERROR(INDEX(Harytlar!$C$5:$C$44,MATCH(B2086,Harytlar!$A$5:$A$44,0)),""))</f>
        <v/>
      </c>
      <c r="F2086" s="10" t="str">
        <f t="shared" si="32"/>
        <v/>
      </c>
      <c r="G2086" s="10" t="str">
        <f>IF(OR(C2086="",B2086=""),"",IFERROR(C2086*INDEX(Harytlar!$D$5:$D$44,MATCH(B2086,Harytlar!$A$5:$A$44,0)),""))</f>
        <v/>
      </c>
    </row>
    <row r="2087" spans="1:7" x14ac:dyDescent="0.3">
      <c r="A2087" s="17"/>
      <c r="B2087" s="18"/>
      <c r="C2087" s="18"/>
      <c r="D2087" s="18"/>
      <c r="E2087" s="10" t="str">
        <f>IF(B2087="","",IFERROR(INDEX(Harytlar!$C$5:$C$44,MATCH(B2087,Harytlar!$A$5:$A$44,0)),""))</f>
        <v/>
      </c>
      <c r="F2087" s="10" t="str">
        <f t="shared" si="32"/>
        <v/>
      </c>
      <c r="G2087" s="10" t="str">
        <f>IF(OR(C2087="",B2087=""),"",IFERROR(C2087*INDEX(Harytlar!$D$5:$D$44,MATCH(B2087,Harytlar!$A$5:$A$44,0)),""))</f>
        <v/>
      </c>
    </row>
    <row r="2088" spans="1:7" x14ac:dyDescent="0.3">
      <c r="A2088" s="17"/>
      <c r="B2088" s="18"/>
      <c r="C2088" s="18"/>
      <c r="D2088" s="18"/>
      <c r="E2088" s="10" t="str">
        <f>IF(B2088="","",IFERROR(INDEX(Harytlar!$C$5:$C$44,MATCH(B2088,Harytlar!$A$5:$A$44,0)),""))</f>
        <v/>
      </c>
      <c r="F2088" s="10" t="str">
        <f t="shared" si="32"/>
        <v/>
      </c>
      <c r="G2088" s="10" t="str">
        <f>IF(OR(C2088="",B2088=""),"",IFERROR(C2088*INDEX(Harytlar!$D$5:$D$44,MATCH(B2088,Harytlar!$A$5:$A$44,0)),""))</f>
        <v/>
      </c>
    </row>
    <row r="2089" spans="1:7" x14ac:dyDescent="0.3">
      <c r="A2089" s="17"/>
      <c r="B2089" s="18"/>
      <c r="C2089" s="18"/>
      <c r="D2089" s="18"/>
      <c r="E2089" s="10" t="str">
        <f>IF(B2089="","",IFERROR(INDEX(Harytlar!$C$5:$C$44,MATCH(B2089,Harytlar!$A$5:$A$44,0)),""))</f>
        <v/>
      </c>
      <c r="F2089" s="10" t="str">
        <f t="shared" si="32"/>
        <v/>
      </c>
      <c r="G2089" s="10" t="str">
        <f>IF(OR(C2089="",B2089=""),"",IFERROR(C2089*INDEX(Harytlar!$D$5:$D$44,MATCH(B2089,Harytlar!$A$5:$A$44,0)),""))</f>
        <v/>
      </c>
    </row>
    <row r="2090" spans="1:7" x14ac:dyDescent="0.3">
      <c r="A2090" s="17"/>
      <c r="B2090" s="18"/>
      <c r="C2090" s="18"/>
      <c r="D2090" s="18"/>
      <c r="E2090" s="10" t="str">
        <f>IF(B2090="","",IFERROR(INDEX(Harytlar!$C$5:$C$44,MATCH(B2090,Harytlar!$A$5:$A$44,0)),""))</f>
        <v/>
      </c>
      <c r="F2090" s="10" t="str">
        <f t="shared" si="32"/>
        <v/>
      </c>
      <c r="G2090" s="10" t="str">
        <f>IF(OR(C2090="",B2090=""),"",IFERROR(C2090*INDEX(Harytlar!$D$5:$D$44,MATCH(B2090,Harytlar!$A$5:$A$44,0)),""))</f>
        <v/>
      </c>
    </row>
    <row r="2091" spans="1:7" x14ac:dyDescent="0.3">
      <c r="A2091" s="17"/>
      <c r="B2091" s="18"/>
      <c r="C2091" s="18"/>
      <c r="D2091" s="18"/>
      <c r="E2091" s="10" t="str">
        <f>IF(B2091="","",IFERROR(INDEX(Harytlar!$C$5:$C$44,MATCH(B2091,Harytlar!$A$5:$A$44,0)),""))</f>
        <v/>
      </c>
      <c r="F2091" s="10" t="str">
        <f t="shared" si="32"/>
        <v/>
      </c>
      <c r="G2091" s="10" t="str">
        <f>IF(OR(C2091="",B2091=""),"",IFERROR(C2091*INDEX(Harytlar!$D$5:$D$44,MATCH(B2091,Harytlar!$A$5:$A$44,0)),""))</f>
        <v/>
      </c>
    </row>
    <row r="2092" spans="1:7" x14ac:dyDescent="0.3">
      <c r="A2092" s="17"/>
      <c r="B2092" s="18"/>
      <c r="C2092" s="18"/>
      <c r="D2092" s="18"/>
      <c r="E2092" s="10" t="str">
        <f>IF(B2092="","",IFERROR(INDEX(Harytlar!$C$5:$C$44,MATCH(B2092,Harytlar!$A$5:$A$44,0)),""))</f>
        <v/>
      </c>
      <c r="F2092" s="10" t="str">
        <f t="shared" si="32"/>
        <v/>
      </c>
      <c r="G2092" s="10" t="str">
        <f>IF(OR(C2092="",B2092=""),"",IFERROR(C2092*INDEX(Harytlar!$D$5:$D$44,MATCH(B2092,Harytlar!$A$5:$A$44,0)),""))</f>
        <v/>
      </c>
    </row>
    <row r="2093" spans="1:7" x14ac:dyDescent="0.3">
      <c r="A2093" s="17"/>
      <c r="B2093" s="18"/>
      <c r="C2093" s="18"/>
      <c r="D2093" s="18"/>
      <c r="E2093" s="10" t="str">
        <f>IF(B2093="","",IFERROR(INDEX(Harytlar!$C$5:$C$44,MATCH(B2093,Harytlar!$A$5:$A$44,0)),""))</f>
        <v/>
      </c>
      <c r="F2093" s="10" t="str">
        <f t="shared" si="32"/>
        <v/>
      </c>
      <c r="G2093" s="10" t="str">
        <f>IF(OR(C2093="",B2093=""),"",IFERROR(C2093*INDEX(Harytlar!$D$5:$D$44,MATCH(B2093,Harytlar!$A$5:$A$44,0)),""))</f>
        <v/>
      </c>
    </row>
    <row r="2094" spans="1:7" x14ac:dyDescent="0.3">
      <c r="A2094" s="17"/>
      <c r="B2094" s="18"/>
      <c r="C2094" s="18"/>
      <c r="D2094" s="18"/>
      <c r="E2094" s="10" t="str">
        <f>IF(B2094="","",IFERROR(INDEX(Harytlar!$C$5:$C$44,MATCH(B2094,Harytlar!$A$5:$A$44,0)),""))</f>
        <v/>
      </c>
      <c r="F2094" s="10" t="str">
        <f t="shared" si="32"/>
        <v/>
      </c>
      <c r="G2094" s="10" t="str">
        <f>IF(OR(C2094="",B2094=""),"",IFERROR(C2094*INDEX(Harytlar!$D$5:$D$44,MATCH(B2094,Harytlar!$A$5:$A$44,0)),""))</f>
        <v/>
      </c>
    </row>
    <row r="2095" spans="1:7" x14ac:dyDescent="0.3">
      <c r="A2095" s="17"/>
      <c r="B2095" s="18"/>
      <c r="C2095" s="18"/>
      <c r="D2095" s="18"/>
      <c r="E2095" s="10" t="str">
        <f>IF(B2095="","",IFERROR(INDEX(Harytlar!$C$5:$C$44,MATCH(B2095,Harytlar!$A$5:$A$44,0)),""))</f>
        <v/>
      </c>
      <c r="F2095" s="10" t="str">
        <f t="shared" si="32"/>
        <v/>
      </c>
      <c r="G2095" s="10" t="str">
        <f>IF(OR(C2095="",B2095=""),"",IFERROR(C2095*INDEX(Harytlar!$D$5:$D$44,MATCH(B2095,Harytlar!$A$5:$A$44,0)),""))</f>
        <v/>
      </c>
    </row>
    <row r="2096" spans="1:7" x14ac:dyDescent="0.3">
      <c r="A2096" s="17"/>
      <c r="B2096" s="18"/>
      <c r="C2096" s="18"/>
      <c r="D2096" s="18"/>
      <c r="E2096" s="10" t="str">
        <f>IF(B2096="","",IFERROR(INDEX(Harytlar!$C$5:$C$44,MATCH(B2096,Harytlar!$A$5:$A$44,0)),""))</f>
        <v/>
      </c>
      <c r="F2096" s="10" t="str">
        <f t="shared" si="32"/>
        <v/>
      </c>
      <c r="G2096" s="10" t="str">
        <f>IF(OR(C2096="",B2096=""),"",IFERROR(C2096*INDEX(Harytlar!$D$5:$D$44,MATCH(B2096,Harytlar!$A$5:$A$44,0)),""))</f>
        <v/>
      </c>
    </row>
    <row r="2097" spans="1:7" x14ac:dyDescent="0.3">
      <c r="A2097" s="17"/>
      <c r="B2097" s="18"/>
      <c r="C2097" s="18"/>
      <c r="D2097" s="18"/>
      <c r="E2097" s="10" t="str">
        <f>IF(B2097="","",IFERROR(INDEX(Harytlar!$C$5:$C$44,MATCH(B2097,Harytlar!$A$5:$A$44,0)),""))</f>
        <v/>
      </c>
      <c r="F2097" s="10" t="str">
        <f t="shared" si="32"/>
        <v/>
      </c>
      <c r="G2097" s="10" t="str">
        <f>IF(OR(C2097="",B2097=""),"",IFERROR(C2097*INDEX(Harytlar!$D$5:$D$44,MATCH(B2097,Harytlar!$A$5:$A$44,0)),""))</f>
        <v/>
      </c>
    </row>
    <row r="2098" spans="1:7" x14ac:dyDescent="0.3">
      <c r="A2098" s="17"/>
      <c r="B2098" s="18"/>
      <c r="C2098" s="18"/>
      <c r="D2098" s="18"/>
      <c r="E2098" s="10" t="str">
        <f>IF(B2098="","",IFERROR(INDEX(Harytlar!$C$5:$C$44,MATCH(B2098,Harytlar!$A$5:$A$44,0)),""))</f>
        <v/>
      </c>
      <c r="F2098" s="10" t="str">
        <f t="shared" si="32"/>
        <v/>
      </c>
      <c r="G2098" s="10" t="str">
        <f>IF(OR(C2098="",B2098=""),"",IFERROR(C2098*INDEX(Harytlar!$D$5:$D$44,MATCH(B2098,Harytlar!$A$5:$A$44,0)),""))</f>
        <v/>
      </c>
    </row>
    <row r="2099" spans="1:7" x14ac:dyDescent="0.3">
      <c r="A2099" s="17"/>
      <c r="B2099" s="18"/>
      <c r="C2099" s="18"/>
      <c r="D2099" s="18"/>
      <c r="E2099" s="10" t="str">
        <f>IF(B2099="","",IFERROR(INDEX(Harytlar!$C$5:$C$44,MATCH(B2099,Harytlar!$A$5:$A$44,0)),""))</f>
        <v/>
      </c>
      <c r="F2099" s="10" t="str">
        <f t="shared" si="32"/>
        <v/>
      </c>
      <c r="G2099" s="10" t="str">
        <f>IF(OR(C2099="",B2099=""),"",IFERROR(C2099*INDEX(Harytlar!$D$5:$D$44,MATCH(B2099,Harytlar!$A$5:$A$44,0)),""))</f>
        <v/>
      </c>
    </row>
    <row r="2100" spans="1:7" x14ac:dyDescent="0.3">
      <c r="A2100" s="17"/>
      <c r="B2100" s="18"/>
      <c r="C2100" s="18"/>
      <c r="D2100" s="18"/>
      <c r="E2100" s="10" t="str">
        <f>IF(B2100="","",IFERROR(INDEX(Harytlar!$C$5:$C$44,MATCH(B2100,Harytlar!$A$5:$A$44,0)),""))</f>
        <v/>
      </c>
      <c r="F2100" s="10" t="str">
        <f t="shared" si="32"/>
        <v/>
      </c>
      <c r="G2100" s="10" t="str">
        <f>IF(OR(C2100="",B2100=""),"",IFERROR(C2100*INDEX(Harytlar!$D$5:$D$44,MATCH(B2100,Harytlar!$A$5:$A$44,0)),""))</f>
        <v/>
      </c>
    </row>
    <row r="2101" spans="1:7" x14ac:dyDescent="0.3">
      <c r="A2101" s="17"/>
      <c r="B2101" s="18"/>
      <c r="C2101" s="18"/>
      <c r="D2101" s="18"/>
      <c r="E2101" s="10" t="str">
        <f>IF(B2101="","",IFERROR(INDEX(Harytlar!$C$5:$C$44,MATCH(B2101,Harytlar!$A$5:$A$44,0)),""))</f>
        <v/>
      </c>
      <c r="F2101" s="10" t="str">
        <f t="shared" si="32"/>
        <v/>
      </c>
      <c r="G2101" s="10" t="str">
        <f>IF(OR(C2101="",B2101=""),"",IFERROR(C2101*INDEX(Harytlar!$D$5:$D$44,MATCH(B2101,Harytlar!$A$5:$A$44,0)),""))</f>
        <v/>
      </c>
    </row>
    <row r="2102" spans="1:7" x14ac:dyDescent="0.3">
      <c r="A2102" s="17"/>
      <c r="B2102" s="18"/>
      <c r="C2102" s="18"/>
      <c r="D2102" s="18"/>
      <c r="E2102" s="10" t="str">
        <f>IF(B2102="","",IFERROR(INDEX(Harytlar!$C$5:$C$44,MATCH(B2102,Harytlar!$A$5:$A$44,0)),""))</f>
        <v/>
      </c>
      <c r="F2102" s="10" t="str">
        <f t="shared" si="32"/>
        <v/>
      </c>
      <c r="G2102" s="10" t="str">
        <f>IF(OR(C2102="",B2102=""),"",IFERROR(C2102*INDEX(Harytlar!$D$5:$D$44,MATCH(B2102,Harytlar!$A$5:$A$44,0)),""))</f>
        <v/>
      </c>
    </row>
    <row r="2103" spans="1:7" x14ac:dyDescent="0.3">
      <c r="A2103" s="17"/>
      <c r="B2103" s="18"/>
      <c r="C2103" s="18"/>
      <c r="D2103" s="18"/>
      <c r="E2103" s="10" t="str">
        <f>IF(B2103="","",IFERROR(INDEX(Harytlar!$C$5:$C$44,MATCH(B2103,Harytlar!$A$5:$A$44,0)),""))</f>
        <v/>
      </c>
      <c r="F2103" s="10" t="str">
        <f t="shared" si="32"/>
        <v/>
      </c>
      <c r="G2103" s="10" t="str">
        <f>IF(OR(C2103="",B2103=""),"",IFERROR(C2103*INDEX(Harytlar!$D$5:$D$44,MATCH(B2103,Harytlar!$A$5:$A$44,0)),""))</f>
        <v/>
      </c>
    </row>
    <row r="2104" spans="1:7" x14ac:dyDescent="0.3">
      <c r="A2104" s="17"/>
      <c r="B2104" s="18"/>
      <c r="C2104" s="18"/>
      <c r="D2104" s="18"/>
      <c r="E2104" s="10" t="str">
        <f>IF(B2104="","",IFERROR(INDEX(Harytlar!$C$5:$C$44,MATCH(B2104,Harytlar!$A$5:$A$44,0)),""))</f>
        <v/>
      </c>
      <c r="F2104" s="10" t="str">
        <f t="shared" si="32"/>
        <v/>
      </c>
      <c r="G2104" s="10" t="str">
        <f>IF(OR(C2104="",B2104=""),"",IFERROR(C2104*INDEX(Harytlar!$D$5:$D$44,MATCH(B2104,Harytlar!$A$5:$A$44,0)),""))</f>
        <v/>
      </c>
    </row>
    <row r="2105" spans="1:7" x14ac:dyDescent="0.3">
      <c r="A2105" s="17"/>
      <c r="B2105" s="18"/>
      <c r="C2105" s="18"/>
      <c r="D2105" s="18"/>
      <c r="E2105" s="10" t="str">
        <f>IF(B2105="","",IFERROR(INDEX(Harytlar!$C$5:$C$44,MATCH(B2105,Harytlar!$A$5:$A$44,0)),""))</f>
        <v/>
      </c>
      <c r="F2105" s="10" t="str">
        <f t="shared" si="32"/>
        <v/>
      </c>
      <c r="G2105" s="10" t="str">
        <f>IF(OR(C2105="",B2105=""),"",IFERROR(C2105*INDEX(Harytlar!$D$5:$D$44,MATCH(B2105,Harytlar!$A$5:$A$44,0)),""))</f>
        <v/>
      </c>
    </row>
    <row r="2106" spans="1:7" x14ac:dyDescent="0.3">
      <c r="A2106" s="17"/>
      <c r="B2106" s="18"/>
      <c r="C2106" s="18"/>
      <c r="D2106" s="18"/>
      <c r="E2106" s="10" t="str">
        <f>IF(B2106="","",IFERROR(INDEX(Harytlar!$C$5:$C$44,MATCH(B2106,Harytlar!$A$5:$A$44,0)),""))</f>
        <v/>
      </c>
      <c r="F2106" s="10" t="str">
        <f t="shared" si="32"/>
        <v/>
      </c>
      <c r="G2106" s="10" t="str">
        <f>IF(OR(C2106="",B2106=""),"",IFERROR(C2106*INDEX(Harytlar!$D$5:$D$44,MATCH(B2106,Harytlar!$A$5:$A$44,0)),""))</f>
        <v/>
      </c>
    </row>
    <row r="2107" spans="1:7" x14ac:dyDescent="0.3">
      <c r="A2107" s="17"/>
      <c r="B2107" s="18"/>
      <c r="C2107" s="18"/>
      <c r="D2107" s="18"/>
      <c r="E2107" s="10" t="str">
        <f>IF(B2107="","",IFERROR(INDEX(Harytlar!$C$5:$C$44,MATCH(B2107,Harytlar!$A$5:$A$44,0)),""))</f>
        <v/>
      </c>
      <c r="F2107" s="10" t="str">
        <f t="shared" si="32"/>
        <v/>
      </c>
      <c r="G2107" s="10" t="str">
        <f>IF(OR(C2107="",B2107=""),"",IFERROR(C2107*INDEX(Harytlar!$D$5:$D$44,MATCH(B2107,Harytlar!$A$5:$A$44,0)),""))</f>
        <v/>
      </c>
    </row>
    <row r="2108" spans="1:7" x14ac:dyDescent="0.3">
      <c r="A2108" s="17"/>
      <c r="B2108" s="18"/>
      <c r="C2108" s="18"/>
      <c r="D2108" s="18"/>
      <c r="E2108" s="10" t="str">
        <f>IF(B2108="","",IFERROR(INDEX(Harytlar!$C$5:$C$44,MATCH(B2108,Harytlar!$A$5:$A$44,0)),""))</f>
        <v/>
      </c>
      <c r="F2108" s="10" t="str">
        <f t="shared" si="32"/>
        <v/>
      </c>
      <c r="G2108" s="10" t="str">
        <f>IF(OR(C2108="",B2108=""),"",IFERROR(C2108*INDEX(Harytlar!$D$5:$D$44,MATCH(B2108,Harytlar!$A$5:$A$44,0)),""))</f>
        <v/>
      </c>
    </row>
    <row r="2109" spans="1:7" x14ac:dyDescent="0.3">
      <c r="A2109" s="17"/>
      <c r="B2109" s="18"/>
      <c r="C2109" s="18"/>
      <c r="D2109" s="18"/>
      <c r="E2109" s="10" t="str">
        <f>IF(B2109="","",IFERROR(INDEX(Harytlar!$C$5:$C$44,MATCH(B2109,Harytlar!$A$5:$A$44,0)),""))</f>
        <v/>
      </c>
      <c r="F2109" s="10" t="str">
        <f t="shared" si="32"/>
        <v/>
      </c>
      <c r="G2109" s="10" t="str">
        <f>IF(OR(C2109="",B2109=""),"",IFERROR(C2109*INDEX(Harytlar!$D$5:$D$44,MATCH(B2109,Harytlar!$A$5:$A$44,0)),""))</f>
        <v/>
      </c>
    </row>
    <row r="2110" spans="1:7" x14ac:dyDescent="0.3">
      <c r="A2110" s="17"/>
      <c r="B2110" s="18"/>
      <c r="C2110" s="18"/>
      <c r="D2110" s="18"/>
      <c r="E2110" s="10" t="str">
        <f>IF(B2110="","",IFERROR(INDEX(Harytlar!$C$5:$C$44,MATCH(B2110,Harytlar!$A$5:$A$44,0)),""))</f>
        <v/>
      </c>
      <c r="F2110" s="10" t="str">
        <f t="shared" si="32"/>
        <v/>
      </c>
      <c r="G2110" s="10" t="str">
        <f>IF(OR(C2110="",B2110=""),"",IFERROR(C2110*INDEX(Harytlar!$D$5:$D$44,MATCH(B2110,Harytlar!$A$5:$A$44,0)),""))</f>
        <v/>
      </c>
    </row>
    <row r="2111" spans="1:7" x14ac:dyDescent="0.3">
      <c r="A2111" s="17"/>
      <c r="B2111" s="18"/>
      <c r="C2111" s="18"/>
      <c r="D2111" s="18"/>
      <c r="E2111" s="10" t="str">
        <f>IF(B2111="","",IFERROR(INDEX(Harytlar!$C$5:$C$44,MATCH(B2111,Harytlar!$A$5:$A$44,0)),""))</f>
        <v/>
      </c>
      <c r="F2111" s="10" t="str">
        <f t="shared" si="32"/>
        <v/>
      </c>
      <c r="G2111" s="10" t="str">
        <f>IF(OR(C2111="",B2111=""),"",IFERROR(C2111*INDEX(Harytlar!$D$5:$D$44,MATCH(B2111,Harytlar!$A$5:$A$44,0)),""))</f>
        <v/>
      </c>
    </row>
    <row r="2112" spans="1:7" x14ac:dyDescent="0.3">
      <c r="A2112" s="17"/>
      <c r="B2112" s="18"/>
      <c r="C2112" s="18"/>
      <c r="D2112" s="18"/>
      <c r="E2112" s="10" t="str">
        <f>IF(B2112="","",IFERROR(INDEX(Harytlar!$C$5:$C$44,MATCH(B2112,Harytlar!$A$5:$A$44,0)),""))</f>
        <v/>
      </c>
      <c r="F2112" s="10" t="str">
        <f t="shared" si="32"/>
        <v/>
      </c>
      <c r="G2112" s="10" t="str">
        <f>IF(OR(C2112="",B2112=""),"",IFERROR(C2112*INDEX(Harytlar!$D$5:$D$44,MATCH(B2112,Harytlar!$A$5:$A$44,0)),""))</f>
        <v/>
      </c>
    </row>
    <row r="2113" spans="1:7" x14ac:dyDescent="0.3">
      <c r="A2113" s="17"/>
      <c r="B2113" s="18"/>
      <c r="C2113" s="18"/>
      <c r="D2113" s="18"/>
      <c r="E2113" s="10" t="str">
        <f>IF(B2113="","",IFERROR(INDEX(Harytlar!$C$5:$C$44,MATCH(B2113,Harytlar!$A$5:$A$44,0)),""))</f>
        <v/>
      </c>
      <c r="F2113" s="10" t="str">
        <f t="shared" si="32"/>
        <v/>
      </c>
      <c r="G2113" s="10" t="str">
        <f>IF(OR(C2113="",B2113=""),"",IFERROR(C2113*INDEX(Harytlar!$D$5:$D$44,MATCH(B2113,Harytlar!$A$5:$A$44,0)),""))</f>
        <v/>
      </c>
    </row>
    <row r="2114" spans="1:7" x14ac:dyDescent="0.3">
      <c r="A2114" s="17"/>
      <c r="B2114" s="18"/>
      <c r="C2114" s="18"/>
      <c r="D2114" s="18"/>
      <c r="E2114" s="10" t="str">
        <f>IF(B2114="","",IFERROR(INDEX(Harytlar!$C$5:$C$44,MATCH(B2114,Harytlar!$A$5:$A$44,0)),""))</f>
        <v/>
      </c>
      <c r="F2114" s="10" t="str">
        <f t="shared" si="32"/>
        <v/>
      </c>
      <c r="G2114" s="10" t="str">
        <f>IF(OR(C2114="",B2114=""),"",IFERROR(C2114*INDEX(Harytlar!$D$5:$D$44,MATCH(B2114,Harytlar!$A$5:$A$44,0)),""))</f>
        <v/>
      </c>
    </row>
    <row r="2115" spans="1:7" x14ac:dyDescent="0.3">
      <c r="A2115" s="17"/>
      <c r="B2115" s="18"/>
      <c r="C2115" s="18"/>
      <c r="D2115" s="18"/>
      <c r="E2115" s="10" t="str">
        <f>IF(B2115="","",IFERROR(INDEX(Harytlar!$C$5:$C$44,MATCH(B2115,Harytlar!$A$5:$A$44,0)),""))</f>
        <v/>
      </c>
      <c r="F2115" s="10" t="str">
        <f t="shared" si="32"/>
        <v/>
      </c>
      <c r="G2115" s="10" t="str">
        <f>IF(OR(C2115="",B2115=""),"",IFERROR(C2115*INDEX(Harytlar!$D$5:$D$44,MATCH(B2115,Harytlar!$A$5:$A$44,0)),""))</f>
        <v/>
      </c>
    </row>
    <row r="2116" spans="1:7" x14ac:dyDescent="0.3">
      <c r="A2116" s="17"/>
      <c r="B2116" s="18"/>
      <c r="C2116" s="18"/>
      <c r="D2116" s="18"/>
      <c r="E2116" s="10" t="str">
        <f>IF(B2116="","",IFERROR(INDEX(Harytlar!$C$5:$C$44,MATCH(B2116,Harytlar!$A$5:$A$44,0)),""))</f>
        <v/>
      </c>
      <c r="F2116" s="10" t="str">
        <f t="shared" si="32"/>
        <v/>
      </c>
      <c r="G2116" s="10" t="str">
        <f>IF(OR(C2116="",B2116=""),"",IFERROR(C2116*INDEX(Harytlar!$D$5:$D$44,MATCH(B2116,Harytlar!$A$5:$A$44,0)),""))</f>
        <v/>
      </c>
    </row>
    <row r="2117" spans="1:7" x14ac:dyDescent="0.3">
      <c r="A2117" s="17"/>
      <c r="B2117" s="18"/>
      <c r="C2117" s="18"/>
      <c r="D2117" s="18"/>
      <c r="E2117" s="10" t="str">
        <f>IF(B2117="","",IFERROR(INDEX(Harytlar!$C$5:$C$44,MATCH(B2117,Harytlar!$A$5:$A$44,0)),""))</f>
        <v/>
      </c>
      <c r="F2117" s="10" t="str">
        <f t="shared" si="32"/>
        <v/>
      </c>
      <c r="G2117" s="10" t="str">
        <f>IF(OR(C2117="",B2117=""),"",IFERROR(C2117*INDEX(Harytlar!$D$5:$D$44,MATCH(B2117,Harytlar!$A$5:$A$44,0)),""))</f>
        <v/>
      </c>
    </row>
    <row r="2118" spans="1:7" x14ac:dyDescent="0.3">
      <c r="A2118" s="17"/>
      <c r="B2118" s="18"/>
      <c r="C2118" s="18"/>
      <c r="D2118" s="18"/>
      <c r="E2118" s="10" t="str">
        <f>IF(B2118="","",IFERROR(INDEX(Harytlar!$C$5:$C$44,MATCH(B2118,Harytlar!$A$5:$A$44,0)),""))</f>
        <v/>
      </c>
      <c r="F2118" s="10" t="str">
        <f t="shared" ref="F2118:F2181" si="33">IF(OR(C2118="",E2118=""),"",C2118*E2118)</f>
        <v/>
      </c>
      <c r="G2118" s="10" t="str">
        <f>IF(OR(C2118="",B2118=""),"",IFERROR(C2118*INDEX(Harytlar!$D$5:$D$44,MATCH(B2118,Harytlar!$A$5:$A$44,0)),""))</f>
        <v/>
      </c>
    </row>
    <row r="2119" spans="1:7" x14ac:dyDescent="0.3">
      <c r="A2119" s="17"/>
      <c r="B2119" s="18"/>
      <c r="C2119" s="18"/>
      <c r="D2119" s="18"/>
      <c r="E2119" s="10" t="str">
        <f>IF(B2119="","",IFERROR(INDEX(Harytlar!$C$5:$C$44,MATCH(B2119,Harytlar!$A$5:$A$44,0)),""))</f>
        <v/>
      </c>
      <c r="F2119" s="10" t="str">
        <f t="shared" si="33"/>
        <v/>
      </c>
      <c r="G2119" s="10" t="str">
        <f>IF(OR(C2119="",B2119=""),"",IFERROR(C2119*INDEX(Harytlar!$D$5:$D$44,MATCH(B2119,Harytlar!$A$5:$A$44,0)),""))</f>
        <v/>
      </c>
    </row>
    <row r="2120" spans="1:7" x14ac:dyDescent="0.3">
      <c r="A2120" s="17"/>
      <c r="B2120" s="18"/>
      <c r="C2120" s="18"/>
      <c r="D2120" s="18"/>
      <c r="E2120" s="10" t="str">
        <f>IF(B2120="","",IFERROR(INDEX(Harytlar!$C$5:$C$44,MATCH(B2120,Harytlar!$A$5:$A$44,0)),""))</f>
        <v/>
      </c>
      <c r="F2120" s="10" t="str">
        <f t="shared" si="33"/>
        <v/>
      </c>
      <c r="G2120" s="10" t="str">
        <f>IF(OR(C2120="",B2120=""),"",IFERROR(C2120*INDEX(Harytlar!$D$5:$D$44,MATCH(B2120,Harytlar!$A$5:$A$44,0)),""))</f>
        <v/>
      </c>
    </row>
    <row r="2121" spans="1:7" x14ac:dyDescent="0.3">
      <c r="A2121" s="17"/>
      <c r="B2121" s="18"/>
      <c r="C2121" s="18"/>
      <c r="D2121" s="18"/>
      <c r="E2121" s="10" t="str">
        <f>IF(B2121="","",IFERROR(INDEX(Harytlar!$C$5:$C$44,MATCH(B2121,Harytlar!$A$5:$A$44,0)),""))</f>
        <v/>
      </c>
      <c r="F2121" s="10" t="str">
        <f t="shared" si="33"/>
        <v/>
      </c>
      <c r="G2121" s="10" t="str">
        <f>IF(OR(C2121="",B2121=""),"",IFERROR(C2121*INDEX(Harytlar!$D$5:$D$44,MATCH(B2121,Harytlar!$A$5:$A$44,0)),""))</f>
        <v/>
      </c>
    </row>
    <row r="2122" spans="1:7" x14ac:dyDescent="0.3">
      <c r="A2122" s="17"/>
      <c r="B2122" s="18"/>
      <c r="C2122" s="18"/>
      <c r="D2122" s="18"/>
      <c r="E2122" s="10" t="str">
        <f>IF(B2122="","",IFERROR(INDEX(Harytlar!$C$5:$C$44,MATCH(B2122,Harytlar!$A$5:$A$44,0)),""))</f>
        <v/>
      </c>
      <c r="F2122" s="10" t="str">
        <f t="shared" si="33"/>
        <v/>
      </c>
      <c r="G2122" s="10" t="str">
        <f>IF(OR(C2122="",B2122=""),"",IFERROR(C2122*INDEX(Harytlar!$D$5:$D$44,MATCH(B2122,Harytlar!$A$5:$A$44,0)),""))</f>
        <v/>
      </c>
    </row>
    <row r="2123" spans="1:7" x14ac:dyDescent="0.3">
      <c r="A2123" s="17"/>
      <c r="B2123" s="18"/>
      <c r="C2123" s="18"/>
      <c r="D2123" s="18"/>
      <c r="E2123" s="10" t="str">
        <f>IF(B2123="","",IFERROR(INDEX(Harytlar!$C$5:$C$44,MATCH(B2123,Harytlar!$A$5:$A$44,0)),""))</f>
        <v/>
      </c>
      <c r="F2123" s="10" t="str">
        <f t="shared" si="33"/>
        <v/>
      </c>
      <c r="G2123" s="10" t="str">
        <f>IF(OR(C2123="",B2123=""),"",IFERROR(C2123*INDEX(Harytlar!$D$5:$D$44,MATCH(B2123,Harytlar!$A$5:$A$44,0)),""))</f>
        <v/>
      </c>
    </row>
    <row r="2124" spans="1:7" x14ac:dyDescent="0.3">
      <c r="A2124" s="17"/>
      <c r="B2124" s="18"/>
      <c r="C2124" s="18"/>
      <c r="D2124" s="18"/>
      <c r="E2124" s="10" t="str">
        <f>IF(B2124="","",IFERROR(INDEX(Harytlar!$C$5:$C$44,MATCH(B2124,Harytlar!$A$5:$A$44,0)),""))</f>
        <v/>
      </c>
      <c r="F2124" s="10" t="str">
        <f t="shared" si="33"/>
        <v/>
      </c>
      <c r="G2124" s="10" t="str">
        <f>IF(OR(C2124="",B2124=""),"",IFERROR(C2124*INDEX(Harytlar!$D$5:$D$44,MATCH(B2124,Harytlar!$A$5:$A$44,0)),""))</f>
        <v/>
      </c>
    </row>
    <row r="2125" spans="1:7" x14ac:dyDescent="0.3">
      <c r="A2125" s="17"/>
      <c r="B2125" s="18"/>
      <c r="C2125" s="18"/>
      <c r="D2125" s="18"/>
      <c r="E2125" s="10" t="str">
        <f>IF(B2125="","",IFERROR(INDEX(Harytlar!$C$5:$C$44,MATCH(B2125,Harytlar!$A$5:$A$44,0)),""))</f>
        <v/>
      </c>
      <c r="F2125" s="10" t="str">
        <f t="shared" si="33"/>
        <v/>
      </c>
      <c r="G2125" s="10" t="str">
        <f>IF(OR(C2125="",B2125=""),"",IFERROR(C2125*INDEX(Harytlar!$D$5:$D$44,MATCH(B2125,Harytlar!$A$5:$A$44,0)),""))</f>
        <v/>
      </c>
    </row>
    <row r="2126" spans="1:7" x14ac:dyDescent="0.3">
      <c r="A2126" s="17"/>
      <c r="B2126" s="18"/>
      <c r="C2126" s="18"/>
      <c r="D2126" s="18"/>
      <c r="E2126" s="10" t="str">
        <f>IF(B2126="","",IFERROR(INDEX(Harytlar!$C$5:$C$44,MATCH(B2126,Harytlar!$A$5:$A$44,0)),""))</f>
        <v/>
      </c>
      <c r="F2126" s="10" t="str">
        <f t="shared" si="33"/>
        <v/>
      </c>
      <c r="G2126" s="10" t="str">
        <f>IF(OR(C2126="",B2126=""),"",IFERROR(C2126*INDEX(Harytlar!$D$5:$D$44,MATCH(B2126,Harytlar!$A$5:$A$44,0)),""))</f>
        <v/>
      </c>
    </row>
    <row r="2127" spans="1:7" x14ac:dyDescent="0.3">
      <c r="A2127" s="17"/>
      <c r="B2127" s="18"/>
      <c r="C2127" s="18"/>
      <c r="D2127" s="18"/>
      <c r="E2127" s="10" t="str">
        <f>IF(B2127="","",IFERROR(INDEX(Harytlar!$C$5:$C$44,MATCH(B2127,Harytlar!$A$5:$A$44,0)),""))</f>
        <v/>
      </c>
      <c r="F2127" s="10" t="str">
        <f t="shared" si="33"/>
        <v/>
      </c>
      <c r="G2127" s="10" t="str">
        <f>IF(OR(C2127="",B2127=""),"",IFERROR(C2127*INDEX(Harytlar!$D$5:$D$44,MATCH(B2127,Harytlar!$A$5:$A$44,0)),""))</f>
        <v/>
      </c>
    </row>
    <row r="2128" spans="1:7" x14ac:dyDescent="0.3">
      <c r="A2128" s="17"/>
      <c r="B2128" s="18"/>
      <c r="C2128" s="18"/>
      <c r="D2128" s="18"/>
      <c r="E2128" s="10" t="str">
        <f>IF(B2128="","",IFERROR(INDEX(Harytlar!$C$5:$C$44,MATCH(B2128,Harytlar!$A$5:$A$44,0)),""))</f>
        <v/>
      </c>
      <c r="F2128" s="10" t="str">
        <f t="shared" si="33"/>
        <v/>
      </c>
      <c r="G2128" s="10" t="str">
        <f>IF(OR(C2128="",B2128=""),"",IFERROR(C2128*INDEX(Harytlar!$D$5:$D$44,MATCH(B2128,Harytlar!$A$5:$A$44,0)),""))</f>
        <v/>
      </c>
    </row>
    <row r="2129" spans="1:7" x14ac:dyDescent="0.3">
      <c r="A2129" s="17"/>
      <c r="B2129" s="18"/>
      <c r="C2129" s="18"/>
      <c r="D2129" s="18"/>
      <c r="E2129" s="10" t="str">
        <f>IF(B2129="","",IFERROR(INDEX(Harytlar!$C$5:$C$44,MATCH(B2129,Harytlar!$A$5:$A$44,0)),""))</f>
        <v/>
      </c>
      <c r="F2129" s="10" t="str">
        <f t="shared" si="33"/>
        <v/>
      </c>
      <c r="G2129" s="10" t="str">
        <f>IF(OR(C2129="",B2129=""),"",IFERROR(C2129*INDEX(Harytlar!$D$5:$D$44,MATCH(B2129,Harytlar!$A$5:$A$44,0)),""))</f>
        <v/>
      </c>
    </row>
    <row r="2130" spans="1:7" x14ac:dyDescent="0.3">
      <c r="A2130" s="17"/>
      <c r="B2130" s="18"/>
      <c r="C2130" s="18"/>
      <c r="D2130" s="18"/>
      <c r="E2130" s="10" t="str">
        <f>IF(B2130="","",IFERROR(INDEX(Harytlar!$C$5:$C$44,MATCH(B2130,Harytlar!$A$5:$A$44,0)),""))</f>
        <v/>
      </c>
      <c r="F2130" s="10" t="str">
        <f t="shared" si="33"/>
        <v/>
      </c>
      <c r="G2130" s="10" t="str">
        <f>IF(OR(C2130="",B2130=""),"",IFERROR(C2130*INDEX(Harytlar!$D$5:$D$44,MATCH(B2130,Harytlar!$A$5:$A$44,0)),""))</f>
        <v/>
      </c>
    </row>
    <row r="2131" spans="1:7" x14ac:dyDescent="0.3">
      <c r="A2131" s="17"/>
      <c r="B2131" s="18"/>
      <c r="C2131" s="18"/>
      <c r="D2131" s="18"/>
      <c r="E2131" s="10" t="str">
        <f>IF(B2131="","",IFERROR(INDEX(Harytlar!$C$5:$C$44,MATCH(B2131,Harytlar!$A$5:$A$44,0)),""))</f>
        <v/>
      </c>
      <c r="F2131" s="10" t="str">
        <f t="shared" si="33"/>
        <v/>
      </c>
      <c r="G2131" s="10" t="str">
        <f>IF(OR(C2131="",B2131=""),"",IFERROR(C2131*INDEX(Harytlar!$D$5:$D$44,MATCH(B2131,Harytlar!$A$5:$A$44,0)),""))</f>
        <v/>
      </c>
    </row>
    <row r="2132" spans="1:7" x14ac:dyDescent="0.3">
      <c r="A2132" s="17"/>
      <c r="B2132" s="18"/>
      <c r="C2132" s="18"/>
      <c r="D2132" s="18"/>
      <c r="E2132" s="10" t="str">
        <f>IF(B2132="","",IFERROR(INDEX(Harytlar!$C$5:$C$44,MATCH(B2132,Harytlar!$A$5:$A$44,0)),""))</f>
        <v/>
      </c>
      <c r="F2132" s="10" t="str">
        <f t="shared" si="33"/>
        <v/>
      </c>
      <c r="G2132" s="10" t="str">
        <f>IF(OR(C2132="",B2132=""),"",IFERROR(C2132*INDEX(Harytlar!$D$5:$D$44,MATCH(B2132,Harytlar!$A$5:$A$44,0)),""))</f>
        <v/>
      </c>
    </row>
    <row r="2133" spans="1:7" x14ac:dyDescent="0.3">
      <c r="A2133" s="17"/>
      <c r="B2133" s="18"/>
      <c r="C2133" s="18"/>
      <c r="D2133" s="18"/>
      <c r="E2133" s="10" t="str">
        <f>IF(B2133="","",IFERROR(INDEX(Harytlar!$C$5:$C$44,MATCH(B2133,Harytlar!$A$5:$A$44,0)),""))</f>
        <v/>
      </c>
      <c r="F2133" s="10" t="str">
        <f t="shared" si="33"/>
        <v/>
      </c>
      <c r="G2133" s="10" t="str">
        <f>IF(OR(C2133="",B2133=""),"",IFERROR(C2133*INDEX(Harytlar!$D$5:$D$44,MATCH(B2133,Harytlar!$A$5:$A$44,0)),""))</f>
        <v/>
      </c>
    </row>
    <row r="2134" spans="1:7" x14ac:dyDescent="0.3">
      <c r="A2134" s="17"/>
      <c r="B2134" s="18"/>
      <c r="C2134" s="18"/>
      <c r="D2134" s="18"/>
      <c r="E2134" s="10" t="str">
        <f>IF(B2134="","",IFERROR(INDEX(Harytlar!$C$5:$C$44,MATCH(B2134,Harytlar!$A$5:$A$44,0)),""))</f>
        <v/>
      </c>
      <c r="F2134" s="10" t="str">
        <f t="shared" si="33"/>
        <v/>
      </c>
      <c r="G2134" s="10" t="str">
        <f>IF(OR(C2134="",B2134=""),"",IFERROR(C2134*INDEX(Harytlar!$D$5:$D$44,MATCH(B2134,Harytlar!$A$5:$A$44,0)),""))</f>
        <v/>
      </c>
    </row>
    <row r="2135" spans="1:7" x14ac:dyDescent="0.3">
      <c r="A2135" s="17"/>
      <c r="B2135" s="18"/>
      <c r="C2135" s="18"/>
      <c r="D2135" s="18"/>
      <c r="E2135" s="10" t="str">
        <f>IF(B2135="","",IFERROR(INDEX(Harytlar!$C$5:$C$44,MATCH(B2135,Harytlar!$A$5:$A$44,0)),""))</f>
        <v/>
      </c>
      <c r="F2135" s="10" t="str">
        <f t="shared" si="33"/>
        <v/>
      </c>
      <c r="G2135" s="10" t="str">
        <f>IF(OR(C2135="",B2135=""),"",IFERROR(C2135*INDEX(Harytlar!$D$5:$D$44,MATCH(B2135,Harytlar!$A$5:$A$44,0)),""))</f>
        <v/>
      </c>
    </row>
    <row r="2136" spans="1:7" x14ac:dyDescent="0.3">
      <c r="A2136" s="17"/>
      <c r="B2136" s="18"/>
      <c r="C2136" s="18"/>
      <c r="D2136" s="18"/>
      <c r="E2136" s="10" t="str">
        <f>IF(B2136="","",IFERROR(INDEX(Harytlar!$C$5:$C$44,MATCH(B2136,Harytlar!$A$5:$A$44,0)),""))</f>
        <v/>
      </c>
      <c r="F2136" s="10" t="str">
        <f t="shared" si="33"/>
        <v/>
      </c>
      <c r="G2136" s="10" t="str">
        <f>IF(OR(C2136="",B2136=""),"",IFERROR(C2136*INDEX(Harytlar!$D$5:$D$44,MATCH(B2136,Harytlar!$A$5:$A$44,0)),""))</f>
        <v/>
      </c>
    </row>
    <row r="2137" spans="1:7" x14ac:dyDescent="0.3">
      <c r="A2137" s="17"/>
      <c r="B2137" s="18"/>
      <c r="C2137" s="18"/>
      <c r="D2137" s="18"/>
      <c r="E2137" s="10" t="str">
        <f>IF(B2137="","",IFERROR(INDEX(Harytlar!$C$5:$C$44,MATCH(B2137,Harytlar!$A$5:$A$44,0)),""))</f>
        <v/>
      </c>
      <c r="F2137" s="10" t="str">
        <f t="shared" si="33"/>
        <v/>
      </c>
      <c r="G2137" s="10" t="str">
        <f>IF(OR(C2137="",B2137=""),"",IFERROR(C2137*INDEX(Harytlar!$D$5:$D$44,MATCH(B2137,Harytlar!$A$5:$A$44,0)),""))</f>
        <v/>
      </c>
    </row>
    <row r="2138" spans="1:7" x14ac:dyDescent="0.3">
      <c r="A2138" s="17"/>
      <c r="B2138" s="18"/>
      <c r="C2138" s="18"/>
      <c r="D2138" s="18"/>
      <c r="E2138" s="10" t="str">
        <f>IF(B2138="","",IFERROR(INDEX(Harytlar!$C$5:$C$44,MATCH(B2138,Harytlar!$A$5:$A$44,0)),""))</f>
        <v/>
      </c>
      <c r="F2138" s="10" t="str">
        <f t="shared" si="33"/>
        <v/>
      </c>
      <c r="G2138" s="10" t="str">
        <f>IF(OR(C2138="",B2138=""),"",IFERROR(C2138*INDEX(Harytlar!$D$5:$D$44,MATCH(B2138,Harytlar!$A$5:$A$44,0)),""))</f>
        <v/>
      </c>
    </row>
    <row r="2139" spans="1:7" x14ac:dyDescent="0.3">
      <c r="A2139" s="17"/>
      <c r="B2139" s="18"/>
      <c r="C2139" s="18"/>
      <c r="D2139" s="18"/>
      <c r="E2139" s="10" t="str">
        <f>IF(B2139="","",IFERROR(INDEX(Harytlar!$C$5:$C$44,MATCH(B2139,Harytlar!$A$5:$A$44,0)),""))</f>
        <v/>
      </c>
      <c r="F2139" s="10" t="str">
        <f t="shared" si="33"/>
        <v/>
      </c>
      <c r="G2139" s="10" t="str">
        <f>IF(OR(C2139="",B2139=""),"",IFERROR(C2139*INDEX(Harytlar!$D$5:$D$44,MATCH(B2139,Harytlar!$A$5:$A$44,0)),""))</f>
        <v/>
      </c>
    </row>
    <row r="2140" spans="1:7" x14ac:dyDescent="0.3">
      <c r="A2140" s="17"/>
      <c r="B2140" s="18"/>
      <c r="C2140" s="18"/>
      <c r="D2140" s="18"/>
      <c r="E2140" s="10" t="str">
        <f>IF(B2140="","",IFERROR(INDEX(Harytlar!$C$5:$C$44,MATCH(B2140,Harytlar!$A$5:$A$44,0)),""))</f>
        <v/>
      </c>
      <c r="F2140" s="10" t="str">
        <f t="shared" si="33"/>
        <v/>
      </c>
      <c r="G2140" s="10" t="str">
        <f>IF(OR(C2140="",B2140=""),"",IFERROR(C2140*INDEX(Harytlar!$D$5:$D$44,MATCH(B2140,Harytlar!$A$5:$A$44,0)),""))</f>
        <v/>
      </c>
    </row>
    <row r="2141" spans="1:7" x14ac:dyDescent="0.3">
      <c r="A2141" s="17"/>
      <c r="B2141" s="18"/>
      <c r="C2141" s="18"/>
      <c r="D2141" s="18"/>
      <c r="E2141" s="10" t="str">
        <f>IF(B2141="","",IFERROR(INDEX(Harytlar!$C$5:$C$44,MATCH(B2141,Harytlar!$A$5:$A$44,0)),""))</f>
        <v/>
      </c>
      <c r="F2141" s="10" t="str">
        <f t="shared" si="33"/>
        <v/>
      </c>
      <c r="G2141" s="10" t="str">
        <f>IF(OR(C2141="",B2141=""),"",IFERROR(C2141*INDEX(Harytlar!$D$5:$D$44,MATCH(B2141,Harytlar!$A$5:$A$44,0)),""))</f>
        <v/>
      </c>
    </row>
    <row r="2142" spans="1:7" x14ac:dyDescent="0.3">
      <c r="A2142" s="17"/>
      <c r="B2142" s="18"/>
      <c r="C2142" s="18"/>
      <c r="D2142" s="18"/>
      <c r="E2142" s="10" t="str">
        <f>IF(B2142="","",IFERROR(INDEX(Harytlar!$C$5:$C$44,MATCH(B2142,Harytlar!$A$5:$A$44,0)),""))</f>
        <v/>
      </c>
      <c r="F2142" s="10" t="str">
        <f t="shared" si="33"/>
        <v/>
      </c>
      <c r="G2142" s="10" t="str">
        <f>IF(OR(C2142="",B2142=""),"",IFERROR(C2142*INDEX(Harytlar!$D$5:$D$44,MATCH(B2142,Harytlar!$A$5:$A$44,0)),""))</f>
        <v/>
      </c>
    </row>
    <row r="2143" spans="1:7" x14ac:dyDescent="0.3">
      <c r="A2143" s="17"/>
      <c r="B2143" s="18"/>
      <c r="C2143" s="18"/>
      <c r="D2143" s="18"/>
      <c r="E2143" s="10" t="str">
        <f>IF(B2143="","",IFERROR(INDEX(Harytlar!$C$5:$C$44,MATCH(B2143,Harytlar!$A$5:$A$44,0)),""))</f>
        <v/>
      </c>
      <c r="F2143" s="10" t="str">
        <f t="shared" si="33"/>
        <v/>
      </c>
      <c r="G2143" s="10" t="str">
        <f>IF(OR(C2143="",B2143=""),"",IFERROR(C2143*INDEX(Harytlar!$D$5:$D$44,MATCH(B2143,Harytlar!$A$5:$A$44,0)),""))</f>
        <v/>
      </c>
    </row>
    <row r="2144" spans="1:7" x14ac:dyDescent="0.3">
      <c r="A2144" s="17"/>
      <c r="B2144" s="18"/>
      <c r="C2144" s="18"/>
      <c r="D2144" s="18"/>
      <c r="E2144" s="10" t="str">
        <f>IF(B2144="","",IFERROR(INDEX(Harytlar!$C$5:$C$44,MATCH(B2144,Harytlar!$A$5:$A$44,0)),""))</f>
        <v/>
      </c>
      <c r="F2144" s="10" t="str">
        <f t="shared" si="33"/>
        <v/>
      </c>
      <c r="G2144" s="10" t="str">
        <f>IF(OR(C2144="",B2144=""),"",IFERROR(C2144*INDEX(Harytlar!$D$5:$D$44,MATCH(B2144,Harytlar!$A$5:$A$44,0)),""))</f>
        <v/>
      </c>
    </row>
    <row r="2145" spans="1:7" x14ac:dyDescent="0.3">
      <c r="A2145" s="17"/>
      <c r="B2145" s="18"/>
      <c r="C2145" s="18"/>
      <c r="D2145" s="18"/>
      <c r="E2145" s="10" t="str">
        <f>IF(B2145="","",IFERROR(INDEX(Harytlar!$C$5:$C$44,MATCH(B2145,Harytlar!$A$5:$A$44,0)),""))</f>
        <v/>
      </c>
      <c r="F2145" s="10" t="str">
        <f t="shared" si="33"/>
        <v/>
      </c>
      <c r="G2145" s="10" t="str">
        <f>IF(OR(C2145="",B2145=""),"",IFERROR(C2145*INDEX(Harytlar!$D$5:$D$44,MATCH(B2145,Harytlar!$A$5:$A$44,0)),""))</f>
        <v/>
      </c>
    </row>
    <row r="2146" spans="1:7" x14ac:dyDescent="0.3">
      <c r="A2146" s="17"/>
      <c r="B2146" s="18"/>
      <c r="C2146" s="18"/>
      <c r="D2146" s="18"/>
      <c r="E2146" s="10" t="str">
        <f>IF(B2146="","",IFERROR(INDEX(Harytlar!$C$5:$C$44,MATCH(B2146,Harytlar!$A$5:$A$44,0)),""))</f>
        <v/>
      </c>
      <c r="F2146" s="10" t="str">
        <f t="shared" si="33"/>
        <v/>
      </c>
      <c r="G2146" s="10" t="str">
        <f>IF(OR(C2146="",B2146=""),"",IFERROR(C2146*INDEX(Harytlar!$D$5:$D$44,MATCH(B2146,Harytlar!$A$5:$A$44,0)),""))</f>
        <v/>
      </c>
    </row>
    <row r="2147" spans="1:7" x14ac:dyDescent="0.3">
      <c r="A2147" s="17"/>
      <c r="B2147" s="18"/>
      <c r="C2147" s="18"/>
      <c r="D2147" s="18"/>
      <c r="E2147" s="10" t="str">
        <f>IF(B2147="","",IFERROR(INDEX(Harytlar!$C$5:$C$44,MATCH(B2147,Harytlar!$A$5:$A$44,0)),""))</f>
        <v/>
      </c>
      <c r="F2147" s="10" t="str">
        <f t="shared" si="33"/>
        <v/>
      </c>
      <c r="G2147" s="10" t="str">
        <f>IF(OR(C2147="",B2147=""),"",IFERROR(C2147*INDEX(Harytlar!$D$5:$D$44,MATCH(B2147,Harytlar!$A$5:$A$44,0)),""))</f>
        <v/>
      </c>
    </row>
    <row r="2148" spans="1:7" x14ac:dyDescent="0.3">
      <c r="A2148" s="17"/>
      <c r="B2148" s="18"/>
      <c r="C2148" s="18"/>
      <c r="D2148" s="18"/>
      <c r="E2148" s="10" t="str">
        <f>IF(B2148="","",IFERROR(INDEX(Harytlar!$C$5:$C$44,MATCH(B2148,Harytlar!$A$5:$A$44,0)),""))</f>
        <v/>
      </c>
      <c r="F2148" s="10" t="str">
        <f t="shared" si="33"/>
        <v/>
      </c>
      <c r="G2148" s="10" t="str">
        <f>IF(OR(C2148="",B2148=""),"",IFERROR(C2148*INDEX(Harytlar!$D$5:$D$44,MATCH(B2148,Harytlar!$A$5:$A$44,0)),""))</f>
        <v/>
      </c>
    </row>
    <row r="2149" spans="1:7" x14ac:dyDescent="0.3">
      <c r="A2149" s="17"/>
      <c r="B2149" s="18"/>
      <c r="C2149" s="18"/>
      <c r="D2149" s="18"/>
      <c r="E2149" s="10" t="str">
        <f>IF(B2149="","",IFERROR(INDEX(Harytlar!$C$5:$C$44,MATCH(B2149,Harytlar!$A$5:$A$44,0)),""))</f>
        <v/>
      </c>
      <c r="F2149" s="10" t="str">
        <f t="shared" si="33"/>
        <v/>
      </c>
      <c r="G2149" s="10" t="str">
        <f>IF(OR(C2149="",B2149=""),"",IFERROR(C2149*INDEX(Harytlar!$D$5:$D$44,MATCH(B2149,Harytlar!$A$5:$A$44,0)),""))</f>
        <v/>
      </c>
    </row>
    <row r="2150" spans="1:7" x14ac:dyDescent="0.3">
      <c r="A2150" s="17"/>
      <c r="B2150" s="18"/>
      <c r="C2150" s="18"/>
      <c r="D2150" s="18"/>
      <c r="E2150" s="10" t="str">
        <f>IF(B2150="","",IFERROR(INDEX(Harytlar!$C$5:$C$44,MATCH(B2150,Harytlar!$A$5:$A$44,0)),""))</f>
        <v/>
      </c>
      <c r="F2150" s="10" t="str">
        <f t="shared" si="33"/>
        <v/>
      </c>
      <c r="G2150" s="10" t="str">
        <f>IF(OR(C2150="",B2150=""),"",IFERROR(C2150*INDEX(Harytlar!$D$5:$D$44,MATCH(B2150,Harytlar!$A$5:$A$44,0)),""))</f>
        <v/>
      </c>
    </row>
    <row r="2151" spans="1:7" x14ac:dyDescent="0.3">
      <c r="A2151" s="17"/>
      <c r="B2151" s="18"/>
      <c r="C2151" s="18"/>
      <c r="D2151" s="18"/>
      <c r="E2151" s="10" t="str">
        <f>IF(B2151="","",IFERROR(INDEX(Harytlar!$C$5:$C$44,MATCH(B2151,Harytlar!$A$5:$A$44,0)),""))</f>
        <v/>
      </c>
      <c r="F2151" s="10" t="str">
        <f t="shared" si="33"/>
        <v/>
      </c>
      <c r="G2151" s="10" t="str">
        <f>IF(OR(C2151="",B2151=""),"",IFERROR(C2151*INDEX(Harytlar!$D$5:$D$44,MATCH(B2151,Harytlar!$A$5:$A$44,0)),""))</f>
        <v/>
      </c>
    </row>
    <row r="2152" spans="1:7" x14ac:dyDescent="0.3">
      <c r="A2152" s="17"/>
      <c r="B2152" s="18"/>
      <c r="C2152" s="18"/>
      <c r="D2152" s="18"/>
      <c r="E2152" s="10" t="str">
        <f>IF(B2152="","",IFERROR(INDEX(Harytlar!$C$5:$C$44,MATCH(B2152,Harytlar!$A$5:$A$44,0)),""))</f>
        <v/>
      </c>
      <c r="F2152" s="10" t="str">
        <f t="shared" si="33"/>
        <v/>
      </c>
      <c r="G2152" s="10" t="str">
        <f>IF(OR(C2152="",B2152=""),"",IFERROR(C2152*INDEX(Harytlar!$D$5:$D$44,MATCH(B2152,Harytlar!$A$5:$A$44,0)),""))</f>
        <v/>
      </c>
    </row>
    <row r="2153" spans="1:7" x14ac:dyDescent="0.3">
      <c r="A2153" s="17"/>
      <c r="B2153" s="18"/>
      <c r="C2153" s="18"/>
      <c r="D2153" s="18"/>
      <c r="E2153" s="10" t="str">
        <f>IF(B2153="","",IFERROR(INDEX(Harytlar!$C$5:$C$44,MATCH(B2153,Harytlar!$A$5:$A$44,0)),""))</f>
        <v/>
      </c>
      <c r="F2153" s="10" t="str">
        <f t="shared" si="33"/>
        <v/>
      </c>
      <c r="G2153" s="10" t="str">
        <f>IF(OR(C2153="",B2153=""),"",IFERROR(C2153*INDEX(Harytlar!$D$5:$D$44,MATCH(B2153,Harytlar!$A$5:$A$44,0)),""))</f>
        <v/>
      </c>
    </row>
    <row r="2154" spans="1:7" x14ac:dyDescent="0.3">
      <c r="A2154" s="17"/>
      <c r="B2154" s="18"/>
      <c r="C2154" s="18"/>
      <c r="D2154" s="18"/>
      <c r="E2154" s="10" t="str">
        <f>IF(B2154="","",IFERROR(INDEX(Harytlar!$C$5:$C$44,MATCH(B2154,Harytlar!$A$5:$A$44,0)),""))</f>
        <v/>
      </c>
      <c r="F2154" s="10" t="str">
        <f t="shared" si="33"/>
        <v/>
      </c>
      <c r="G2154" s="10" t="str">
        <f>IF(OR(C2154="",B2154=""),"",IFERROR(C2154*INDEX(Harytlar!$D$5:$D$44,MATCH(B2154,Harytlar!$A$5:$A$44,0)),""))</f>
        <v/>
      </c>
    </row>
    <row r="2155" spans="1:7" x14ac:dyDescent="0.3">
      <c r="A2155" s="17"/>
      <c r="B2155" s="18"/>
      <c r="C2155" s="18"/>
      <c r="D2155" s="18"/>
      <c r="E2155" s="10" t="str">
        <f>IF(B2155="","",IFERROR(INDEX(Harytlar!$C$5:$C$44,MATCH(B2155,Harytlar!$A$5:$A$44,0)),""))</f>
        <v/>
      </c>
      <c r="F2155" s="10" t="str">
        <f t="shared" si="33"/>
        <v/>
      </c>
      <c r="G2155" s="10" t="str">
        <f>IF(OR(C2155="",B2155=""),"",IFERROR(C2155*INDEX(Harytlar!$D$5:$D$44,MATCH(B2155,Harytlar!$A$5:$A$44,0)),""))</f>
        <v/>
      </c>
    </row>
    <row r="2156" spans="1:7" x14ac:dyDescent="0.3">
      <c r="A2156" s="17"/>
      <c r="B2156" s="18"/>
      <c r="C2156" s="18"/>
      <c r="D2156" s="18"/>
      <c r="E2156" s="10" t="str">
        <f>IF(B2156="","",IFERROR(INDEX(Harytlar!$C$5:$C$44,MATCH(B2156,Harytlar!$A$5:$A$44,0)),""))</f>
        <v/>
      </c>
      <c r="F2156" s="10" t="str">
        <f t="shared" si="33"/>
        <v/>
      </c>
      <c r="G2156" s="10" t="str">
        <f>IF(OR(C2156="",B2156=""),"",IFERROR(C2156*INDEX(Harytlar!$D$5:$D$44,MATCH(B2156,Harytlar!$A$5:$A$44,0)),""))</f>
        <v/>
      </c>
    </row>
    <row r="2157" spans="1:7" x14ac:dyDescent="0.3">
      <c r="A2157" s="17"/>
      <c r="B2157" s="18"/>
      <c r="C2157" s="18"/>
      <c r="D2157" s="18"/>
      <c r="E2157" s="10" t="str">
        <f>IF(B2157="","",IFERROR(INDEX(Harytlar!$C$5:$C$44,MATCH(B2157,Harytlar!$A$5:$A$44,0)),""))</f>
        <v/>
      </c>
      <c r="F2157" s="10" t="str">
        <f t="shared" si="33"/>
        <v/>
      </c>
      <c r="G2157" s="10" t="str">
        <f>IF(OR(C2157="",B2157=""),"",IFERROR(C2157*INDEX(Harytlar!$D$5:$D$44,MATCH(B2157,Harytlar!$A$5:$A$44,0)),""))</f>
        <v/>
      </c>
    </row>
    <row r="2158" spans="1:7" x14ac:dyDescent="0.3">
      <c r="A2158" s="17"/>
      <c r="B2158" s="18"/>
      <c r="C2158" s="18"/>
      <c r="D2158" s="18"/>
      <c r="E2158" s="10" t="str">
        <f>IF(B2158="","",IFERROR(INDEX(Harytlar!$C$5:$C$44,MATCH(B2158,Harytlar!$A$5:$A$44,0)),""))</f>
        <v/>
      </c>
      <c r="F2158" s="10" t="str">
        <f t="shared" si="33"/>
        <v/>
      </c>
      <c r="G2158" s="10" t="str">
        <f>IF(OR(C2158="",B2158=""),"",IFERROR(C2158*INDEX(Harytlar!$D$5:$D$44,MATCH(B2158,Harytlar!$A$5:$A$44,0)),""))</f>
        <v/>
      </c>
    </row>
    <row r="2159" spans="1:7" x14ac:dyDescent="0.3">
      <c r="A2159" s="17"/>
      <c r="B2159" s="18"/>
      <c r="C2159" s="18"/>
      <c r="D2159" s="18"/>
      <c r="E2159" s="10" t="str">
        <f>IF(B2159="","",IFERROR(INDEX(Harytlar!$C$5:$C$44,MATCH(B2159,Harytlar!$A$5:$A$44,0)),""))</f>
        <v/>
      </c>
      <c r="F2159" s="10" t="str">
        <f t="shared" si="33"/>
        <v/>
      </c>
      <c r="G2159" s="10" t="str">
        <f>IF(OR(C2159="",B2159=""),"",IFERROR(C2159*INDEX(Harytlar!$D$5:$D$44,MATCH(B2159,Harytlar!$A$5:$A$44,0)),""))</f>
        <v/>
      </c>
    </row>
    <row r="2160" spans="1:7" x14ac:dyDescent="0.3">
      <c r="A2160" s="17"/>
      <c r="B2160" s="18"/>
      <c r="C2160" s="18"/>
      <c r="D2160" s="18"/>
      <c r="E2160" s="10" t="str">
        <f>IF(B2160="","",IFERROR(INDEX(Harytlar!$C$5:$C$44,MATCH(B2160,Harytlar!$A$5:$A$44,0)),""))</f>
        <v/>
      </c>
      <c r="F2160" s="10" t="str">
        <f t="shared" si="33"/>
        <v/>
      </c>
      <c r="G2160" s="10" t="str">
        <f>IF(OR(C2160="",B2160=""),"",IFERROR(C2160*INDEX(Harytlar!$D$5:$D$44,MATCH(B2160,Harytlar!$A$5:$A$44,0)),""))</f>
        <v/>
      </c>
    </row>
    <row r="2161" spans="1:7" x14ac:dyDescent="0.3">
      <c r="A2161" s="17"/>
      <c r="B2161" s="18"/>
      <c r="C2161" s="18"/>
      <c r="D2161" s="18"/>
      <c r="E2161" s="10" t="str">
        <f>IF(B2161="","",IFERROR(INDEX(Harytlar!$C$5:$C$44,MATCH(B2161,Harytlar!$A$5:$A$44,0)),""))</f>
        <v/>
      </c>
      <c r="F2161" s="10" t="str">
        <f t="shared" si="33"/>
        <v/>
      </c>
      <c r="G2161" s="10" t="str">
        <f>IF(OR(C2161="",B2161=""),"",IFERROR(C2161*INDEX(Harytlar!$D$5:$D$44,MATCH(B2161,Harytlar!$A$5:$A$44,0)),""))</f>
        <v/>
      </c>
    </row>
    <row r="2162" spans="1:7" x14ac:dyDescent="0.3">
      <c r="A2162" s="17"/>
      <c r="B2162" s="18"/>
      <c r="C2162" s="18"/>
      <c r="D2162" s="18"/>
      <c r="E2162" s="10" t="str">
        <f>IF(B2162="","",IFERROR(INDEX(Harytlar!$C$5:$C$44,MATCH(B2162,Harytlar!$A$5:$A$44,0)),""))</f>
        <v/>
      </c>
      <c r="F2162" s="10" t="str">
        <f t="shared" si="33"/>
        <v/>
      </c>
      <c r="G2162" s="10" t="str">
        <f>IF(OR(C2162="",B2162=""),"",IFERROR(C2162*INDEX(Harytlar!$D$5:$D$44,MATCH(B2162,Harytlar!$A$5:$A$44,0)),""))</f>
        <v/>
      </c>
    </row>
    <row r="2163" spans="1:7" x14ac:dyDescent="0.3">
      <c r="A2163" s="17"/>
      <c r="B2163" s="18"/>
      <c r="C2163" s="18"/>
      <c r="D2163" s="18"/>
      <c r="E2163" s="10" t="str">
        <f>IF(B2163="","",IFERROR(INDEX(Harytlar!$C$5:$C$44,MATCH(B2163,Harytlar!$A$5:$A$44,0)),""))</f>
        <v/>
      </c>
      <c r="F2163" s="10" t="str">
        <f t="shared" si="33"/>
        <v/>
      </c>
      <c r="G2163" s="10" t="str">
        <f>IF(OR(C2163="",B2163=""),"",IFERROR(C2163*INDEX(Harytlar!$D$5:$D$44,MATCH(B2163,Harytlar!$A$5:$A$44,0)),""))</f>
        <v/>
      </c>
    </row>
    <row r="2164" spans="1:7" x14ac:dyDescent="0.3">
      <c r="A2164" s="17"/>
      <c r="B2164" s="18"/>
      <c r="C2164" s="18"/>
      <c r="D2164" s="18"/>
      <c r="E2164" s="10" t="str">
        <f>IF(B2164="","",IFERROR(INDEX(Harytlar!$C$5:$C$44,MATCH(B2164,Harytlar!$A$5:$A$44,0)),""))</f>
        <v/>
      </c>
      <c r="F2164" s="10" t="str">
        <f t="shared" si="33"/>
        <v/>
      </c>
      <c r="G2164" s="10" t="str">
        <f>IF(OR(C2164="",B2164=""),"",IFERROR(C2164*INDEX(Harytlar!$D$5:$D$44,MATCH(B2164,Harytlar!$A$5:$A$44,0)),""))</f>
        <v/>
      </c>
    </row>
    <row r="2165" spans="1:7" x14ac:dyDescent="0.3">
      <c r="A2165" s="17"/>
      <c r="B2165" s="18"/>
      <c r="C2165" s="18"/>
      <c r="D2165" s="18"/>
      <c r="E2165" s="10" t="str">
        <f>IF(B2165="","",IFERROR(INDEX(Harytlar!$C$5:$C$44,MATCH(B2165,Harytlar!$A$5:$A$44,0)),""))</f>
        <v/>
      </c>
      <c r="F2165" s="10" t="str">
        <f t="shared" si="33"/>
        <v/>
      </c>
      <c r="G2165" s="10" t="str">
        <f>IF(OR(C2165="",B2165=""),"",IFERROR(C2165*INDEX(Harytlar!$D$5:$D$44,MATCH(B2165,Harytlar!$A$5:$A$44,0)),""))</f>
        <v/>
      </c>
    </row>
    <row r="2166" spans="1:7" x14ac:dyDescent="0.3">
      <c r="A2166" s="17"/>
      <c r="B2166" s="18"/>
      <c r="C2166" s="18"/>
      <c r="D2166" s="18"/>
      <c r="E2166" s="10" t="str">
        <f>IF(B2166="","",IFERROR(INDEX(Harytlar!$C$5:$C$44,MATCH(B2166,Harytlar!$A$5:$A$44,0)),""))</f>
        <v/>
      </c>
      <c r="F2166" s="10" t="str">
        <f t="shared" si="33"/>
        <v/>
      </c>
      <c r="G2166" s="10" t="str">
        <f>IF(OR(C2166="",B2166=""),"",IFERROR(C2166*INDEX(Harytlar!$D$5:$D$44,MATCH(B2166,Harytlar!$A$5:$A$44,0)),""))</f>
        <v/>
      </c>
    </row>
    <row r="2167" spans="1:7" x14ac:dyDescent="0.3">
      <c r="A2167" s="17"/>
      <c r="B2167" s="18"/>
      <c r="C2167" s="18"/>
      <c r="D2167" s="18"/>
      <c r="E2167" s="10" t="str">
        <f>IF(B2167="","",IFERROR(INDEX(Harytlar!$C$5:$C$44,MATCH(B2167,Harytlar!$A$5:$A$44,0)),""))</f>
        <v/>
      </c>
      <c r="F2167" s="10" t="str">
        <f t="shared" si="33"/>
        <v/>
      </c>
      <c r="G2167" s="10" t="str">
        <f>IF(OR(C2167="",B2167=""),"",IFERROR(C2167*INDEX(Harytlar!$D$5:$D$44,MATCH(B2167,Harytlar!$A$5:$A$44,0)),""))</f>
        <v/>
      </c>
    </row>
    <row r="2168" spans="1:7" x14ac:dyDescent="0.3">
      <c r="A2168" s="17"/>
      <c r="B2168" s="18"/>
      <c r="C2168" s="18"/>
      <c r="D2168" s="18"/>
      <c r="E2168" s="10" t="str">
        <f>IF(B2168="","",IFERROR(INDEX(Harytlar!$C$5:$C$44,MATCH(B2168,Harytlar!$A$5:$A$44,0)),""))</f>
        <v/>
      </c>
      <c r="F2168" s="10" t="str">
        <f t="shared" si="33"/>
        <v/>
      </c>
      <c r="G2168" s="10" t="str">
        <f>IF(OR(C2168="",B2168=""),"",IFERROR(C2168*INDEX(Harytlar!$D$5:$D$44,MATCH(B2168,Harytlar!$A$5:$A$44,0)),""))</f>
        <v/>
      </c>
    </row>
    <row r="2169" spans="1:7" x14ac:dyDescent="0.3">
      <c r="A2169" s="17"/>
      <c r="B2169" s="18"/>
      <c r="C2169" s="18"/>
      <c r="D2169" s="18"/>
      <c r="E2169" s="10" t="str">
        <f>IF(B2169="","",IFERROR(INDEX(Harytlar!$C$5:$C$44,MATCH(B2169,Harytlar!$A$5:$A$44,0)),""))</f>
        <v/>
      </c>
      <c r="F2169" s="10" t="str">
        <f t="shared" si="33"/>
        <v/>
      </c>
      <c r="G2169" s="10" t="str">
        <f>IF(OR(C2169="",B2169=""),"",IFERROR(C2169*INDEX(Harytlar!$D$5:$D$44,MATCH(B2169,Harytlar!$A$5:$A$44,0)),""))</f>
        <v/>
      </c>
    </row>
    <row r="2170" spans="1:7" x14ac:dyDescent="0.3">
      <c r="A2170" s="17"/>
      <c r="B2170" s="18"/>
      <c r="C2170" s="18"/>
      <c r="D2170" s="18"/>
      <c r="E2170" s="10" t="str">
        <f>IF(B2170="","",IFERROR(INDEX(Harytlar!$C$5:$C$44,MATCH(B2170,Harytlar!$A$5:$A$44,0)),""))</f>
        <v/>
      </c>
      <c r="F2170" s="10" t="str">
        <f t="shared" si="33"/>
        <v/>
      </c>
      <c r="G2170" s="10" t="str">
        <f>IF(OR(C2170="",B2170=""),"",IFERROR(C2170*INDEX(Harytlar!$D$5:$D$44,MATCH(B2170,Harytlar!$A$5:$A$44,0)),""))</f>
        <v/>
      </c>
    </row>
    <row r="2171" spans="1:7" x14ac:dyDescent="0.3">
      <c r="A2171" s="17"/>
      <c r="B2171" s="18"/>
      <c r="C2171" s="18"/>
      <c r="D2171" s="18"/>
      <c r="E2171" s="10" t="str">
        <f>IF(B2171="","",IFERROR(INDEX(Harytlar!$C$5:$C$44,MATCH(B2171,Harytlar!$A$5:$A$44,0)),""))</f>
        <v/>
      </c>
      <c r="F2171" s="10" t="str">
        <f t="shared" si="33"/>
        <v/>
      </c>
      <c r="G2171" s="10" t="str">
        <f>IF(OR(C2171="",B2171=""),"",IFERROR(C2171*INDEX(Harytlar!$D$5:$D$44,MATCH(B2171,Harytlar!$A$5:$A$44,0)),""))</f>
        <v/>
      </c>
    </row>
    <row r="2172" spans="1:7" x14ac:dyDescent="0.3">
      <c r="A2172" s="17"/>
      <c r="B2172" s="18"/>
      <c r="C2172" s="18"/>
      <c r="D2172" s="18"/>
      <c r="E2172" s="10" t="str">
        <f>IF(B2172="","",IFERROR(INDEX(Harytlar!$C$5:$C$44,MATCH(B2172,Harytlar!$A$5:$A$44,0)),""))</f>
        <v/>
      </c>
      <c r="F2172" s="10" t="str">
        <f t="shared" si="33"/>
        <v/>
      </c>
      <c r="G2172" s="10" t="str">
        <f>IF(OR(C2172="",B2172=""),"",IFERROR(C2172*INDEX(Harytlar!$D$5:$D$44,MATCH(B2172,Harytlar!$A$5:$A$44,0)),""))</f>
        <v/>
      </c>
    </row>
    <row r="2173" spans="1:7" x14ac:dyDescent="0.3">
      <c r="A2173" s="17"/>
      <c r="B2173" s="18"/>
      <c r="C2173" s="18"/>
      <c r="D2173" s="18"/>
      <c r="E2173" s="10" t="str">
        <f>IF(B2173="","",IFERROR(INDEX(Harytlar!$C$5:$C$44,MATCH(B2173,Harytlar!$A$5:$A$44,0)),""))</f>
        <v/>
      </c>
      <c r="F2173" s="10" t="str">
        <f t="shared" si="33"/>
        <v/>
      </c>
      <c r="G2173" s="10" t="str">
        <f>IF(OR(C2173="",B2173=""),"",IFERROR(C2173*INDEX(Harytlar!$D$5:$D$44,MATCH(B2173,Harytlar!$A$5:$A$44,0)),""))</f>
        <v/>
      </c>
    </row>
    <row r="2174" spans="1:7" x14ac:dyDescent="0.3">
      <c r="A2174" s="17"/>
      <c r="B2174" s="18"/>
      <c r="C2174" s="18"/>
      <c r="D2174" s="18"/>
      <c r="E2174" s="10" t="str">
        <f>IF(B2174="","",IFERROR(INDEX(Harytlar!$C$5:$C$44,MATCH(B2174,Harytlar!$A$5:$A$44,0)),""))</f>
        <v/>
      </c>
      <c r="F2174" s="10" t="str">
        <f t="shared" si="33"/>
        <v/>
      </c>
      <c r="G2174" s="10" t="str">
        <f>IF(OR(C2174="",B2174=""),"",IFERROR(C2174*INDEX(Harytlar!$D$5:$D$44,MATCH(B2174,Harytlar!$A$5:$A$44,0)),""))</f>
        <v/>
      </c>
    </row>
    <row r="2175" spans="1:7" x14ac:dyDescent="0.3">
      <c r="A2175" s="17"/>
      <c r="B2175" s="18"/>
      <c r="C2175" s="18"/>
      <c r="D2175" s="18"/>
      <c r="E2175" s="10" t="str">
        <f>IF(B2175="","",IFERROR(INDEX(Harytlar!$C$5:$C$44,MATCH(B2175,Harytlar!$A$5:$A$44,0)),""))</f>
        <v/>
      </c>
      <c r="F2175" s="10" t="str">
        <f t="shared" si="33"/>
        <v/>
      </c>
      <c r="G2175" s="10" t="str">
        <f>IF(OR(C2175="",B2175=""),"",IFERROR(C2175*INDEX(Harytlar!$D$5:$D$44,MATCH(B2175,Harytlar!$A$5:$A$44,0)),""))</f>
        <v/>
      </c>
    </row>
    <row r="2176" spans="1:7" x14ac:dyDescent="0.3">
      <c r="A2176" s="17"/>
      <c r="B2176" s="18"/>
      <c r="C2176" s="18"/>
      <c r="D2176" s="18"/>
      <c r="E2176" s="10" t="str">
        <f>IF(B2176="","",IFERROR(INDEX(Harytlar!$C$5:$C$44,MATCH(B2176,Harytlar!$A$5:$A$44,0)),""))</f>
        <v/>
      </c>
      <c r="F2176" s="10" t="str">
        <f t="shared" si="33"/>
        <v/>
      </c>
      <c r="G2176" s="10" t="str">
        <f>IF(OR(C2176="",B2176=""),"",IFERROR(C2176*INDEX(Harytlar!$D$5:$D$44,MATCH(B2176,Harytlar!$A$5:$A$44,0)),""))</f>
        <v/>
      </c>
    </row>
    <row r="2177" spans="1:7" x14ac:dyDescent="0.3">
      <c r="A2177" s="17"/>
      <c r="B2177" s="18"/>
      <c r="C2177" s="18"/>
      <c r="D2177" s="18"/>
      <c r="E2177" s="10" t="str">
        <f>IF(B2177="","",IFERROR(INDEX(Harytlar!$C$5:$C$44,MATCH(B2177,Harytlar!$A$5:$A$44,0)),""))</f>
        <v/>
      </c>
      <c r="F2177" s="10" t="str">
        <f t="shared" si="33"/>
        <v/>
      </c>
      <c r="G2177" s="10" t="str">
        <f>IF(OR(C2177="",B2177=""),"",IFERROR(C2177*INDEX(Harytlar!$D$5:$D$44,MATCH(B2177,Harytlar!$A$5:$A$44,0)),""))</f>
        <v/>
      </c>
    </row>
    <row r="2178" spans="1:7" x14ac:dyDescent="0.3">
      <c r="A2178" s="17"/>
      <c r="B2178" s="18"/>
      <c r="C2178" s="18"/>
      <c r="D2178" s="18"/>
      <c r="E2178" s="10" t="str">
        <f>IF(B2178="","",IFERROR(INDEX(Harytlar!$C$5:$C$44,MATCH(B2178,Harytlar!$A$5:$A$44,0)),""))</f>
        <v/>
      </c>
      <c r="F2178" s="10" t="str">
        <f t="shared" si="33"/>
        <v/>
      </c>
      <c r="G2178" s="10" t="str">
        <f>IF(OR(C2178="",B2178=""),"",IFERROR(C2178*INDEX(Harytlar!$D$5:$D$44,MATCH(B2178,Harytlar!$A$5:$A$44,0)),""))</f>
        <v/>
      </c>
    </row>
    <row r="2179" spans="1:7" x14ac:dyDescent="0.3">
      <c r="A2179" s="17"/>
      <c r="B2179" s="18"/>
      <c r="C2179" s="18"/>
      <c r="D2179" s="18"/>
      <c r="E2179" s="10" t="str">
        <f>IF(B2179="","",IFERROR(INDEX(Harytlar!$C$5:$C$44,MATCH(B2179,Harytlar!$A$5:$A$44,0)),""))</f>
        <v/>
      </c>
      <c r="F2179" s="10" t="str">
        <f t="shared" si="33"/>
        <v/>
      </c>
      <c r="G2179" s="10" t="str">
        <f>IF(OR(C2179="",B2179=""),"",IFERROR(C2179*INDEX(Harytlar!$D$5:$D$44,MATCH(B2179,Harytlar!$A$5:$A$44,0)),""))</f>
        <v/>
      </c>
    </row>
    <row r="2180" spans="1:7" x14ac:dyDescent="0.3">
      <c r="A2180" s="17"/>
      <c r="B2180" s="18"/>
      <c r="C2180" s="18"/>
      <c r="D2180" s="18"/>
      <c r="E2180" s="10" t="str">
        <f>IF(B2180="","",IFERROR(INDEX(Harytlar!$C$5:$C$44,MATCH(B2180,Harytlar!$A$5:$A$44,0)),""))</f>
        <v/>
      </c>
      <c r="F2180" s="10" t="str">
        <f t="shared" si="33"/>
        <v/>
      </c>
      <c r="G2180" s="10" t="str">
        <f>IF(OR(C2180="",B2180=""),"",IFERROR(C2180*INDEX(Harytlar!$D$5:$D$44,MATCH(B2180,Harytlar!$A$5:$A$44,0)),""))</f>
        <v/>
      </c>
    </row>
    <row r="2181" spans="1:7" x14ac:dyDescent="0.3">
      <c r="A2181" s="17"/>
      <c r="B2181" s="18"/>
      <c r="C2181" s="18"/>
      <c r="D2181" s="18"/>
      <c r="E2181" s="10" t="str">
        <f>IF(B2181="","",IFERROR(INDEX(Harytlar!$C$5:$C$44,MATCH(B2181,Harytlar!$A$5:$A$44,0)),""))</f>
        <v/>
      </c>
      <c r="F2181" s="10" t="str">
        <f t="shared" si="33"/>
        <v/>
      </c>
      <c r="G2181" s="10" t="str">
        <f>IF(OR(C2181="",B2181=""),"",IFERROR(C2181*INDEX(Harytlar!$D$5:$D$44,MATCH(B2181,Harytlar!$A$5:$A$44,0)),""))</f>
        <v/>
      </c>
    </row>
    <row r="2182" spans="1:7" x14ac:dyDescent="0.3">
      <c r="A2182" s="17"/>
      <c r="B2182" s="18"/>
      <c r="C2182" s="18"/>
      <c r="D2182" s="18"/>
      <c r="E2182" s="10" t="str">
        <f>IF(B2182="","",IFERROR(INDEX(Harytlar!$C$5:$C$44,MATCH(B2182,Harytlar!$A$5:$A$44,0)),""))</f>
        <v/>
      </c>
      <c r="F2182" s="10" t="str">
        <f t="shared" ref="F2182:F2245" si="34">IF(OR(C2182="",E2182=""),"",C2182*E2182)</f>
        <v/>
      </c>
      <c r="G2182" s="10" t="str">
        <f>IF(OR(C2182="",B2182=""),"",IFERROR(C2182*INDEX(Harytlar!$D$5:$D$44,MATCH(B2182,Harytlar!$A$5:$A$44,0)),""))</f>
        <v/>
      </c>
    </row>
    <row r="2183" spans="1:7" x14ac:dyDescent="0.3">
      <c r="A2183" s="17"/>
      <c r="B2183" s="18"/>
      <c r="C2183" s="18"/>
      <c r="D2183" s="18"/>
      <c r="E2183" s="10" t="str">
        <f>IF(B2183="","",IFERROR(INDEX(Harytlar!$C$5:$C$44,MATCH(B2183,Harytlar!$A$5:$A$44,0)),""))</f>
        <v/>
      </c>
      <c r="F2183" s="10" t="str">
        <f t="shared" si="34"/>
        <v/>
      </c>
      <c r="G2183" s="10" t="str">
        <f>IF(OR(C2183="",B2183=""),"",IFERROR(C2183*INDEX(Harytlar!$D$5:$D$44,MATCH(B2183,Harytlar!$A$5:$A$44,0)),""))</f>
        <v/>
      </c>
    </row>
    <row r="2184" spans="1:7" x14ac:dyDescent="0.3">
      <c r="A2184" s="17"/>
      <c r="B2184" s="18"/>
      <c r="C2184" s="18"/>
      <c r="D2184" s="18"/>
      <c r="E2184" s="10" t="str">
        <f>IF(B2184="","",IFERROR(INDEX(Harytlar!$C$5:$C$44,MATCH(B2184,Harytlar!$A$5:$A$44,0)),""))</f>
        <v/>
      </c>
      <c r="F2184" s="10" t="str">
        <f t="shared" si="34"/>
        <v/>
      </c>
      <c r="G2184" s="10" t="str">
        <f>IF(OR(C2184="",B2184=""),"",IFERROR(C2184*INDEX(Harytlar!$D$5:$D$44,MATCH(B2184,Harytlar!$A$5:$A$44,0)),""))</f>
        <v/>
      </c>
    </row>
    <row r="2185" spans="1:7" x14ac:dyDescent="0.3">
      <c r="A2185" s="17"/>
      <c r="B2185" s="18"/>
      <c r="C2185" s="18"/>
      <c r="D2185" s="18"/>
      <c r="E2185" s="10" t="str">
        <f>IF(B2185="","",IFERROR(INDEX(Harytlar!$C$5:$C$44,MATCH(B2185,Harytlar!$A$5:$A$44,0)),""))</f>
        <v/>
      </c>
      <c r="F2185" s="10" t="str">
        <f t="shared" si="34"/>
        <v/>
      </c>
      <c r="G2185" s="10" t="str">
        <f>IF(OR(C2185="",B2185=""),"",IFERROR(C2185*INDEX(Harytlar!$D$5:$D$44,MATCH(B2185,Harytlar!$A$5:$A$44,0)),""))</f>
        <v/>
      </c>
    </row>
    <row r="2186" spans="1:7" x14ac:dyDescent="0.3">
      <c r="A2186" s="17"/>
      <c r="B2186" s="18"/>
      <c r="C2186" s="18"/>
      <c r="D2186" s="18"/>
      <c r="E2186" s="10" t="str">
        <f>IF(B2186="","",IFERROR(INDEX(Harytlar!$C$5:$C$44,MATCH(B2186,Harytlar!$A$5:$A$44,0)),""))</f>
        <v/>
      </c>
      <c r="F2186" s="10" t="str">
        <f t="shared" si="34"/>
        <v/>
      </c>
      <c r="G2186" s="10" t="str">
        <f>IF(OR(C2186="",B2186=""),"",IFERROR(C2186*INDEX(Harytlar!$D$5:$D$44,MATCH(B2186,Harytlar!$A$5:$A$44,0)),""))</f>
        <v/>
      </c>
    </row>
    <row r="2187" spans="1:7" x14ac:dyDescent="0.3">
      <c r="A2187" s="17"/>
      <c r="B2187" s="18"/>
      <c r="C2187" s="18"/>
      <c r="D2187" s="18"/>
      <c r="E2187" s="10" t="str">
        <f>IF(B2187="","",IFERROR(INDEX(Harytlar!$C$5:$C$44,MATCH(B2187,Harytlar!$A$5:$A$44,0)),""))</f>
        <v/>
      </c>
      <c r="F2187" s="10" t="str">
        <f t="shared" si="34"/>
        <v/>
      </c>
      <c r="G2187" s="10" t="str">
        <f>IF(OR(C2187="",B2187=""),"",IFERROR(C2187*INDEX(Harytlar!$D$5:$D$44,MATCH(B2187,Harytlar!$A$5:$A$44,0)),""))</f>
        <v/>
      </c>
    </row>
    <row r="2188" spans="1:7" x14ac:dyDescent="0.3">
      <c r="A2188" s="17"/>
      <c r="B2188" s="18"/>
      <c r="C2188" s="18"/>
      <c r="D2188" s="18"/>
      <c r="E2188" s="10" t="str">
        <f>IF(B2188="","",IFERROR(INDEX(Harytlar!$C$5:$C$44,MATCH(B2188,Harytlar!$A$5:$A$44,0)),""))</f>
        <v/>
      </c>
      <c r="F2188" s="10" t="str">
        <f t="shared" si="34"/>
        <v/>
      </c>
      <c r="G2188" s="10" t="str">
        <f>IF(OR(C2188="",B2188=""),"",IFERROR(C2188*INDEX(Harytlar!$D$5:$D$44,MATCH(B2188,Harytlar!$A$5:$A$44,0)),""))</f>
        <v/>
      </c>
    </row>
    <row r="2189" spans="1:7" x14ac:dyDescent="0.3">
      <c r="A2189" s="17"/>
      <c r="B2189" s="18"/>
      <c r="C2189" s="18"/>
      <c r="D2189" s="18"/>
      <c r="E2189" s="10" t="str">
        <f>IF(B2189="","",IFERROR(INDEX(Harytlar!$C$5:$C$44,MATCH(B2189,Harytlar!$A$5:$A$44,0)),""))</f>
        <v/>
      </c>
      <c r="F2189" s="10" t="str">
        <f t="shared" si="34"/>
        <v/>
      </c>
      <c r="G2189" s="10" t="str">
        <f>IF(OR(C2189="",B2189=""),"",IFERROR(C2189*INDEX(Harytlar!$D$5:$D$44,MATCH(B2189,Harytlar!$A$5:$A$44,0)),""))</f>
        <v/>
      </c>
    </row>
    <row r="2190" spans="1:7" x14ac:dyDescent="0.3">
      <c r="A2190" s="17"/>
      <c r="B2190" s="18"/>
      <c r="C2190" s="18"/>
      <c r="D2190" s="18"/>
      <c r="E2190" s="10" t="str">
        <f>IF(B2190="","",IFERROR(INDEX(Harytlar!$C$5:$C$44,MATCH(B2190,Harytlar!$A$5:$A$44,0)),""))</f>
        <v/>
      </c>
      <c r="F2190" s="10" t="str">
        <f t="shared" si="34"/>
        <v/>
      </c>
      <c r="G2190" s="10" t="str">
        <f>IF(OR(C2190="",B2190=""),"",IFERROR(C2190*INDEX(Harytlar!$D$5:$D$44,MATCH(B2190,Harytlar!$A$5:$A$44,0)),""))</f>
        <v/>
      </c>
    </row>
    <row r="2191" spans="1:7" x14ac:dyDescent="0.3">
      <c r="A2191" s="17"/>
      <c r="B2191" s="18"/>
      <c r="C2191" s="18"/>
      <c r="D2191" s="18"/>
      <c r="E2191" s="10" t="str">
        <f>IF(B2191="","",IFERROR(INDEX(Harytlar!$C$5:$C$44,MATCH(B2191,Harytlar!$A$5:$A$44,0)),""))</f>
        <v/>
      </c>
      <c r="F2191" s="10" t="str">
        <f t="shared" si="34"/>
        <v/>
      </c>
      <c r="G2191" s="10" t="str">
        <f>IF(OR(C2191="",B2191=""),"",IFERROR(C2191*INDEX(Harytlar!$D$5:$D$44,MATCH(B2191,Harytlar!$A$5:$A$44,0)),""))</f>
        <v/>
      </c>
    </row>
    <row r="2192" spans="1:7" x14ac:dyDescent="0.3">
      <c r="A2192" s="17"/>
      <c r="B2192" s="18"/>
      <c r="C2192" s="18"/>
      <c r="D2192" s="18"/>
      <c r="E2192" s="10" t="str">
        <f>IF(B2192="","",IFERROR(INDEX(Harytlar!$C$5:$C$44,MATCH(B2192,Harytlar!$A$5:$A$44,0)),""))</f>
        <v/>
      </c>
      <c r="F2192" s="10" t="str">
        <f t="shared" si="34"/>
        <v/>
      </c>
      <c r="G2192" s="10" t="str">
        <f>IF(OR(C2192="",B2192=""),"",IFERROR(C2192*INDEX(Harytlar!$D$5:$D$44,MATCH(B2192,Harytlar!$A$5:$A$44,0)),""))</f>
        <v/>
      </c>
    </row>
    <row r="2193" spans="1:7" x14ac:dyDescent="0.3">
      <c r="A2193" s="17"/>
      <c r="B2193" s="18"/>
      <c r="C2193" s="18"/>
      <c r="D2193" s="18"/>
      <c r="E2193" s="10" t="str">
        <f>IF(B2193="","",IFERROR(INDEX(Harytlar!$C$5:$C$44,MATCH(B2193,Harytlar!$A$5:$A$44,0)),""))</f>
        <v/>
      </c>
      <c r="F2193" s="10" t="str">
        <f t="shared" si="34"/>
        <v/>
      </c>
      <c r="G2193" s="10" t="str">
        <f>IF(OR(C2193="",B2193=""),"",IFERROR(C2193*INDEX(Harytlar!$D$5:$D$44,MATCH(B2193,Harytlar!$A$5:$A$44,0)),""))</f>
        <v/>
      </c>
    </row>
    <row r="2194" spans="1:7" x14ac:dyDescent="0.3">
      <c r="A2194" s="17"/>
      <c r="B2194" s="18"/>
      <c r="C2194" s="18"/>
      <c r="D2194" s="18"/>
      <c r="E2194" s="10" t="str">
        <f>IF(B2194="","",IFERROR(INDEX(Harytlar!$C$5:$C$44,MATCH(B2194,Harytlar!$A$5:$A$44,0)),""))</f>
        <v/>
      </c>
      <c r="F2194" s="10" t="str">
        <f t="shared" si="34"/>
        <v/>
      </c>
      <c r="G2194" s="10" t="str">
        <f>IF(OR(C2194="",B2194=""),"",IFERROR(C2194*INDEX(Harytlar!$D$5:$D$44,MATCH(B2194,Harytlar!$A$5:$A$44,0)),""))</f>
        <v/>
      </c>
    </row>
    <row r="2195" spans="1:7" x14ac:dyDescent="0.3">
      <c r="A2195" s="17"/>
      <c r="B2195" s="18"/>
      <c r="C2195" s="18"/>
      <c r="D2195" s="18"/>
      <c r="E2195" s="10" t="str">
        <f>IF(B2195="","",IFERROR(INDEX(Harytlar!$C$5:$C$44,MATCH(B2195,Harytlar!$A$5:$A$44,0)),""))</f>
        <v/>
      </c>
      <c r="F2195" s="10" t="str">
        <f t="shared" si="34"/>
        <v/>
      </c>
      <c r="G2195" s="10" t="str">
        <f>IF(OR(C2195="",B2195=""),"",IFERROR(C2195*INDEX(Harytlar!$D$5:$D$44,MATCH(B2195,Harytlar!$A$5:$A$44,0)),""))</f>
        <v/>
      </c>
    </row>
    <row r="2196" spans="1:7" x14ac:dyDescent="0.3">
      <c r="A2196" s="17"/>
      <c r="B2196" s="18"/>
      <c r="C2196" s="18"/>
      <c r="D2196" s="18"/>
      <c r="E2196" s="10" t="str">
        <f>IF(B2196="","",IFERROR(INDEX(Harytlar!$C$5:$C$44,MATCH(B2196,Harytlar!$A$5:$A$44,0)),""))</f>
        <v/>
      </c>
      <c r="F2196" s="10" t="str">
        <f t="shared" si="34"/>
        <v/>
      </c>
      <c r="G2196" s="10" t="str">
        <f>IF(OR(C2196="",B2196=""),"",IFERROR(C2196*INDEX(Harytlar!$D$5:$D$44,MATCH(B2196,Harytlar!$A$5:$A$44,0)),""))</f>
        <v/>
      </c>
    </row>
    <row r="2197" spans="1:7" x14ac:dyDescent="0.3">
      <c r="A2197" s="17"/>
      <c r="B2197" s="18"/>
      <c r="C2197" s="18"/>
      <c r="D2197" s="18"/>
      <c r="E2197" s="10" t="str">
        <f>IF(B2197="","",IFERROR(INDEX(Harytlar!$C$5:$C$44,MATCH(B2197,Harytlar!$A$5:$A$44,0)),""))</f>
        <v/>
      </c>
      <c r="F2197" s="10" t="str">
        <f t="shared" si="34"/>
        <v/>
      </c>
      <c r="G2197" s="10" t="str">
        <f>IF(OR(C2197="",B2197=""),"",IFERROR(C2197*INDEX(Harytlar!$D$5:$D$44,MATCH(B2197,Harytlar!$A$5:$A$44,0)),""))</f>
        <v/>
      </c>
    </row>
    <row r="2198" spans="1:7" x14ac:dyDescent="0.3">
      <c r="A2198" s="17"/>
      <c r="B2198" s="18"/>
      <c r="C2198" s="18"/>
      <c r="D2198" s="18"/>
      <c r="E2198" s="10" t="str">
        <f>IF(B2198="","",IFERROR(INDEX(Harytlar!$C$5:$C$44,MATCH(B2198,Harytlar!$A$5:$A$44,0)),""))</f>
        <v/>
      </c>
      <c r="F2198" s="10" t="str">
        <f t="shared" si="34"/>
        <v/>
      </c>
      <c r="G2198" s="10" t="str">
        <f>IF(OR(C2198="",B2198=""),"",IFERROR(C2198*INDEX(Harytlar!$D$5:$D$44,MATCH(B2198,Harytlar!$A$5:$A$44,0)),""))</f>
        <v/>
      </c>
    </row>
    <row r="2199" spans="1:7" x14ac:dyDescent="0.3">
      <c r="A2199" s="17"/>
      <c r="B2199" s="18"/>
      <c r="C2199" s="18"/>
      <c r="D2199" s="18"/>
      <c r="E2199" s="10" t="str">
        <f>IF(B2199="","",IFERROR(INDEX(Harytlar!$C$5:$C$44,MATCH(B2199,Harytlar!$A$5:$A$44,0)),""))</f>
        <v/>
      </c>
      <c r="F2199" s="10" t="str">
        <f t="shared" si="34"/>
        <v/>
      </c>
      <c r="G2199" s="10" t="str">
        <f>IF(OR(C2199="",B2199=""),"",IFERROR(C2199*INDEX(Harytlar!$D$5:$D$44,MATCH(B2199,Harytlar!$A$5:$A$44,0)),""))</f>
        <v/>
      </c>
    </row>
    <row r="2200" spans="1:7" x14ac:dyDescent="0.3">
      <c r="A2200" s="17"/>
      <c r="B2200" s="18"/>
      <c r="C2200" s="18"/>
      <c r="D2200" s="18"/>
      <c r="E2200" s="10" t="str">
        <f>IF(B2200="","",IFERROR(INDEX(Harytlar!$C$5:$C$44,MATCH(B2200,Harytlar!$A$5:$A$44,0)),""))</f>
        <v/>
      </c>
      <c r="F2200" s="10" t="str">
        <f t="shared" si="34"/>
        <v/>
      </c>
      <c r="G2200" s="10" t="str">
        <f>IF(OR(C2200="",B2200=""),"",IFERROR(C2200*INDEX(Harytlar!$D$5:$D$44,MATCH(B2200,Harytlar!$A$5:$A$44,0)),""))</f>
        <v/>
      </c>
    </row>
    <row r="2201" spans="1:7" x14ac:dyDescent="0.3">
      <c r="A2201" s="17"/>
      <c r="B2201" s="18"/>
      <c r="C2201" s="18"/>
      <c r="D2201" s="18"/>
      <c r="E2201" s="10" t="str">
        <f>IF(B2201="","",IFERROR(INDEX(Harytlar!$C$5:$C$44,MATCH(B2201,Harytlar!$A$5:$A$44,0)),""))</f>
        <v/>
      </c>
      <c r="F2201" s="10" t="str">
        <f t="shared" si="34"/>
        <v/>
      </c>
      <c r="G2201" s="10" t="str">
        <f>IF(OR(C2201="",B2201=""),"",IFERROR(C2201*INDEX(Harytlar!$D$5:$D$44,MATCH(B2201,Harytlar!$A$5:$A$44,0)),""))</f>
        <v/>
      </c>
    </row>
    <row r="2202" spans="1:7" x14ac:dyDescent="0.3">
      <c r="A2202" s="17"/>
      <c r="B2202" s="18"/>
      <c r="C2202" s="18"/>
      <c r="D2202" s="18"/>
      <c r="E2202" s="10" t="str">
        <f>IF(B2202="","",IFERROR(INDEX(Harytlar!$C$5:$C$44,MATCH(B2202,Harytlar!$A$5:$A$44,0)),""))</f>
        <v/>
      </c>
      <c r="F2202" s="10" t="str">
        <f t="shared" si="34"/>
        <v/>
      </c>
      <c r="G2202" s="10" t="str">
        <f>IF(OR(C2202="",B2202=""),"",IFERROR(C2202*INDEX(Harytlar!$D$5:$D$44,MATCH(B2202,Harytlar!$A$5:$A$44,0)),""))</f>
        <v/>
      </c>
    </row>
    <row r="2203" spans="1:7" x14ac:dyDescent="0.3">
      <c r="A2203" s="17"/>
      <c r="B2203" s="18"/>
      <c r="C2203" s="18"/>
      <c r="D2203" s="18"/>
      <c r="E2203" s="10" t="str">
        <f>IF(B2203="","",IFERROR(INDEX(Harytlar!$C$5:$C$44,MATCH(B2203,Harytlar!$A$5:$A$44,0)),""))</f>
        <v/>
      </c>
      <c r="F2203" s="10" t="str">
        <f t="shared" si="34"/>
        <v/>
      </c>
      <c r="G2203" s="10" t="str">
        <f>IF(OR(C2203="",B2203=""),"",IFERROR(C2203*INDEX(Harytlar!$D$5:$D$44,MATCH(B2203,Harytlar!$A$5:$A$44,0)),""))</f>
        <v/>
      </c>
    </row>
    <row r="2204" spans="1:7" x14ac:dyDescent="0.3">
      <c r="A2204" s="17"/>
      <c r="B2204" s="18"/>
      <c r="C2204" s="18"/>
      <c r="D2204" s="18"/>
      <c r="E2204" s="10" t="str">
        <f>IF(B2204="","",IFERROR(INDEX(Harytlar!$C$5:$C$44,MATCH(B2204,Harytlar!$A$5:$A$44,0)),""))</f>
        <v/>
      </c>
      <c r="F2204" s="10" t="str">
        <f t="shared" si="34"/>
        <v/>
      </c>
      <c r="G2204" s="10" t="str">
        <f>IF(OR(C2204="",B2204=""),"",IFERROR(C2204*INDEX(Harytlar!$D$5:$D$44,MATCH(B2204,Harytlar!$A$5:$A$44,0)),""))</f>
        <v/>
      </c>
    </row>
    <row r="2205" spans="1:7" x14ac:dyDescent="0.3">
      <c r="A2205" s="17"/>
      <c r="B2205" s="18"/>
      <c r="C2205" s="18"/>
      <c r="D2205" s="18"/>
      <c r="E2205" s="10" t="str">
        <f>IF(B2205="","",IFERROR(INDEX(Harytlar!$C$5:$C$44,MATCH(B2205,Harytlar!$A$5:$A$44,0)),""))</f>
        <v/>
      </c>
      <c r="F2205" s="10" t="str">
        <f t="shared" si="34"/>
        <v/>
      </c>
      <c r="G2205" s="10" t="str">
        <f>IF(OR(C2205="",B2205=""),"",IFERROR(C2205*INDEX(Harytlar!$D$5:$D$44,MATCH(B2205,Harytlar!$A$5:$A$44,0)),""))</f>
        <v/>
      </c>
    </row>
    <row r="2206" spans="1:7" x14ac:dyDescent="0.3">
      <c r="A2206" s="17"/>
      <c r="B2206" s="18"/>
      <c r="C2206" s="18"/>
      <c r="D2206" s="18"/>
      <c r="E2206" s="10" t="str">
        <f>IF(B2206="","",IFERROR(INDEX(Harytlar!$C$5:$C$44,MATCH(B2206,Harytlar!$A$5:$A$44,0)),""))</f>
        <v/>
      </c>
      <c r="F2206" s="10" t="str">
        <f t="shared" si="34"/>
        <v/>
      </c>
      <c r="G2206" s="10" t="str">
        <f>IF(OR(C2206="",B2206=""),"",IFERROR(C2206*INDEX(Harytlar!$D$5:$D$44,MATCH(B2206,Harytlar!$A$5:$A$44,0)),""))</f>
        <v/>
      </c>
    </row>
    <row r="2207" spans="1:7" x14ac:dyDescent="0.3">
      <c r="A2207" s="17"/>
      <c r="B2207" s="18"/>
      <c r="C2207" s="18"/>
      <c r="D2207" s="18"/>
      <c r="E2207" s="10" t="str">
        <f>IF(B2207="","",IFERROR(INDEX(Harytlar!$C$5:$C$44,MATCH(B2207,Harytlar!$A$5:$A$44,0)),""))</f>
        <v/>
      </c>
      <c r="F2207" s="10" t="str">
        <f t="shared" si="34"/>
        <v/>
      </c>
      <c r="G2207" s="10" t="str">
        <f>IF(OR(C2207="",B2207=""),"",IFERROR(C2207*INDEX(Harytlar!$D$5:$D$44,MATCH(B2207,Harytlar!$A$5:$A$44,0)),""))</f>
        <v/>
      </c>
    </row>
    <row r="2208" spans="1:7" x14ac:dyDescent="0.3">
      <c r="A2208" s="17"/>
      <c r="B2208" s="18"/>
      <c r="C2208" s="18"/>
      <c r="D2208" s="18"/>
      <c r="E2208" s="10" t="str">
        <f>IF(B2208="","",IFERROR(INDEX(Harytlar!$C$5:$C$44,MATCH(B2208,Harytlar!$A$5:$A$44,0)),""))</f>
        <v/>
      </c>
      <c r="F2208" s="10" t="str">
        <f t="shared" si="34"/>
        <v/>
      </c>
      <c r="G2208" s="10" t="str">
        <f>IF(OR(C2208="",B2208=""),"",IFERROR(C2208*INDEX(Harytlar!$D$5:$D$44,MATCH(B2208,Harytlar!$A$5:$A$44,0)),""))</f>
        <v/>
      </c>
    </row>
    <row r="2209" spans="1:7" x14ac:dyDescent="0.3">
      <c r="A2209" s="17"/>
      <c r="B2209" s="18"/>
      <c r="C2209" s="18"/>
      <c r="D2209" s="18"/>
      <c r="E2209" s="10" t="str">
        <f>IF(B2209="","",IFERROR(INDEX(Harytlar!$C$5:$C$44,MATCH(B2209,Harytlar!$A$5:$A$44,0)),""))</f>
        <v/>
      </c>
      <c r="F2209" s="10" t="str">
        <f t="shared" si="34"/>
        <v/>
      </c>
      <c r="G2209" s="10" t="str">
        <f>IF(OR(C2209="",B2209=""),"",IFERROR(C2209*INDEX(Harytlar!$D$5:$D$44,MATCH(B2209,Harytlar!$A$5:$A$44,0)),""))</f>
        <v/>
      </c>
    </row>
    <row r="2210" spans="1:7" x14ac:dyDescent="0.3">
      <c r="A2210" s="17"/>
      <c r="B2210" s="18"/>
      <c r="C2210" s="18"/>
      <c r="D2210" s="18"/>
      <c r="E2210" s="10" t="str">
        <f>IF(B2210="","",IFERROR(INDEX(Harytlar!$C$5:$C$44,MATCH(B2210,Harytlar!$A$5:$A$44,0)),""))</f>
        <v/>
      </c>
      <c r="F2210" s="10" t="str">
        <f t="shared" si="34"/>
        <v/>
      </c>
      <c r="G2210" s="10" t="str">
        <f>IF(OR(C2210="",B2210=""),"",IFERROR(C2210*INDEX(Harytlar!$D$5:$D$44,MATCH(B2210,Harytlar!$A$5:$A$44,0)),""))</f>
        <v/>
      </c>
    </row>
    <row r="2211" spans="1:7" x14ac:dyDescent="0.3">
      <c r="A2211" s="17"/>
      <c r="B2211" s="18"/>
      <c r="C2211" s="18"/>
      <c r="D2211" s="18"/>
      <c r="E2211" s="10" t="str">
        <f>IF(B2211="","",IFERROR(INDEX(Harytlar!$C$5:$C$44,MATCH(B2211,Harytlar!$A$5:$A$44,0)),""))</f>
        <v/>
      </c>
      <c r="F2211" s="10" t="str">
        <f t="shared" si="34"/>
        <v/>
      </c>
      <c r="G2211" s="10" t="str">
        <f>IF(OR(C2211="",B2211=""),"",IFERROR(C2211*INDEX(Harytlar!$D$5:$D$44,MATCH(B2211,Harytlar!$A$5:$A$44,0)),""))</f>
        <v/>
      </c>
    </row>
    <row r="2212" spans="1:7" x14ac:dyDescent="0.3">
      <c r="A2212" s="17"/>
      <c r="B2212" s="18"/>
      <c r="C2212" s="18"/>
      <c r="D2212" s="18"/>
      <c r="E2212" s="10" t="str">
        <f>IF(B2212="","",IFERROR(INDEX(Harytlar!$C$5:$C$44,MATCH(B2212,Harytlar!$A$5:$A$44,0)),""))</f>
        <v/>
      </c>
      <c r="F2212" s="10" t="str">
        <f t="shared" si="34"/>
        <v/>
      </c>
      <c r="G2212" s="10" t="str">
        <f>IF(OR(C2212="",B2212=""),"",IFERROR(C2212*INDEX(Harytlar!$D$5:$D$44,MATCH(B2212,Harytlar!$A$5:$A$44,0)),""))</f>
        <v/>
      </c>
    </row>
    <row r="2213" spans="1:7" x14ac:dyDescent="0.3">
      <c r="A2213" s="17"/>
      <c r="B2213" s="18"/>
      <c r="C2213" s="18"/>
      <c r="D2213" s="18"/>
      <c r="E2213" s="10" t="str">
        <f>IF(B2213="","",IFERROR(INDEX(Harytlar!$C$5:$C$44,MATCH(B2213,Harytlar!$A$5:$A$44,0)),""))</f>
        <v/>
      </c>
      <c r="F2213" s="10" t="str">
        <f t="shared" si="34"/>
        <v/>
      </c>
      <c r="G2213" s="10" t="str">
        <f>IF(OR(C2213="",B2213=""),"",IFERROR(C2213*INDEX(Harytlar!$D$5:$D$44,MATCH(B2213,Harytlar!$A$5:$A$44,0)),""))</f>
        <v/>
      </c>
    </row>
    <row r="2214" spans="1:7" x14ac:dyDescent="0.3">
      <c r="A2214" s="17"/>
      <c r="B2214" s="18"/>
      <c r="C2214" s="18"/>
      <c r="D2214" s="18"/>
      <c r="E2214" s="10" t="str">
        <f>IF(B2214="","",IFERROR(INDEX(Harytlar!$C$5:$C$44,MATCH(B2214,Harytlar!$A$5:$A$44,0)),""))</f>
        <v/>
      </c>
      <c r="F2214" s="10" t="str">
        <f t="shared" si="34"/>
        <v/>
      </c>
      <c r="G2214" s="10" t="str">
        <f>IF(OR(C2214="",B2214=""),"",IFERROR(C2214*INDEX(Harytlar!$D$5:$D$44,MATCH(B2214,Harytlar!$A$5:$A$44,0)),""))</f>
        <v/>
      </c>
    </row>
    <row r="2215" spans="1:7" x14ac:dyDescent="0.3">
      <c r="A2215" s="17"/>
      <c r="B2215" s="18"/>
      <c r="C2215" s="18"/>
      <c r="D2215" s="18"/>
      <c r="E2215" s="10" t="str">
        <f>IF(B2215="","",IFERROR(INDEX(Harytlar!$C$5:$C$44,MATCH(B2215,Harytlar!$A$5:$A$44,0)),""))</f>
        <v/>
      </c>
      <c r="F2215" s="10" t="str">
        <f t="shared" si="34"/>
        <v/>
      </c>
      <c r="G2215" s="10" t="str">
        <f>IF(OR(C2215="",B2215=""),"",IFERROR(C2215*INDEX(Harytlar!$D$5:$D$44,MATCH(B2215,Harytlar!$A$5:$A$44,0)),""))</f>
        <v/>
      </c>
    </row>
    <row r="2216" spans="1:7" x14ac:dyDescent="0.3">
      <c r="A2216" s="17"/>
      <c r="B2216" s="18"/>
      <c r="C2216" s="18"/>
      <c r="D2216" s="18"/>
      <c r="E2216" s="10" t="str">
        <f>IF(B2216="","",IFERROR(INDEX(Harytlar!$C$5:$C$44,MATCH(B2216,Harytlar!$A$5:$A$44,0)),""))</f>
        <v/>
      </c>
      <c r="F2216" s="10" t="str">
        <f t="shared" si="34"/>
        <v/>
      </c>
      <c r="G2216" s="10" t="str">
        <f>IF(OR(C2216="",B2216=""),"",IFERROR(C2216*INDEX(Harytlar!$D$5:$D$44,MATCH(B2216,Harytlar!$A$5:$A$44,0)),""))</f>
        <v/>
      </c>
    </row>
    <row r="2217" spans="1:7" x14ac:dyDescent="0.3">
      <c r="A2217" s="17"/>
      <c r="B2217" s="18"/>
      <c r="C2217" s="18"/>
      <c r="D2217" s="18"/>
      <c r="E2217" s="10" t="str">
        <f>IF(B2217="","",IFERROR(INDEX(Harytlar!$C$5:$C$44,MATCH(B2217,Harytlar!$A$5:$A$44,0)),""))</f>
        <v/>
      </c>
      <c r="F2217" s="10" t="str">
        <f t="shared" si="34"/>
        <v/>
      </c>
      <c r="G2217" s="10" t="str">
        <f>IF(OR(C2217="",B2217=""),"",IFERROR(C2217*INDEX(Harytlar!$D$5:$D$44,MATCH(B2217,Harytlar!$A$5:$A$44,0)),""))</f>
        <v/>
      </c>
    </row>
    <row r="2218" spans="1:7" x14ac:dyDescent="0.3">
      <c r="A2218" s="17"/>
      <c r="B2218" s="18"/>
      <c r="C2218" s="18"/>
      <c r="D2218" s="18"/>
      <c r="E2218" s="10" t="str">
        <f>IF(B2218="","",IFERROR(INDEX(Harytlar!$C$5:$C$44,MATCH(B2218,Harytlar!$A$5:$A$44,0)),""))</f>
        <v/>
      </c>
      <c r="F2218" s="10" t="str">
        <f t="shared" si="34"/>
        <v/>
      </c>
      <c r="G2218" s="10" t="str">
        <f>IF(OR(C2218="",B2218=""),"",IFERROR(C2218*INDEX(Harytlar!$D$5:$D$44,MATCH(B2218,Harytlar!$A$5:$A$44,0)),""))</f>
        <v/>
      </c>
    </row>
    <row r="2219" spans="1:7" x14ac:dyDescent="0.3">
      <c r="A2219" s="17"/>
      <c r="B2219" s="18"/>
      <c r="C2219" s="18"/>
      <c r="D2219" s="18"/>
      <c r="E2219" s="10" t="str">
        <f>IF(B2219="","",IFERROR(INDEX(Harytlar!$C$5:$C$44,MATCH(B2219,Harytlar!$A$5:$A$44,0)),""))</f>
        <v/>
      </c>
      <c r="F2219" s="10" t="str">
        <f t="shared" si="34"/>
        <v/>
      </c>
      <c r="G2219" s="10" t="str">
        <f>IF(OR(C2219="",B2219=""),"",IFERROR(C2219*INDEX(Harytlar!$D$5:$D$44,MATCH(B2219,Harytlar!$A$5:$A$44,0)),""))</f>
        <v/>
      </c>
    </row>
    <row r="2220" spans="1:7" x14ac:dyDescent="0.3">
      <c r="A2220" s="17"/>
      <c r="B2220" s="18"/>
      <c r="C2220" s="18"/>
      <c r="D2220" s="18"/>
      <c r="E2220" s="10" t="str">
        <f>IF(B2220="","",IFERROR(INDEX(Harytlar!$C$5:$C$44,MATCH(B2220,Harytlar!$A$5:$A$44,0)),""))</f>
        <v/>
      </c>
      <c r="F2220" s="10" t="str">
        <f t="shared" si="34"/>
        <v/>
      </c>
      <c r="G2220" s="10" t="str">
        <f>IF(OR(C2220="",B2220=""),"",IFERROR(C2220*INDEX(Harytlar!$D$5:$D$44,MATCH(B2220,Harytlar!$A$5:$A$44,0)),""))</f>
        <v/>
      </c>
    </row>
    <row r="2221" spans="1:7" x14ac:dyDescent="0.3">
      <c r="A2221" s="17"/>
      <c r="B2221" s="18"/>
      <c r="C2221" s="18"/>
      <c r="D2221" s="18"/>
      <c r="E2221" s="10" t="str">
        <f>IF(B2221="","",IFERROR(INDEX(Harytlar!$C$5:$C$44,MATCH(B2221,Harytlar!$A$5:$A$44,0)),""))</f>
        <v/>
      </c>
      <c r="F2221" s="10" t="str">
        <f t="shared" si="34"/>
        <v/>
      </c>
      <c r="G2221" s="10" t="str">
        <f>IF(OR(C2221="",B2221=""),"",IFERROR(C2221*INDEX(Harytlar!$D$5:$D$44,MATCH(B2221,Harytlar!$A$5:$A$44,0)),""))</f>
        <v/>
      </c>
    </row>
    <row r="2222" spans="1:7" x14ac:dyDescent="0.3">
      <c r="A2222" s="17"/>
      <c r="B2222" s="18"/>
      <c r="C2222" s="18"/>
      <c r="D2222" s="18"/>
      <c r="E2222" s="10" t="str">
        <f>IF(B2222="","",IFERROR(INDEX(Harytlar!$C$5:$C$44,MATCH(B2222,Harytlar!$A$5:$A$44,0)),""))</f>
        <v/>
      </c>
      <c r="F2222" s="10" t="str">
        <f t="shared" si="34"/>
        <v/>
      </c>
      <c r="G2222" s="10" t="str">
        <f>IF(OR(C2222="",B2222=""),"",IFERROR(C2222*INDEX(Harytlar!$D$5:$D$44,MATCH(B2222,Harytlar!$A$5:$A$44,0)),""))</f>
        <v/>
      </c>
    </row>
    <row r="2223" spans="1:7" x14ac:dyDescent="0.3">
      <c r="A2223" s="17"/>
      <c r="B2223" s="18"/>
      <c r="C2223" s="18"/>
      <c r="D2223" s="18"/>
      <c r="E2223" s="10" t="str">
        <f>IF(B2223="","",IFERROR(INDEX(Harytlar!$C$5:$C$44,MATCH(B2223,Harytlar!$A$5:$A$44,0)),""))</f>
        <v/>
      </c>
      <c r="F2223" s="10" t="str">
        <f t="shared" si="34"/>
        <v/>
      </c>
      <c r="G2223" s="10" t="str">
        <f>IF(OR(C2223="",B2223=""),"",IFERROR(C2223*INDEX(Harytlar!$D$5:$D$44,MATCH(B2223,Harytlar!$A$5:$A$44,0)),""))</f>
        <v/>
      </c>
    </row>
    <row r="2224" spans="1:7" x14ac:dyDescent="0.3">
      <c r="A2224" s="17"/>
      <c r="B2224" s="18"/>
      <c r="C2224" s="18"/>
      <c r="D2224" s="18"/>
      <c r="E2224" s="10" t="str">
        <f>IF(B2224="","",IFERROR(INDEX(Harytlar!$C$5:$C$44,MATCH(B2224,Harytlar!$A$5:$A$44,0)),""))</f>
        <v/>
      </c>
      <c r="F2224" s="10" t="str">
        <f t="shared" si="34"/>
        <v/>
      </c>
      <c r="G2224" s="10" t="str">
        <f>IF(OR(C2224="",B2224=""),"",IFERROR(C2224*INDEX(Harytlar!$D$5:$D$44,MATCH(B2224,Harytlar!$A$5:$A$44,0)),""))</f>
        <v/>
      </c>
    </row>
    <row r="2225" spans="1:7" x14ac:dyDescent="0.3">
      <c r="A2225" s="17"/>
      <c r="B2225" s="18"/>
      <c r="C2225" s="18"/>
      <c r="D2225" s="18"/>
      <c r="E2225" s="10" t="str">
        <f>IF(B2225="","",IFERROR(INDEX(Harytlar!$C$5:$C$44,MATCH(B2225,Harytlar!$A$5:$A$44,0)),""))</f>
        <v/>
      </c>
      <c r="F2225" s="10" t="str">
        <f t="shared" si="34"/>
        <v/>
      </c>
      <c r="G2225" s="10" t="str">
        <f>IF(OR(C2225="",B2225=""),"",IFERROR(C2225*INDEX(Harytlar!$D$5:$D$44,MATCH(B2225,Harytlar!$A$5:$A$44,0)),""))</f>
        <v/>
      </c>
    </row>
    <row r="2226" spans="1:7" x14ac:dyDescent="0.3">
      <c r="A2226" s="17"/>
      <c r="B2226" s="18"/>
      <c r="C2226" s="18"/>
      <c r="D2226" s="18"/>
      <c r="E2226" s="10" t="str">
        <f>IF(B2226="","",IFERROR(INDEX(Harytlar!$C$5:$C$44,MATCH(B2226,Harytlar!$A$5:$A$44,0)),""))</f>
        <v/>
      </c>
      <c r="F2226" s="10" t="str">
        <f t="shared" si="34"/>
        <v/>
      </c>
      <c r="G2226" s="10" t="str">
        <f>IF(OR(C2226="",B2226=""),"",IFERROR(C2226*INDEX(Harytlar!$D$5:$D$44,MATCH(B2226,Harytlar!$A$5:$A$44,0)),""))</f>
        <v/>
      </c>
    </row>
    <row r="2227" spans="1:7" x14ac:dyDescent="0.3">
      <c r="A2227" s="17"/>
      <c r="B2227" s="18"/>
      <c r="C2227" s="18"/>
      <c r="D2227" s="18"/>
      <c r="E2227" s="10" t="str">
        <f>IF(B2227="","",IFERROR(INDEX(Harytlar!$C$5:$C$44,MATCH(B2227,Harytlar!$A$5:$A$44,0)),""))</f>
        <v/>
      </c>
      <c r="F2227" s="10" t="str">
        <f t="shared" si="34"/>
        <v/>
      </c>
      <c r="G2227" s="10" t="str">
        <f>IF(OR(C2227="",B2227=""),"",IFERROR(C2227*INDEX(Harytlar!$D$5:$D$44,MATCH(B2227,Harytlar!$A$5:$A$44,0)),""))</f>
        <v/>
      </c>
    </row>
    <row r="2228" spans="1:7" x14ac:dyDescent="0.3">
      <c r="A2228" s="17"/>
      <c r="B2228" s="18"/>
      <c r="C2228" s="18"/>
      <c r="D2228" s="18"/>
      <c r="E2228" s="10" t="str">
        <f>IF(B2228="","",IFERROR(INDEX(Harytlar!$C$5:$C$44,MATCH(B2228,Harytlar!$A$5:$A$44,0)),""))</f>
        <v/>
      </c>
      <c r="F2228" s="10" t="str">
        <f t="shared" si="34"/>
        <v/>
      </c>
      <c r="G2228" s="10" t="str">
        <f>IF(OR(C2228="",B2228=""),"",IFERROR(C2228*INDEX(Harytlar!$D$5:$D$44,MATCH(B2228,Harytlar!$A$5:$A$44,0)),""))</f>
        <v/>
      </c>
    </row>
    <row r="2229" spans="1:7" x14ac:dyDescent="0.3">
      <c r="A2229" s="17"/>
      <c r="B2229" s="18"/>
      <c r="C2229" s="18"/>
      <c r="D2229" s="18"/>
      <c r="E2229" s="10" t="str">
        <f>IF(B2229="","",IFERROR(INDEX(Harytlar!$C$5:$C$44,MATCH(B2229,Harytlar!$A$5:$A$44,0)),""))</f>
        <v/>
      </c>
      <c r="F2229" s="10" t="str">
        <f t="shared" si="34"/>
        <v/>
      </c>
      <c r="G2229" s="10" t="str">
        <f>IF(OR(C2229="",B2229=""),"",IFERROR(C2229*INDEX(Harytlar!$D$5:$D$44,MATCH(B2229,Harytlar!$A$5:$A$44,0)),""))</f>
        <v/>
      </c>
    </row>
    <row r="2230" spans="1:7" x14ac:dyDescent="0.3">
      <c r="A2230" s="17"/>
      <c r="B2230" s="18"/>
      <c r="C2230" s="18"/>
      <c r="D2230" s="18"/>
      <c r="E2230" s="10" t="str">
        <f>IF(B2230="","",IFERROR(INDEX(Harytlar!$C$5:$C$44,MATCH(B2230,Harytlar!$A$5:$A$44,0)),""))</f>
        <v/>
      </c>
      <c r="F2230" s="10" t="str">
        <f t="shared" si="34"/>
        <v/>
      </c>
      <c r="G2230" s="10" t="str">
        <f>IF(OR(C2230="",B2230=""),"",IFERROR(C2230*INDEX(Harytlar!$D$5:$D$44,MATCH(B2230,Harytlar!$A$5:$A$44,0)),""))</f>
        <v/>
      </c>
    </row>
    <row r="2231" spans="1:7" x14ac:dyDescent="0.3">
      <c r="A2231" s="17"/>
      <c r="B2231" s="18"/>
      <c r="C2231" s="18"/>
      <c r="D2231" s="18"/>
      <c r="E2231" s="10" t="str">
        <f>IF(B2231="","",IFERROR(INDEX(Harytlar!$C$5:$C$44,MATCH(B2231,Harytlar!$A$5:$A$44,0)),""))</f>
        <v/>
      </c>
      <c r="F2231" s="10" t="str">
        <f t="shared" si="34"/>
        <v/>
      </c>
      <c r="G2231" s="10" t="str">
        <f>IF(OR(C2231="",B2231=""),"",IFERROR(C2231*INDEX(Harytlar!$D$5:$D$44,MATCH(B2231,Harytlar!$A$5:$A$44,0)),""))</f>
        <v/>
      </c>
    </row>
    <row r="2232" spans="1:7" x14ac:dyDescent="0.3">
      <c r="A2232" s="17"/>
      <c r="B2232" s="18"/>
      <c r="C2232" s="18"/>
      <c r="D2232" s="18"/>
      <c r="E2232" s="10" t="str">
        <f>IF(B2232="","",IFERROR(INDEX(Harytlar!$C$5:$C$44,MATCH(B2232,Harytlar!$A$5:$A$44,0)),""))</f>
        <v/>
      </c>
      <c r="F2232" s="10" t="str">
        <f t="shared" si="34"/>
        <v/>
      </c>
      <c r="G2232" s="10" t="str">
        <f>IF(OR(C2232="",B2232=""),"",IFERROR(C2232*INDEX(Harytlar!$D$5:$D$44,MATCH(B2232,Harytlar!$A$5:$A$44,0)),""))</f>
        <v/>
      </c>
    </row>
    <row r="2233" spans="1:7" x14ac:dyDescent="0.3">
      <c r="A2233" s="17"/>
      <c r="B2233" s="18"/>
      <c r="C2233" s="18"/>
      <c r="D2233" s="18"/>
      <c r="E2233" s="10" t="str">
        <f>IF(B2233="","",IFERROR(INDEX(Harytlar!$C$5:$C$44,MATCH(B2233,Harytlar!$A$5:$A$44,0)),""))</f>
        <v/>
      </c>
      <c r="F2233" s="10" t="str">
        <f t="shared" si="34"/>
        <v/>
      </c>
      <c r="G2233" s="10" t="str">
        <f>IF(OR(C2233="",B2233=""),"",IFERROR(C2233*INDEX(Harytlar!$D$5:$D$44,MATCH(B2233,Harytlar!$A$5:$A$44,0)),""))</f>
        <v/>
      </c>
    </row>
    <row r="2234" spans="1:7" x14ac:dyDescent="0.3">
      <c r="A2234" s="17"/>
      <c r="B2234" s="18"/>
      <c r="C2234" s="18"/>
      <c r="D2234" s="18"/>
      <c r="E2234" s="10" t="str">
        <f>IF(B2234="","",IFERROR(INDEX(Harytlar!$C$5:$C$44,MATCH(B2234,Harytlar!$A$5:$A$44,0)),""))</f>
        <v/>
      </c>
      <c r="F2234" s="10" t="str">
        <f t="shared" si="34"/>
        <v/>
      </c>
      <c r="G2234" s="10" t="str">
        <f>IF(OR(C2234="",B2234=""),"",IFERROR(C2234*INDEX(Harytlar!$D$5:$D$44,MATCH(B2234,Harytlar!$A$5:$A$44,0)),""))</f>
        <v/>
      </c>
    </row>
    <row r="2235" spans="1:7" x14ac:dyDescent="0.3">
      <c r="A2235" s="17"/>
      <c r="B2235" s="18"/>
      <c r="C2235" s="18"/>
      <c r="D2235" s="18"/>
      <c r="E2235" s="10" t="str">
        <f>IF(B2235="","",IFERROR(INDEX(Harytlar!$C$5:$C$44,MATCH(B2235,Harytlar!$A$5:$A$44,0)),""))</f>
        <v/>
      </c>
      <c r="F2235" s="10" t="str">
        <f t="shared" si="34"/>
        <v/>
      </c>
      <c r="G2235" s="10" t="str">
        <f>IF(OR(C2235="",B2235=""),"",IFERROR(C2235*INDEX(Harytlar!$D$5:$D$44,MATCH(B2235,Harytlar!$A$5:$A$44,0)),""))</f>
        <v/>
      </c>
    </row>
    <row r="2236" spans="1:7" x14ac:dyDescent="0.3">
      <c r="A2236" s="17"/>
      <c r="B2236" s="18"/>
      <c r="C2236" s="18"/>
      <c r="D2236" s="18"/>
      <c r="E2236" s="10" t="str">
        <f>IF(B2236="","",IFERROR(INDEX(Harytlar!$C$5:$C$44,MATCH(B2236,Harytlar!$A$5:$A$44,0)),""))</f>
        <v/>
      </c>
      <c r="F2236" s="10" t="str">
        <f t="shared" si="34"/>
        <v/>
      </c>
      <c r="G2236" s="10" t="str">
        <f>IF(OR(C2236="",B2236=""),"",IFERROR(C2236*INDEX(Harytlar!$D$5:$D$44,MATCH(B2236,Harytlar!$A$5:$A$44,0)),""))</f>
        <v/>
      </c>
    </row>
    <row r="2237" spans="1:7" x14ac:dyDescent="0.3">
      <c r="A2237" s="17"/>
      <c r="B2237" s="18"/>
      <c r="C2237" s="18"/>
      <c r="D2237" s="18"/>
      <c r="E2237" s="10" t="str">
        <f>IF(B2237="","",IFERROR(INDEX(Harytlar!$C$5:$C$44,MATCH(B2237,Harytlar!$A$5:$A$44,0)),""))</f>
        <v/>
      </c>
      <c r="F2237" s="10" t="str">
        <f t="shared" si="34"/>
        <v/>
      </c>
      <c r="G2237" s="10" t="str">
        <f>IF(OR(C2237="",B2237=""),"",IFERROR(C2237*INDEX(Harytlar!$D$5:$D$44,MATCH(B2237,Harytlar!$A$5:$A$44,0)),""))</f>
        <v/>
      </c>
    </row>
    <row r="2238" spans="1:7" x14ac:dyDescent="0.3">
      <c r="A2238" s="17"/>
      <c r="B2238" s="18"/>
      <c r="C2238" s="18"/>
      <c r="D2238" s="18"/>
      <c r="E2238" s="10" t="str">
        <f>IF(B2238="","",IFERROR(INDEX(Harytlar!$C$5:$C$44,MATCH(B2238,Harytlar!$A$5:$A$44,0)),""))</f>
        <v/>
      </c>
      <c r="F2238" s="10" t="str">
        <f t="shared" si="34"/>
        <v/>
      </c>
      <c r="G2238" s="10" t="str">
        <f>IF(OR(C2238="",B2238=""),"",IFERROR(C2238*INDEX(Harytlar!$D$5:$D$44,MATCH(B2238,Harytlar!$A$5:$A$44,0)),""))</f>
        <v/>
      </c>
    </row>
    <row r="2239" spans="1:7" x14ac:dyDescent="0.3">
      <c r="A2239" s="17"/>
      <c r="B2239" s="18"/>
      <c r="C2239" s="18"/>
      <c r="D2239" s="18"/>
      <c r="E2239" s="10" t="str">
        <f>IF(B2239="","",IFERROR(INDEX(Harytlar!$C$5:$C$44,MATCH(B2239,Harytlar!$A$5:$A$44,0)),""))</f>
        <v/>
      </c>
      <c r="F2239" s="10" t="str">
        <f t="shared" si="34"/>
        <v/>
      </c>
      <c r="G2239" s="10" t="str">
        <f>IF(OR(C2239="",B2239=""),"",IFERROR(C2239*INDEX(Harytlar!$D$5:$D$44,MATCH(B2239,Harytlar!$A$5:$A$44,0)),""))</f>
        <v/>
      </c>
    </row>
    <row r="2240" spans="1:7" x14ac:dyDescent="0.3">
      <c r="A2240" s="17"/>
      <c r="B2240" s="18"/>
      <c r="C2240" s="18"/>
      <c r="D2240" s="18"/>
      <c r="E2240" s="10" t="str">
        <f>IF(B2240="","",IFERROR(INDEX(Harytlar!$C$5:$C$44,MATCH(B2240,Harytlar!$A$5:$A$44,0)),""))</f>
        <v/>
      </c>
      <c r="F2240" s="10" t="str">
        <f t="shared" si="34"/>
        <v/>
      </c>
      <c r="G2240" s="10" t="str">
        <f>IF(OR(C2240="",B2240=""),"",IFERROR(C2240*INDEX(Harytlar!$D$5:$D$44,MATCH(B2240,Harytlar!$A$5:$A$44,0)),""))</f>
        <v/>
      </c>
    </row>
    <row r="2241" spans="1:7" x14ac:dyDescent="0.3">
      <c r="A2241" s="17"/>
      <c r="B2241" s="18"/>
      <c r="C2241" s="18"/>
      <c r="D2241" s="18"/>
      <c r="E2241" s="10" t="str">
        <f>IF(B2241="","",IFERROR(INDEX(Harytlar!$C$5:$C$44,MATCH(B2241,Harytlar!$A$5:$A$44,0)),""))</f>
        <v/>
      </c>
      <c r="F2241" s="10" t="str">
        <f t="shared" si="34"/>
        <v/>
      </c>
      <c r="G2241" s="10" t="str">
        <f>IF(OR(C2241="",B2241=""),"",IFERROR(C2241*INDEX(Harytlar!$D$5:$D$44,MATCH(B2241,Harytlar!$A$5:$A$44,0)),""))</f>
        <v/>
      </c>
    </row>
    <row r="2242" spans="1:7" x14ac:dyDescent="0.3">
      <c r="A2242" s="17"/>
      <c r="B2242" s="18"/>
      <c r="C2242" s="18"/>
      <c r="D2242" s="18"/>
      <c r="E2242" s="10" t="str">
        <f>IF(B2242="","",IFERROR(INDEX(Harytlar!$C$5:$C$44,MATCH(B2242,Harytlar!$A$5:$A$44,0)),""))</f>
        <v/>
      </c>
      <c r="F2242" s="10" t="str">
        <f t="shared" si="34"/>
        <v/>
      </c>
      <c r="G2242" s="10" t="str">
        <f>IF(OR(C2242="",B2242=""),"",IFERROR(C2242*INDEX(Harytlar!$D$5:$D$44,MATCH(B2242,Harytlar!$A$5:$A$44,0)),""))</f>
        <v/>
      </c>
    </row>
    <row r="2243" spans="1:7" x14ac:dyDescent="0.3">
      <c r="A2243" s="17"/>
      <c r="B2243" s="18"/>
      <c r="C2243" s="18"/>
      <c r="D2243" s="18"/>
      <c r="E2243" s="10" t="str">
        <f>IF(B2243="","",IFERROR(INDEX(Harytlar!$C$5:$C$44,MATCH(B2243,Harytlar!$A$5:$A$44,0)),""))</f>
        <v/>
      </c>
      <c r="F2243" s="10" t="str">
        <f t="shared" si="34"/>
        <v/>
      </c>
      <c r="G2243" s="10" t="str">
        <f>IF(OR(C2243="",B2243=""),"",IFERROR(C2243*INDEX(Harytlar!$D$5:$D$44,MATCH(B2243,Harytlar!$A$5:$A$44,0)),""))</f>
        <v/>
      </c>
    </row>
    <row r="2244" spans="1:7" x14ac:dyDescent="0.3">
      <c r="A2244" s="17"/>
      <c r="B2244" s="18"/>
      <c r="C2244" s="18"/>
      <c r="D2244" s="18"/>
      <c r="E2244" s="10" t="str">
        <f>IF(B2244="","",IFERROR(INDEX(Harytlar!$C$5:$C$44,MATCH(B2244,Harytlar!$A$5:$A$44,0)),""))</f>
        <v/>
      </c>
      <c r="F2244" s="10" t="str">
        <f t="shared" si="34"/>
        <v/>
      </c>
      <c r="G2244" s="10" t="str">
        <f>IF(OR(C2244="",B2244=""),"",IFERROR(C2244*INDEX(Harytlar!$D$5:$D$44,MATCH(B2244,Harytlar!$A$5:$A$44,0)),""))</f>
        <v/>
      </c>
    </row>
    <row r="2245" spans="1:7" x14ac:dyDescent="0.3">
      <c r="A2245" s="17"/>
      <c r="B2245" s="18"/>
      <c r="C2245" s="18"/>
      <c r="D2245" s="18"/>
      <c r="E2245" s="10" t="str">
        <f>IF(B2245="","",IFERROR(INDEX(Harytlar!$C$5:$C$44,MATCH(B2245,Harytlar!$A$5:$A$44,0)),""))</f>
        <v/>
      </c>
      <c r="F2245" s="10" t="str">
        <f t="shared" si="34"/>
        <v/>
      </c>
      <c r="G2245" s="10" t="str">
        <f>IF(OR(C2245="",B2245=""),"",IFERROR(C2245*INDEX(Harytlar!$D$5:$D$44,MATCH(B2245,Harytlar!$A$5:$A$44,0)),""))</f>
        <v/>
      </c>
    </row>
    <row r="2246" spans="1:7" x14ac:dyDescent="0.3">
      <c r="A2246" s="17"/>
      <c r="B2246" s="18"/>
      <c r="C2246" s="18"/>
      <c r="D2246" s="18"/>
      <c r="E2246" s="10" t="str">
        <f>IF(B2246="","",IFERROR(INDEX(Harytlar!$C$5:$C$44,MATCH(B2246,Harytlar!$A$5:$A$44,0)),""))</f>
        <v/>
      </c>
      <c r="F2246" s="10" t="str">
        <f t="shared" ref="F2246:F2309" si="35">IF(OR(C2246="",E2246=""),"",C2246*E2246)</f>
        <v/>
      </c>
      <c r="G2246" s="10" t="str">
        <f>IF(OR(C2246="",B2246=""),"",IFERROR(C2246*INDEX(Harytlar!$D$5:$D$44,MATCH(B2246,Harytlar!$A$5:$A$44,0)),""))</f>
        <v/>
      </c>
    </row>
    <row r="2247" spans="1:7" x14ac:dyDescent="0.3">
      <c r="A2247" s="17"/>
      <c r="B2247" s="18"/>
      <c r="C2247" s="18"/>
      <c r="D2247" s="18"/>
      <c r="E2247" s="10" t="str">
        <f>IF(B2247="","",IFERROR(INDEX(Harytlar!$C$5:$C$44,MATCH(B2247,Harytlar!$A$5:$A$44,0)),""))</f>
        <v/>
      </c>
      <c r="F2247" s="10" t="str">
        <f t="shared" si="35"/>
        <v/>
      </c>
      <c r="G2247" s="10" t="str">
        <f>IF(OR(C2247="",B2247=""),"",IFERROR(C2247*INDEX(Harytlar!$D$5:$D$44,MATCH(B2247,Harytlar!$A$5:$A$44,0)),""))</f>
        <v/>
      </c>
    </row>
    <row r="2248" spans="1:7" x14ac:dyDescent="0.3">
      <c r="A2248" s="17"/>
      <c r="B2248" s="18"/>
      <c r="C2248" s="18"/>
      <c r="D2248" s="18"/>
      <c r="E2248" s="10" t="str">
        <f>IF(B2248="","",IFERROR(INDEX(Harytlar!$C$5:$C$44,MATCH(B2248,Harytlar!$A$5:$A$44,0)),""))</f>
        <v/>
      </c>
      <c r="F2248" s="10" t="str">
        <f t="shared" si="35"/>
        <v/>
      </c>
      <c r="G2248" s="10" t="str">
        <f>IF(OR(C2248="",B2248=""),"",IFERROR(C2248*INDEX(Harytlar!$D$5:$D$44,MATCH(B2248,Harytlar!$A$5:$A$44,0)),""))</f>
        <v/>
      </c>
    </row>
    <row r="2249" spans="1:7" x14ac:dyDescent="0.3">
      <c r="A2249" s="17"/>
      <c r="B2249" s="18"/>
      <c r="C2249" s="18"/>
      <c r="D2249" s="18"/>
      <c r="E2249" s="10" t="str">
        <f>IF(B2249="","",IFERROR(INDEX(Harytlar!$C$5:$C$44,MATCH(B2249,Harytlar!$A$5:$A$44,0)),""))</f>
        <v/>
      </c>
      <c r="F2249" s="10" t="str">
        <f t="shared" si="35"/>
        <v/>
      </c>
      <c r="G2249" s="10" t="str">
        <f>IF(OR(C2249="",B2249=""),"",IFERROR(C2249*INDEX(Harytlar!$D$5:$D$44,MATCH(B2249,Harytlar!$A$5:$A$44,0)),""))</f>
        <v/>
      </c>
    </row>
    <row r="2250" spans="1:7" x14ac:dyDescent="0.3">
      <c r="A2250" s="17"/>
      <c r="B2250" s="18"/>
      <c r="C2250" s="18"/>
      <c r="D2250" s="18"/>
      <c r="E2250" s="10" t="str">
        <f>IF(B2250="","",IFERROR(INDEX(Harytlar!$C$5:$C$44,MATCH(B2250,Harytlar!$A$5:$A$44,0)),""))</f>
        <v/>
      </c>
      <c r="F2250" s="10" t="str">
        <f t="shared" si="35"/>
        <v/>
      </c>
      <c r="G2250" s="10" t="str">
        <f>IF(OR(C2250="",B2250=""),"",IFERROR(C2250*INDEX(Harytlar!$D$5:$D$44,MATCH(B2250,Harytlar!$A$5:$A$44,0)),""))</f>
        <v/>
      </c>
    </row>
    <row r="2251" spans="1:7" x14ac:dyDescent="0.3">
      <c r="A2251" s="17"/>
      <c r="B2251" s="18"/>
      <c r="C2251" s="18"/>
      <c r="D2251" s="18"/>
      <c r="E2251" s="10" t="str">
        <f>IF(B2251="","",IFERROR(INDEX(Harytlar!$C$5:$C$44,MATCH(B2251,Harytlar!$A$5:$A$44,0)),""))</f>
        <v/>
      </c>
      <c r="F2251" s="10" t="str">
        <f t="shared" si="35"/>
        <v/>
      </c>
      <c r="G2251" s="10" t="str">
        <f>IF(OR(C2251="",B2251=""),"",IFERROR(C2251*INDEX(Harytlar!$D$5:$D$44,MATCH(B2251,Harytlar!$A$5:$A$44,0)),""))</f>
        <v/>
      </c>
    </row>
    <row r="2252" spans="1:7" x14ac:dyDescent="0.3">
      <c r="A2252" s="17"/>
      <c r="B2252" s="18"/>
      <c r="C2252" s="18"/>
      <c r="D2252" s="18"/>
      <c r="E2252" s="10" t="str">
        <f>IF(B2252="","",IFERROR(INDEX(Harytlar!$C$5:$C$44,MATCH(B2252,Harytlar!$A$5:$A$44,0)),""))</f>
        <v/>
      </c>
      <c r="F2252" s="10" t="str">
        <f t="shared" si="35"/>
        <v/>
      </c>
      <c r="G2252" s="10" t="str">
        <f>IF(OR(C2252="",B2252=""),"",IFERROR(C2252*INDEX(Harytlar!$D$5:$D$44,MATCH(B2252,Harytlar!$A$5:$A$44,0)),""))</f>
        <v/>
      </c>
    </row>
    <row r="2253" spans="1:7" x14ac:dyDescent="0.3">
      <c r="A2253" s="17"/>
      <c r="B2253" s="18"/>
      <c r="C2253" s="18"/>
      <c r="D2253" s="18"/>
      <c r="E2253" s="10" t="str">
        <f>IF(B2253="","",IFERROR(INDEX(Harytlar!$C$5:$C$44,MATCH(B2253,Harytlar!$A$5:$A$44,0)),""))</f>
        <v/>
      </c>
      <c r="F2253" s="10" t="str">
        <f t="shared" si="35"/>
        <v/>
      </c>
      <c r="G2253" s="10" t="str">
        <f>IF(OR(C2253="",B2253=""),"",IFERROR(C2253*INDEX(Harytlar!$D$5:$D$44,MATCH(B2253,Harytlar!$A$5:$A$44,0)),""))</f>
        <v/>
      </c>
    </row>
    <row r="2254" spans="1:7" x14ac:dyDescent="0.3">
      <c r="A2254" s="17"/>
      <c r="B2254" s="18"/>
      <c r="C2254" s="18"/>
      <c r="D2254" s="18"/>
      <c r="E2254" s="10" t="str">
        <f>IF(B2254="","",IFERROR(INDEX(Harytlar!$C$5:$C$44,MATCH(B2254,Harytlar!$A$5:$A$44,0)),""))</f>
        <v/>
      </c>
      <c r="F2254" s="10" t="str">
        <f t="shared" si="35"/>
        <v/>
      </c>
      <c r="G2254" s="10" t="str">
        <f>IF(OR(C2254="",B2254=""),"",IFERROR(C2254*INDEX(Harytlar!$D$5:$D$44,MATCH(B2254,Harytlar!$A$5:$A$44,0)),""))</f>
        <v/>
      </c>
    </row>
    <row r="2255" spans="1:7" x14ac:dyDescent="0.3">
      <c r="A2255" s="17"/>
      <c r="B2255" s="18"/>
      <c r="C2255" s="18"/>
      <c r="D2255" s="18"/>
      <c r="E2255" s="10" t="str">
        <f>IF(B2255="","",IFERROR(INDEX(Harytlar!$C$5:$C$44,MATCH(B2255,Harytlar!$A$5:$A$44,0)),""))</f>
        <v/>
      </c>
      <c r="F2255" s="10" t="str">
        <f t="shared" si="35"/>
        <v/>
      </c>
      <c r="G2255" s="10" t="str">
        <f>IF(OR(C2255="",B2255=""),"",IFERROR(C2255*INDEX(Harytlar!$D$5:$D$44,MATCH(B2255,Harytlar!$A$5:$A$44,0)),""))</f>
        <v/>
      </c>
    </row>
    <row r="2256" spans="1:7" x14ac:dyDescent="0.3">
      <c r="A2256" s="17"/>
      <c r="B2256" s="18"/>
      <c r="C2256" s="18"/>
      <c r="D2256" s="18"/>
      <c r="E2256" s="10" t="str">
        <f>IF(B2256="","",IFERROR(INDEX(Harytlar!$C$5:$C$44,MATCH(B2256,Harytlar!$A$5:$A$44,0)),""))</f>
        <v/>
      </c>
      <c r="F2256" s="10" t="str">
        <f t="shared" si="35"/>
        <v/>
      </c>
      <c r="G2256" s="10" t="str">
        <f>IF(OR(C2256="",B2256=""),"",IFERROR(C2256*INDEX(Harytlar!$D$5:$D$44,MATCH(B2256,Harytlar!$A$5:$A$44,0)),""))</f>
        <v/>
      </c>
    </row>
    <row r="2257" spans="1:7" x14ac:dyDescent="0.3">
      <c r="A2257" s="17"/>
      <c r="B2257" s="18"/>
      <c r="C2257" s="18"/>
      <c r="D2257" s="18"/>
      <c r="E2257" s="10" t="str">
        <f>IF(B2257="","",IFERROR(INDEX(Harytlar!$C$5:$C$44,MATCH(B2257,Harytlar!$A$5:$A$44,0)),""))</f>
        <v/>
      </c>
      <c r="F2257" s="10" t="str">
        <f t="shared" si="35"/>
        <v/>
      </c>
      <c r="G2257" s="10" t="str">
        <f>IF(OR(C2257="",B2257=""),"",IFERROR(C2257*INDEX(Harytlar!$D$5:$D$44,MATCH(B2257,Harytlar!$A$5:$A$44,0)),""))</f>
        <v/>
      </c>
    </row>
    <row r="2258" spans="1:7" x14ac:dyDescent="0.3">
      <c r="A2258" s="17"/>
      <c r="B2258" s="18"/>
      <c r="C2258" s="18"/>
      <c r="D2258" s="18"/>
      <c r="E2258" s="10" t="str">
        <f>IF(B2258="","",IFERROR(INDEX(Harytlar!$C$5:$C$44,MATCH(B2258,Harytlar!$A$5:$A$44,0)),""))</f>
        <v/>
      </c>
      <c r="F2258" s="10" t="str">
        <f t="shared" si="35"/>
        <v/>
      </c>
      <c r="G2258" s="10" t="str">
        <f>IF(OR(C2258="",B2258=""),"",IFERROR(C2258*INDEX(Harytlar!$D$5:$D$44,MATCH(B2258,Harytlar!$A$5:$A$44,0)),""))</f>
        <v/>
      </c>
    </row>
    <row r="2259" spans="1:7" x14ac:dyDescent="0.3">
      <c r="A2259" s="17"/>
      <c r="B2259" s="18"/>
      <c r="C2259" s="18"/>
      <c r="D2259" s="18"/>
      <c r="E2259" s="10" t="str">
        <f>IF(B2259="","",IFERROR(INDEX(Harytlar!$C$5:$C$44,MATCH(B2259,Harytlar!$A$5:$A$44,0)),""))</f>
        <v/>
      </c>
      <c r="F2259" s="10" t="str">
        <f t="shared" si="35"/>
        <v/>
      </c>
      <c r="G2259" s="10" t="str">
        <f>IF(OR(C2259="",B2259=""),"",IFERROR(C2259*INDEX(Harytlar!$D$5:$D$44,MATCH(B2259,Harytlar!$A$5:$A$44,0)),""))</f>
        <v/>
      </c>
    </row>
    <row r="2260" spans="1:7" x14ac:dyDescent="0.3">
      <c r="A2260" s="17"/>
      <c r="B2260" s="18"/>
      <c r="C2260" s="18"/>
      <c r="D2260" s="18"/>
      <c r="E2260" s="10" t="str">
        <f>IF(B2260="","",IFERROR(INDEX(Harytlar!$C$5:$C$44,MATCH(B2260,Harytlar!$A$5:$A$44,0)),""))</f>
        <v/>
      </c>
      <c r="F2260" s="10" t="str">
        <f t="shared" si="35"/>
        <v/>
      </c>
      <c r="G2260" s="10" t="str">
        <f>IF(OR(C2260="",B2260=""),"",IFERROR(C2260*INDEX(Harytlar!$D$5:$D$44,MATCH(B2260,Harytlar!$A$5:$A$44,0)),""))</f>
        <v/>
      </c>
    </row>
    <row r="2261" spans="1:7" x14ac:dyDescent="0.3">
      <c r="A2261" s="17"/>
      <c r="B2261" s="18"/>
      <c r="C2261" s="18"/>
      <c r="D2261" s="18"/>
      <c r="E2261" s="10" t="str">
        <f>IF(B2261="","",IFERROR(INDEX(Harytlar!$C$5:$C$44,MATCH(B2261,Harytlar!$A$5:$A$44,0)),""))</f>
        <v/>
      </c>
      <c r="F2261" s="10" t="str">
        <f t="shared" si="35"/>
        <v/>
      </c>
      <c r="G2261" s="10" t="str">
        <f>IF(OR(C2261="",B2261=""),"",IFERROR(C2261*INDEX(Harytlar!$D$5:$D$44,MATCH(B2261,Harytlar!$A$5:$A$44,0)),""))</f>
        <v/>
      </c>
    </row>
    <row r="2262" spans="1:7" x14ac:dyDescent="0.3">
      <c r="A2262" s="17"/>
      <c r="B2262" s="18"/>
      <c r="C2262" s="18"/>
      <c r="D2262" s="18"/>
      <c r="E2262" s="10" t="str">
        <f>IF(B2262="","",IFERROR(INDEX(Harytlar!$C$5:$C$44,MATCH(B2262,Harytlar!$A$5:$A$44,0)),""))</f>
        <v/>
      </c>
      <c r="F2262" s="10" t="str">
        <f t="shared" si="35"/>
        <v/>
      </c>
      <c r="G2262" s="10" t="str">
        <f>IF(OR(C2262="",B2262=""),"",IFERROR(C2262*INDEX(Harytlar!$D$5:$D$44,MATCH(B2262,Harytlar!$A$5:$A$44,0)),""))</f>
        <v/>
      </c>
    </row>
    <row r="2263" spans="1:7" x14ac:dyDescent="0.3">
      <c r="A2263" s="17"/>
      <c r="B2263" s="18"/>
      <c r="C2263" s="18"/>
      <c r="D2263" s="18"/>
      <c r="E2263" s="10" t="str">
        <f>IF(B2263="","",IFERROR(INDEX(Harytlar!$C$5:$C$44,MATCH(B2263,Harytlar!$A$5:$A$44,0)),""))</f>
        <v/>
      </c>
      <c r="F2263" s="10" t="str">
        <f t="shared" si="35"/>
        <v/>
      </c>
      <c r="G2263" s="10" t="str">
        <f>IF(OR(C2263="",B2263=""),"",IFERROR(C2263*INDEX(Harytlar!$D$5:$D$44,MATCH(B2263,Harytlar!$A$5:$A$44,0)),""))</f>
        <v/>
      </c>
    </row>
    <row r="2264" spans="1:7" x14ac:dyDescent="0.3">
      <c r="A2264" s="17"/>
      <c r="B2264" s="18"/>
      <c r="C2264" s="18"/>
      <c r="D2264" s="18"/>
      <c r="E2264" s="10" t="str">
        <f>IF(B2264="","",IFERROR(INDEX(Harytlar!$C$5:$C$44,MATCH(B2264,Harytlar!$A$5:$A$44,0)),""))</f>
        <v/>
      </c>
      <c r="F2264" s="10" t="str">
        <f t="shared" si="35"/>
        <v/>
      </c>
      <c r="G2264" s="10" t="str">
        <f>IF(OR(C2264="",B2264=""),"",IFERROR(C2264*INDEX(Harytlar!$D$5:$D$44,MATCH(B2264,Harytlar!$A$5:$A$44,0)),""))</f>
        <v/>
      </c>
    </row>
    <row r="2265" spans="1:7" x14ac:dyDescent="0.3">
      <c r="A2265" s="17"/>
      <c r="B2265" s="18"/>
      <c r="C2265" s="18"/>
      <c r="D2265" s="18"/>
      <c r="E2265" s="10" t="str">
        <f>IF(B2265="","",IFERROR(INDEX(Harytlar!$C$5:$C$44,MATCH(B2265,Harytlar!$A$5:$A$44,0)),""))</f>
        <v/>
      </c>
      <c r="F2265" s="10" t="str">
        <f t="shared" si="35"/>
        <v/>
      </c>
      <c r="G2265" s="10" t="str">
        <f>IF(OR(C2265="",B2265=""),"",IFERROR(C2265*INDEX(Harytlar!$D$5:$D$44,MATCH(B2265,Harytlar!$A$5:$A$44,0)),""))</f>
        <v/>
      </c>
    </row>
    <row r="2266" spans="1:7" x14ac:dyDescent="0.3">
      <c r="A2266" s="17"/>
      <c r="B2266" s="18"/>
      <c r="C2266" s="18"/>
      <c r="D2266" s="18"/>
      <c r="E2266" s="10" t="str">
        <f>IF(B2266="","",IFERROR(INDEX(Harytlar!$C$5:$C$44,MATCH(B2266,Harytlar!$A$5:$A$44,0)),""))</f>
        <v/>
      </c>
      <c r="F2266" s="10" t="str">
        <f t="shared" si="35"/>
        <v/>
      </c>
      <c r="G2266" s="10" t="str">
        <f>IF(OR(C2266="",B2266=""),"",IFERROR(C2266*INDEX(Harytlar!$D$5:$D$44,MATCH(B2266,Harytlar!$A$5:$A$44,0)),""))</f>
        <v/>
      </c>
    </row>
    <row r="2267" spans="1:7" x14ac:dyDescent="0.3">
      <c r="A2267" s="17"/>
      <c r="B2267" s="18"/>
      <c r="C2267" s="18"/>
      <c r="D2267" s="18"/>
      <c r="E2267" s="10" t="str">
        <f>IF(B2267="","",IFERROR(INDEX(Harytlar!$C$5:$C$44,MATCH(B2267,Harytlar!$A$5:$A$44,0)),""))</f>
        <v/>
      </c>
      <c r="F2267" s="10" t="str">
        <f t="shared" si="35"/>
        <v/>
      </c>
      <c r="G2267" s="10" t="str">
        <f>IF(OR(C2267="",B2267=""),"",IFERROR(C2267*INDEX(Harytlar!$D$5:$D$44,MATCH(B2267,Harytlar!$A$5:$A$44,0)),""))</f>
        <v/>
      </c>
    </row>
    <row r="2268" spans="1:7" x14ac:dyDescent="0.3">
      <c r="A2268" s="17"/>
      <c r="B2268" s="18"/>
      <c r="C2268" s="18"/>
      <c r="D2268" s="18"/>
      <c r="E2268" s="10" t="str">
        <f>IF(B2268="","",IFERROR(INDEX(Harytlar!$C$5:$C$44,MATCH(B2268,Harytlar!$A$5:$A$44,0)),""))</f>
        <v/>
      </c>
      <c r="F2268" s="10" t="str">
        <f t="shared" si="35"/>
        <v/>
      </c>
      <c r="G2268" s="10" t="str">
        <f>IF(OR(C2268="",B2268=""),"",IFERROR(C2268*INDEX(Harytlar!$D$5:$D$44,MATCH(B2268,Harytlar!$A$5:$A$44,0)),""))</f>
        <v/>
      </c>
    </row>
    <row r="2269" spans="1:7" x14ac:dyDescent="0.3">
      <c r="A2269" s="17"/>
      <c r="B2269" s="18"/>
      <c r="C2269" s="18"/>
      <c r="D2269" s="18"/>
      <c r="E2269" s="10" t="str">
        <f>IF(B2269="","",IFERROR(INDEX(Harytlar!$C$5:$C$44,MATCH(B2269,Harytlar!$A$5:$A$44,0)),""))</f>
        <v/>
      </c>
      <c r="F2269" s="10" t="str">
        <f t="shared" si="35"/>
        <v/>
      </c>
      <c r="G2269" s="10" t="str">
        <f>IF(OR(C2269="",B2269=""),"",IFERROR(C2269*INDEX(Harytlar!$D$5:$D$44,MATCH(B2269,Harytlar!$A$5:$A$44,0)),""))</f>
        <v/>
      </c>
    </row>
    <row r="2270" spans="1:7" x14ac:dyDescent="0.3">
      <c r="A2270" s="17"/>
      <c r="B2270" s="18"/>
      <c r="C2270" s="18"/>
      <c r="D2270" s="18"/>
      <c r="E2270" s="10" t="str">
        <f>IF(B2270="","",IFERROR(INDEX(Harytlar!$C$5:$C$44,MATCH(B2270,Harytlar!$A$5:$A$44,0)),""))</f>
        <v/>
      </c>
      <c r="F2270" s="10" t="str">
        <f t="shared" si="35"/>
        <v/>
      </c>
      <c r="G2270" s="10" t="str">
        <f>IF(OR(C2270="",B2270=""),"",IFERROR(C2270*INDEX(Harytlar!$D$5:$D$44,MATCH(B2270,Harytlar!$A$5:$A$44,0)),""))</f>
        <v/>
      </c>
    </row>
    <row r="2271" spans="1:7" x14ac:dyDescent="0.3">
      <c r="A2271" s="17"/>
      <c r="B2271" s="18"/>
      <c r="C2271" s="18"/>
      <c r="D2271" s="18"/>
      <c r="E2271" s="10" t="str">
        <f>IF(B2271="","",IFERROR(INDEX(Harytlar!$C$5:$C$44,MATCH(B2271,Harytlar!$A$5:$A$44,0)),""))</f>
        <v/>
      </c>
      <c r="F2271" s="10" t="str">
        <f t="shared" si="35"/>
        <v/>
      </c>
      <c r="G2271" s="10" t="str">
        <f>IF(OR(C2271="",B2271=""),"",IFERROR(C2271*INDEX(Harytlar!$D$5:$D$44,MATCH(B2271,Harytlar!$A$5:$A$44,0)),""))</f>
        <v/>
      </c>
    </row>
    <row r="2272" spans="1:7" x14ac:dyDescent="0.3">
      <c r="A2272" s="17"/>
      <c r="B2272" s="18"/>
      <c r="C2272" s="18"/>
      <c r="D2272" s="18"/>
      <c r="E2272" s="10" t="str">
        <f>IF(B2272="","",IFERROR(INDEX(Harytlar!$C$5:$C$44,MATCH(B2272,Harytlar!$A$5:$A$44,0)),""))</f>
        <v/>
      </c>
      <c r="F2272" s="10" t="str">
        <f t="shared" si="35"/>
        <v/>
      </c>
      <c r="G2272" s="10" t="str">
        <f>IF(OR(C2272="",B2272=""),"",IFERROR(C2272*INDEX(Harytlar!$D$5:$D$44,MATCH(B2272,Harytlar!$A$5:$A$44,0)),""))</f>
        <v/>
      </c>
    </row>
    <row r="2273" spans="1:7" x14ac:dyDescent="0.3">
      <c r="A2273" s="17"/>
      <c r="B2273" s="18"/>
      <c r="C2273" s="18"/>
      <c r="D2273" s="18"/>
      <c r="E2273" s="10" t="str">
        <f>IF(B2273="","",IFERROR(INDEX(Harytlar!$C$5:$C$44,MATCH(B2273,Harytlar!$A$5:$A$44,0)),""))</f>
        <v/>
      </c>
      <c r="F2273" s="10" t="str">
        <f t="shared" si="35"/>
        <v/>
      </c>
      <c r="G2273" s="10" t="str">
        <f>IF(OR(C2273="",B2273=""),"",IFERROR(C2273*INDEX(Harytlar!$D$5:$D$44,MATCH(B2273,Harytlar!$A$5:$A$44,0)),""))</f>
        <v/>
      </c>
    </row>
    <row r="2274" spans="1:7" x14ac:dyDescent="0.3">
      <c r="A2274" s="17"/>
      <c r="B2274" s="18"/>
      <c r="C2274" s="18"/>
      <c r="D2274" s="18"/>
      <c r="E2274" s="10" t="str">
        <f>IF(B2274="","",IFERROR(INDEX(Harytlar!$C$5:$C$44,MATCH(B2274,Harytlar!$A$5:$A$44,0)),""))</f>
        <v/>
      </c>
      <c r="F2274" s="10" t="str">
        <f t="shared" si="35"/>
        <v/>
      </c>
      <c r="G2274" s="10" t="str">
        <f>IF(OR(C2274="",B2274=""),"",IFERROR(C2274*INDEX(Harytlar!$D$5:$D$44,MATCH(B2274,Harytlar!$A$5:$A$44,0)),""))</f>
        <v/>
      </c>
    </row>
    <row r="2275" spans="1:7" x14ac:dyDescent="0.3">
      <c r="A2275" s="17"/>
      <c r="B2275" s="18"/>
      <c r="C2275" s="18"/>
      <c r="D2275" s="18"/>
      <c r="E2275" s="10" t="str">
        <f>IF(B2275="","",IFERROR(INDEX(Harytlar!$C$5:$C$44,MATCH(B2275,Harytlar!$A$5:$A$44,0)),""))</f>
        <v/>
      </c>
      <c r="F2275" s="10" t="str">
        <f t="shared" si="35"/>
        <v/>
      </c>
      <c r="G2275" s="10" t="str">
        <f>IF(OR(C2275="",B2275=""),"",IFERROR(C2275*INDEX(Harytlar!$D$5:$D$44,MATCH(B2275,Harytlar!$A$5:$A$44,0)),""))</f>
        <v/>
      </c>
    </row>
    <row r="2276" spans="1:7" x14ac:dyDescent="0.3">
      <c r="A2276" s="17"/>
      <c r="B2276" s="18"/>
      <c r="C2276" s="18"/>
      <c r="D2276" s="18"/>
      <c r="E2276" s="10" t="str">
        <f>IF(B2276="","",IFERROR(INDEX(Harytlar!$C$5:$C$44,MATCH(B2276,Harytlar!$A$5:$A$44,0)),""))</f>
        <v/>
      </c>
      <c r="F2276" s="10" t="str">
        <f t="shared" si="35"/>
        <v/>
      </c>
      <c r="G2276" s="10" t="str">
        <f>IF(OR(C2276="",B2276=""),"",IFERROR(C2276*INDEX(Harytlar!$D$5:$D$44,MATCH(B2276,Harytlar!$A$5:$A$44,0)),""))</f>
        <v/>
      </c>
    </row>
    <row r="2277" spans="1:7" x14ac:dyDescent="0.3">
      <c r="A2277" s="17"/>
      <c r="B2277" s="18"/>
      <c r="C2277" s="18"/>
      <c r="D2277" s="18"/>
      <c r="E2277" s="10" t="str">
        <f>IF(B2277="","",IFERROR(INDEX(Harytlar!$C$5:$C$44,MATCH(B2277,Harytlar!$A$5:$A$44,0)),""))</f>
        <v/>
      </c>
      <c r="F2277" s="10" t="str">
        <f t="shared" si="35"/>
        <v/>
      </c>
      <c r="G2277" s="10" t="str">
        <f>IF(OR(C2277="",B2277=""),"",IFERROR(C2277*INDEX(Harytlar!$D$5:$D$44,MATCH(B2277,Harytlar!$A$5:$A$44,0)),""))</f>
        <v/>
      </c>
    </row>
    <row r="2278" spans="1:7" x14ac:dyDescent="0.3">
      <c r="A2278" s="17"/>
      <c r="B2278" s="18"/>
      <c r="C2278" s="18"/>
      <c r="D2278" s="18"/>
      <c r="E2278" s="10" t="str">
        <f>IF(B2278="","",IFERROR(INDEX(Harytlar!$C$5:$C$44,MATCH(B2278,Harytlar!$A$5:$A$44,0)),""))</f>
        <v/>
      </c>
      <c r="F2278" s="10" t="str">
        <f t="shared" si="35"/>
        <v/>
      </c>
      <c r="G2278" s="10" t="str">
        <f>IF(OR(C2278="",B2278=""),"",IFERROR(C2278*INDEX(Harytlar!$D$5:$D$44,MATCH(B2278,Harytlar!$A$5:$A$44,0)),""))</f>
        <v/>
      </c>
    </row>
    <row r="2279" spans="1:7" x14ac:dyDescent="0.3">
      <c r="A2279" s="17"/>
      <c r="B2279" s="18"/>
      <c r="C2279" s="18"/>
      <c r="D2279" s="18"/>
      <c r="E2279" s="10" t="str">
        <f>IF(B2279="","",IFERROR(INDEX(Harytlar!$C$5:$C$44,MATCH(B2279,Harytlar!$A$5:$A$44,0)),""))</f>
        <v/>
      </c>
      <c r="F2279" s="10" t="str">
        <f t="shared" si="35"/>
        <v/>
      </c>
      <c r="G2279" s="10" t="str">
        <f>IF(OR(C2279="",B2279=""),"",IFERROR(C2279*INDEX(Harytlar!$D$5:$D$44,MATCH(B2279,Harytlar!$A$5:$A$44,0)),""))</f>
        <v/>
      </c>
    </row>
    <row r="2280" spans="1:7" x14ac:dyDescent="0.3">
      <c r="A2280" s="17"/>
      <c r="B2280" s="18"/>
      <c r="C2280" s="18"/>
      <c r="D2280" s="18"/>
      <c r="E2280" s="10" t="str">
        <f>IF(B2280="","",IFERROR(INDEX(Harytlar!$C$5:$C$44,MATCH(B2280,Harytlar!$A$5:$A$44,0)),""))</f>
        <v/>
      </c>
      <c r="F2280" s="10" t="str">
        <f t="shared" si="35"/>
        <v/>
      </c>
      <c r="G2280" s="10" t="str">
        <f>IF(OR(C2280="",B2280=""),"",IFERROR(C2280*INDEX(Harytlar!$D$5:$D$44,MATCH(B2280,Harytlar!$A$5:$A$44,0)),""))</f>
        <v/>
      </c>
    </row>
    <row r="2281" spans="1:7" x14ac:dyDescent="0.3">
      <c r="A2281" s="17"/>
      <c r="B2281" s="18"/>
      <c r="C2281" s="18"/>
      <c r="D2281" s="18"/>
      <c r="E2281" s="10" t="str">
        <f>IF(B2281="","",IFERROR(INDEX(Harytlar!$C$5:$C$44,MATCH(B2281,Harytlar!$A$5:$A$44,0)),""))</f>
        <v/>
      </c>
      <c r="F2281" s="10" t="str">
        <f t="shared" si="35"/>
        <v/>
      </c>
      <c r="G2281" s="10" t="str">
        <f>IF(OR(C2281="",B2281=""),"",IFERROR(C2281*INDEX(Harytlar!$D$5:$D$44,MATCH(B2281,Harytlar!$A$5:$A$44,0)),""))</f>
        <v/>
      </c>
    </row>
    <row r="2282" spans="1:7" x14ac:dyDescent="0.3">
      <c r="A2282" s="17"/>
      <c r="B2282" s="18"/>
      <c r="C2282" s="18"/>
      <c r="D2282" s="18"/>
      <c r="E2282" s="10" t="str">
        <f>IF(B2282="","",IFERROR(INDEX(Harytlar!$C$5:$C$44,MATCH(B2282,Harytlar!$A$5:$A$44,0)),""))</f>
        <v/>
      </c>
      <c r="F2282" s="10" t="str">
        <f t="shared" si="35"/>
        <v/>
      </c>
      <c r="G2282" s="10" t="str">
        <f>IF(OR(C2282="",B2282=""),"",IFERROR(C2282*INDEX(Harytlar!$D$5:$D$44,MATCH(B2282,Harytlar!$A$5:$A$44,0)),""))</f>
        <v/>
      </c>
    </row>
    <row r="2283" spans="1:7" x14ac:dyDescent="0.3">
      <c r="A2283" s="17"/>
      <c r="B2283" s="18"/>
      <c r="C2283" s="18"/>
      <c r="D2283" s="18"/>
      <c r="E2283" s="10" t="str">
        <f>IF(B2283="","",IFERROR(INDEX(Harytlar!$C$5:$C$44,MATCH(B2283,Harytlar!$A$5:$A$44,0)),""))</f>
        <v/>
      </c>
      <c r="F2283" s="10" t="str">
        <f t="shared" si="35"/>
        <v/>
      </c>
      <c r="G2283" s="10" t="str">
        <f>IF(OR(C2283="",B2283=""),"",IFERROR(C2283*INDEX(Harytlar!$D$5:$D$44,MATCH(B2283,Harytlar!$A$5:$A$44,0)),""))</f>
        <v/>
      </c>
    </row>
    <row r="2284" spans="1:7" x14ac:dyDescent="0.3">
      <c r="A2284" s="17"/>
      <c r="B2284" s="18"/>
      <c r="C2284" s="18"/>
      <c r="D2284" s="18"/>
      <c r="E2284" s="10" t="str">
        <f>IF(B2284="","",IFERROR(INDEX(Harytlar!$C$5:$C$44,MATCH(B2284,Harytlar!$A$5:$A$44,0)),""))</f>
        <v/>
      </c>
      <c r="F2284" s="10" t="str">
        <f t="shared" si="35"/>
        <v/>
      </c>
      <c r="G2284" s="10" t="str">
        <f>IF(OR(C2284="",B2284=""),"",IFERROR(C2284*INDEX(Harytlar!$D$5:$D$44,MATCH(B2284,Harytlar!$A$5:$A$44,0)),""))</f>
        <v/>
      </c>
    </row>
    <row r="2285" spans="1:7" x14ac:dyDescent="0.3">
      <c r="A2285" s="17"/>
      <c r="B2285" s="18"/>
      <c r="C2285" s="18"/>
      <c r="D2285" s="18"/>
      <c r="E2285" s="10" t="str">
        <f>IF(B2285="","",IFERROR(INDEX(Harytlar!$C$5:$C$44,MATCH(B2285,Harytlar!$A$5:$A$44,0)),""))</f>
        <v/>
      </c>
      <c r="F2285" s="10" t="str">
        <f t="shared" si="35"/>
        <v/>
      </c>
      <c r="G2285" s="10" t="str">
        <f>IF(OR(C2285="",B2285=""),"",IFERROR(C2285*INDEX(Harytlar!$D$5:$D$44,MATCH(B2285,Harytlar!$A$5:$A$44,0)),""))</f>
        <v/>
      </c>
    </row>
    <row r="2286" spans="1:7" x14ac:dyDescent="0.3">
      <c r="A2286" s="17"/>
      <c r="B2286" s="18"/>
      <c r="C2286" s="18"/>
      <c r="D2286" s="18"/>
      <c r="E2286" s="10" t="str">
        <f>IF(B2286="","",IFERROR(INDEX(Harytlar!$C$5:$C$44,MATCH(B2286,Harytlar!$A$5:$A$44,0)),""))</f>
        <v/>
      </c>
      <c r="F2286" s="10" t="str">
        <f t="shared" si="35"/>
        <v/>
      </c>
      <c r="G2286" s="10" t="str">
        <f>IF(OR(C2286="",B2286=""),"",IFERROR(C2286*INDEX(Harytlar!$D$5:$D$44,MATCH(B2286,Harytlar!$A$5:$A$44,0)),""))</f>
        <v/>
      </c>
    </row>
    <row r="2287" spans="1:7" x14ac:dyDescent="0.3">
      <c r="A2287" s="17"/>
      <c r="B2287" s="18"/>
      <c r="C2287" s="18"/>
      <c r="D2287" s="18"/>
      <c r="E2287" s="10" t="str">
        <f>IF(B2287="","",IFERROR(INDEX(Harytlar!$C$5:$C$44,MATCH(B2287,Harytlar!$A$5:$A$44,0)),""))</f>
        <v/>
      </c>
      <c r="F2287" s="10" t="str">
        <f t="shared" si="35"/>
        <v/>
      </c>
      <c r="G2287" s="10" t="str">
        <f>IF(OR(C2287="",B2287=""),"",IFERROR(C2287*INDEX(Harytlar!$D$5:$D$44,MATCH(B2287,Harytlar!$A$5:$A$44,0)),""))</f>
        <v/>
      </c>
    </row>
    <row r="2288" spans="1:7" x14ac:dyDescent="0.3">
      <c r="A2288" s="17"/>
      <c r="B2288" s="18"/>
      <c r="C2288" s="18"/>
      <c r="D2288" s="18"/>
      <c r="E2288" s="10" t="str">
        <f>IF(B2288="","",IFERROR(INDEX(Harytlar!$C$5:$C$44,MATCH(B2288,Harytlar!$A$5:$A$44,0)),""))</f>
        <v/>
      </c>
      <c r="F2288" s="10" t="str">
        <f t="shared" si="35"/>
        <v/>
      </c>
      <c r="G2288" s="10" t="str">
        <f>IF(OR(C2288="",B2288=""),"",IFERROR(C2288*INDEX(Harytlar!$D$5:$D$44,MATCH(B2288,Harytlar!$A$5:$A$44,0)),""))</f>
        <v/>
      </c>
    </row>
    <row r="2289" spans="1:7" x14ac:dyDescent="0.3">
      <c r="A2289" s="17"/>
      <c r="B2289" s="18"/>
      <c r="C2289" s="18"/>
      <c r="D2289" s="18"/>
      <c r="E2289" s="10" t="str">
        <f>IF(B2289="","",IFERROR(INDEX(Harytlar!$C$5:$C$44,MATCH(B2289,Harytlar!$A$5:$A$44,0)),""))</f>
        <v/>
      </c>
      <c r="F2289" s="10" t="str">
        <f t="shared" si="35"/>
        <v/>
      </c>
      <c r="G2289" s="10" t="str">
        <f>IF(OR(C2289="",B2289=""),"",IFERROR(C2289*INDEX(Harytlar!$D$5:$D$44,MATCH(B2289,Harytlar!$A$5:$A$44,0)),""))</f>
        <v/>
      </c>
    </row>
    <row r="2290" spans="1:7" x14ac:dyDescent="0.3">
      <c r="A2290" s="17"/>
      <c r="B2290" s="18"/>
      <c r="C2290" s="18"/>
      <c r="D2290" s="18"/>
      <c r="E2290" s="10" t="str">
        <f>IF(B2290="","",IFERROR(INDEX(Harytlar!$C$5:$C$44,MATCH(B2290,Harytlar!$A$5:$A$44,0)),""))</f>
        <v/>
      </c>
      <c r="F2290" s="10" t="str">
        <f t="shared" si="35"/>
        <v/>
      </c>
      <c r="G2290" s="10" t="str">
        <f>IF(OR(C2290="",B2290=""),"",IFERROR(C2290*INDEX(Harytlar!$D$5:$D$44,MATCH(B2290,Harytlar!$A$5:$A$44,0)),""))</f>
        <v/>
      </c>
    </row>
    <row r="2291" spans="1:7" x14ac:dyDescent="0.3">
      <c r="A2291" s="17"/>
      <c r="B2291" s="18"/>
      <c r="C2291" s="18"/>
      <c r="D2291" s="18"/>
      <c r="E2291" s="10" t="str">
        <f>IF(B2291="","",IFERROR(INDEX(Harytlar!$C$5:$C$44,MATCH(B2291,Harytlar!$A$5:$A$44,0)),""))</f>
        <v/>
      </c>
      <c r="F2291" s="10" t="str">
        <f t="shared" si="35"/>
        <v/>
      </c>
      <c r="G2291" s="10" t="str">
        <f>IF(OR(C2291="",B2291=""),"",IFERROR(C2291*INDEX(Harytlar!$D$5:$D$44,MATCH(B2291,Harytlar!$A$5:$A$44,0)),""))</f>
        <v/>
      </c>
    </row>
    <row r="2292" spans="1:7" x14ac:dyDescent="0.3">
      <c r="A2292" s="17"/>
      <c r="B2292" s="18"/>
      <c r="C2292" s="18"/>
      <c r="D2292" s="18"/>
      <c r="E2292" s="10" t="str">
        <f>IF(B2292="","",IFERROR(INDEX(Harytlar!$C$5:$C$44,MATCH(B2292,Harytlar!$A$5:$A$44,0)),""))</f>
        <v/>
      </c>
      <c r="F2292" s="10" t="str">
        <f t="shared" si="35"/>
        <v/>
      </c>
      <c r="G2292" s="10" t="str">
        <f>IF(OR(C2292="",B2292=""),"",IFERROR(C2292*INDEX(Harytlar!$D$5:$D$44,MATCH(B2292,Harytlar!$A$5:$A$44,0)),""))</f>
        <v/>
      </c>
    </row>
    <row r="2293" spans="1:7" x14ac:dyDescent="0.3">
      <c r="A2293" s="17"/>
      <c r="B2293" s="18"/>
      <c r="C2293" s="18"/>
      <c r="D2293" s="18"/>
      <c r="E2293" s="10" t="str">
        <f>IF(B2293="","",IFERROR(INDEX(Harytlar!$C$5:$C$44,MATCH(B2293,Harytlar!$A$5:$A$44,0)),""))</f>
        <v/>
      </c>
      <c r="F2293" s="10" t="str">
        <f t="shared" si="35"/>
        <v/>
      </c>
      <c r="G2293" s="10" t="str">
        <f>IF(OR(C2293="",B2293=""),"",IFERROR(C2293*INDEX(Harytlar!$D$5:$D$44,MATCH(B2293,Harytlar!$A$5:$A$44,0)),""))</f>
        <v/>
      </c>
    </row>
    <row r="2294" spans="1:7" x14ac:dyDescent="0.3">
      <c r="A2294" s="17"/>
      <c r="B2294" s="18"/>
      <c r="C2294" s="18"/>
      <c r="D2294" s="18"/>
      <c r="E2294" s="10" t="str">
        <f>IF(B2294="","",IFERROR(INDEX(Harytlar!$C$5:$C$44,MATCH(B2294,Harytlar!$A$5:$A$44,0)),""))</f>
        <v/>
      </c>
      <c r="F2294" s="10" t="str">
        <f t="shared" si="35"/>
        <v/>
      </c>
      <c r="G2294" s="10" t="str">
        <f>IF(OR(C2294="",B2294=""),"",IFERROR(C2294*INDEX(Harytlar!$D$5:$D$44,MATCH(B2294,Harytlar!$A$5:$A$44,0)),""))</f>
        <v/>
      </c>
    </row>
    <row r="2295" spans="1:7" x14ac:dyDescent="0.3">
      <c r="A2295" s="17"/>
      <c r="B2295" s="18"/>
      <c r="C2295" s="18"/>
      <c r="D2295" s="18"/>
      <c r="E2295" s="10" t="str">
        <f>IF(B2295="","",IFERROR(INDEX(Harytlar!$C$5:$C$44,MATCH(B2295,Harytlar!$A$5:$A$44,0)),""))</f>
        <v/>
      </c>
      <c r="F2295" s="10" t="str">
        <f t="shared" si="35"/>
        <v/>
      </c>
      <c r="G2295" s="10" t="str">
        <f>IF(OR(C2295="",B2295=""),"",IFERROR(C2295*INDEX(Harytlar!$D$5:$D$44,MATCH(B2295,Harytlar!$A$5:$A$44,0)),""))</f>
        <v/>
      </c>
    </row>
    <row r="2296" spans="1:7" x14ac:dyDescent="0.3">
      <c r="A2296" s="17"/>
      <c r="B2296" s="18"/>
      <c r="C2296" s="18"/>
      <c r="D2296" s="18"/>
      <c r="E2296" s="10" t="str">
        <f>IF(B2296="","",IFERROR(INDEX(Harytlar!$C$5:$C$44,MATCH(B2296,Harytlar!$A$5:$A$44,0)),""))</f>
        <v/>
      </c>
      <c r="F2296" s="10" t="str">
        <f t="shared" si="35"/>
        <v/>
      </c>
      <c r="G2296" s="10" t="str">
        <f>IF(OR(C2296="",B2296=""),"",IFERROR(C2296*INDEX(Harytlar!$D$5:$D$44,MATCH(B2296,Harytlar!$A$5:$A$44,0)),""))</f>
        <v/>
      </c>
    </row>
    <row r="2297" spans="1:7" x14ac:dyDescent="0.3">
      <c r="A2297" s="17"/>
      <c r="B2297" s="18"/>
      <c r="C2297" s="18"/>
      <c r="D2297" s="18"/>
      <c r="E2297" s="10" t="str">
        <f>IF(B2297="","",IFERROR(INDEX(Harytlar!$C$5:$C$44,MATCH(B2297,Harytlar!$A$5:$A$44,0)),""))</f>
        <v/>
      </c>
      <c r="F2297" s="10" t="str">
        <f t="shared" si="35"/>
        <v/>
      </c>
      <c r="G2297" s="10" t="str">
        <f>IF(OR(C2297="",B2297=""),"",IFERROR(C2297*INDEX(Harytlar!$D$5:$D$44,MATCH(B2297,Harytlar!$A$5:$A$44,0)),""))</f>
        <v/>
      </c>
    </row>
    <row r="2298" spans="1:7" x14ac:dyDescent="0.3">
      <c r="A2298" s="17"/>
      <c r="B2298" s="18"/>
      <c r="C2298" s="18"/>
      <c r="D2298" s="18"/>
      <c r="E2298" s="10" t="str">
        <f>IF(B2298="","",IFERROR(INDEX(Harytlar!$C$5:$C$44,MATCH(B2298,Harytlar!$A$5:$A$44,0)),""))</f>
        <v/>
      </c>
      <c r="F2298" s="10" t="str">
        <f t="shared" si="35"/>
        <v/>
      </c>
      <c r="G2298" s="10" t="str">
        <f>IF(OR(C2298="",B2298=""),"",IFERROR(C2298*INDEX(Harytlar!$D$5:$D$44,MATCH(B2298,Harytlar!$A$5:$A$44,0)),""))</f>
        <v/>
      </c>
    </row>
    <row r="2299" spans="1:7" x14ac:dyDescent="0.3">
      <c r="A2299" s="17"/>
      <c r="B2299" s="18"/>
      <c r="C2299" s="18"/>
      <c r="D2299" s="18"/>
      <c r="E2299" s="10" t="str">
        <f>IF(B2299="","",IFERROR(INDEX(Harytlar!$C$5:$C$44,MATCH(B2299,Harytlar!$A$5:$A$44,0)),""))</f>
        <v/>
      </c>
      <c r="F2299" s="10" t="str">
        <f t="shared" si="35"/>
        <v/>
      </c>
      <c r="G2299" s="10" t="str">
        <f>IF(OR(C2299="",B2299=""),"",IFERROR(C2299*INDEX(Harytlar!$D$5:$D$44,MATCH(B2299,Harytlar!$A$5:$A$44,0)),""))</f>
        <v/>
      </c>
    </row>
    <row r="2300" spans="1:7" x14ac:dyDescent="0.3">
      <c r="A2300" s="17"/>
      <c r="B2300" s="18"/>
      <c r="C2300" s="18"/>
      <c r="D2300" s="18"/>
      <c r="E2300" s="10" t="str">
        <f>IF(B2300="","",IFERROR(INDEX(Harytlar!$C$5:$C$44,MATCH(B2300,Harytlar!$A$5:$A$44,0)),""))</f>
        <v/>
      </c>
      <c r="F2300" s="10" t="str">
        <f t="shared" si="35"/>
        <v/>
      </c>
      <c r="G2300" s="10" t="str">
        <f>IF(OR(C2300="",B2300=""),"",IFERROR(C2300*INDEX(Harytlar!$D$5:$D$44,MATCH(B2300,Harytlar!$A$5:$A$44,0)),""))</f>
        <v/>
      </c>
    </row>
    <row r="2301" spans="1:7" x14ac:dyDescent="0.3">
      <c r="A2301" s="17"/>
      <c r="B2301" s="18"/>
      <c r="C2301" s="18"/>
      <c r="D2301" s="18"/>
      <c r="E2301" s="10" t="str">
        <f>IF(B2301="","",IFERROR(INDEX(Harytlar!$C$5:$C$44,MATCH(B2301,Harytlar!$A$5:$A$44,0)),""))</f>
        <v/>
      </c>
      <c r="F2301" s="10" t="str">
        <f t="shared" si="35"/>
        <v/>
      </c>
      <c r="G2301" s="10" t="str">
        <f>IF(OR(C2301="",B2301=""),"",IFERROR(C2301*INDEX(Harytlar!$D$5:$D$44,MATCH(B2301,Harytlar!$A$5:$A$44,0)),""))</f>
        <v/>
      </c>
    </row>
    <row r="2302" spans="1:7" x14ac:dyDescent="0.3">
      <c r="A2302" s="17"/>
      <c r="B2302" s="18"/>
      <c r="C2302" s="18"/>
      <c r="D2302" s="18"/>
      <c r="E2302" s="10" t="str">
        <f>IF(B2302="","",IFERROR(INDEX(Harytlar!$C$5:$C$44,MATCH(B2302,Harytlar!$A$5:$A$44,0)),""))</f>
        <v/>
      </c>
      <c r="F2302" s="10" t="str">
        <f t="shared" si="35"/>
        <v/>
      </c>
      <c r="G2302" s="10" t="str">
        <f>IF(OR(C2302="",B2302=""),"",IFERROR(C2302*INDEX(Harytlar!$D$5:$D$44,MATCH(B2302,Harytlar!$A$5:$A$44,0)),""))</f>
        <v/>
      </c>
    </row>
    <row r="2303" spans="1:7" x14ac:dyDescent="0.3">
      <c r="A2303" s="17"/>
      <c r="B2303" s="18"/>
      <c r="C2303" s="18"/>
      <c r="D2303" s="18"/>
      <c r="E2303" s="10" t="str">
        <f>IF(B2303="","",IFERROR(INDEX(Harytlar!$C$5:$C$44,MATCH(B2303,Harytlar!$A$5:$A$44,0)),""))</f>
        <v/>
      </c>
      <c r="F2303" s="10" t="str">
        <f t="shared" si="35"/>
        <v/>
      </c>
      <c r="G2303" s="10" t="str">
        <f>IF(OR(C2303="",B2303=""),"",IFERROR(C2303*INDEX(Harytlar!$D$5:$D$44,MATCH(B2303,Harytlar!$A$5:$A$44,0)),""))</f>
        <v/>
      </c>
    </row>
    <row r="2304" spans="1:7" x14ac:dyDescent="0.3">
      <c r="A2304" s="17"/>
      <c r="B2304" s="18"/>
      <c r="C2304" s="18"/>
      <c r="D2304" s="18"/>
      <c r="E2304" s="10" t="str">
        <f>IF(B2304="","",IFERROR(INDEX(Harytlar!$C$5:$C$44,MATCH(B2304,Harytlar!$A$5:$A$44,0)),""))</f>
        <v/>
      </c>
      <c r="F2304" s="10" t="str">
        <f t="shared" si="35"/>
        <v/>
      </c>
      <c r="G2304" s="10" t="str">
        <f>IF(OR(C2304="",B2304=""),"",IFERROR(C2304*INDEX(Harytlar!$D$5:$D$44,MATCH(B2304,Harytlar!$A$5:$A$44,0)),""))</f>
        <v/>
      </c>
    </row>
    <row r="2305" spans="1:7" x14ac:dyDescent="0.3">
      <c r="A2305" s="17"/>
      <c r="B2305" s="18"/>
      <c r="C2305" s="18"/>
      <c r="D2305" s="18"/>
      <c r="E2305" s="10" t="str">
        <f>IF(B2305="","",IFERROR(INDEX(Harytlar!$C$5:$C$44,MATCH(B2305,Harytlar!$A$5:$A$44,0)),""))</f>
        <v/>
      </c>
      <c r="F2305" s="10" t="str">
        <f t="shared" si="35"/>
        <v/>
      </c>
      <c r="G2305" s="10" t="str">
        <f>IF(OR(C2305="",B2305=""),"",IFERROR(C2305*INDEX(Harytlar!$D$5:$D$44,MATCH(B2305,Harytlar!$A$5:$A$44,0)),""))</f>
        <v/>
      </c>
    </row>
    <row r="2306" spans="1:7" x14ac:dyDescent="0.3">
      <c r="A2306" s="17"/>
      <c r="B2306" s="18"/>
      <c r="C2306" s="18"/>
      <c r="D2306" s="18"/>
      <c r="E2306" s="10" t="str">
        <f>IF(B2306="","",IFERROR(INDEX(Harytlar!$C$5:$C$44,MATCH(B2306,Harytlar!$A$5:$A$44,0)),""))</f>
        <v/>
      </c>
      <c r="F2306" s="10" t="str">
        <f t="shared" si="35"/>
        <v/>
      </c>
      <c r="G2306" s="10" t="str">
        <f>IF(OR(C2306="",B2306=""),"",IFERROR(C2306*INDEX(Harytlar!$D$5:$D$44,MATCH(B2306,Harytlar!$A$5:$A$44,0)),""))</f>
        <v/>
      </c>
    </row>
    <row r="2307" spans="1:7" x14ac:dyDescent="0.3">
      <c r="A2307" s="17"/>
      <c r="B2307" s="18"/>
      <c r="C2307" s="18"/>
      <c r="D2307" s="18"/>
      <c r="E2307" s="10" t="str">
        <f>IF(B2307="","",IFERROR(INDEX(Harytlar!$C$5:$C$44,MATCH(B2307,Harytlar!$A$5:$A$44,0)),""))</f>
        <v/>
      </c>
      <c r="F2307" s="10" t="str">
        <f t="shared" si="35"/>
        <v/>
      </c>
      <c r="G2307" s="10" t="str">
        <f>IF(OR(C2307="",B2307=""),"",IFERROR(C2307*INDEX(Harytlar!$D$5:$D$44,MATCH(B2307,Harytlar!$A$5:$A$44,0)),""))</f>
        <v/>
      </c>
    </row>
    <row r="2308" spans="1:7" x14ac:dyDescent="0.3">
      <c r="A2308" s="17"/>
      <c r="B2308" s="18"/>
      <c r="C2308" s="18"/>
      <c r="D2308" s="18"/>
      <c r="E2308" s="10" t="str">
        <f>IF(B2308="","",IFERROR(INDEX(Harytlar!$C$5:$C$44,MATCH(B2308,Harytlar!$A$5:$A$44,0)),""))</f>
        <v/>
      </c>
      <c r="F2308" s="10" t="str">
        <f t="shared" si="35"/>
        <v/>
      </c>
      <c r="G2308" s="10" t="str">
        <f>IF(OR(C2308="",B2308=""),"",IFERROR(C2308*INDEX(Harytlar!$D$5:$D$44,MATCH(B2308,Harytlar!$A$5:$A$44,0)),""))</f>
        <v/>
      </c>
    </row>
    <row r="2309" spans="1:7" x14ac:dyDescent="0.3">
      <c r="A2309" s="17"/>
      <c r="B2309" s="18"/>
      <c r="C2309" s="18"/>
      <c r="D2309" s="18"/>
      <c r="E2309" s="10" t="str">
        <f>IF(B2309="","",IFERROR(INDEX(Harytlar!$C$5:$C$44,MATCH(B2309,Harytlar!$A$5:$A$44,0)),""))</f>
        <v/>
      </c>
      <c r="F2309" s="10" t="str">
        <f t="shared" si="35"/>
        <v/>
      </c>
      <c r="G2309" s="10" t="str">
        <f>IF(OR(C2309="",B2309=""),"",IFERROR(C2309*INDEX(Harytlar!$D$5:$D$44,MATCH(B2309,Harytlar!$A$5:$A$44,0)),""))</f>
        <v/>
      </c>
    </row>
    <row r="2310" spans="1:7" x14ac:dyDescent="0.3">
      <c r="A2310" s="17"/>
      <c r="B2310" s="18"/>
      <c r="C2310" s="18"/>
      <c r="D2310" s="18"/>
      <c r="E2310" s="10" t="str">
        <f>IF(B2310="","",IFERROR(INDEX(Harytlar!$C$5:$C$44,MATCH(B2310,Harytlar!$A$5:$A$44,0)),""))</f>
        <v/>
      </c>
      <c r="F2310" s="10" t="str">
        <f t="shared" ref="F2310:F2373" si="36">IF(OR(C2310="",E2310=""),"",C2310*E2310)</f>
        <v/>
      </c>
      <c r="G2310" s="10" t="str">
        <f>IF(OR(C2310="",B2310=""),"",IFERROR(C2310*INDEX(Harytlar!$D$5:$D$44,MATCH(B2310,Harytlar!$A$5:$A$44,0)),""))</f>
        <v/>
      </c>
    </row>
    <row r="2311" spans="1:7" x14ac:dyDescent="0.3">
      <c r="A2311" s="17"/>
      <c r="B2311" s="18"/>
      <c r="C2311" s="18"/>
      <c r="D2311" s="18"/>
      <c r="E2311" s="10" t="str">
        <f>IF(B2311="","",IFERROR(INDEX(Harytlar!$C$5:$C$44,MATCH(B2311,Harytlar!$A$5:$A$44,0)),""))</f>
        <v/>
      </c>
      <c r="F2311" s="10" t="str">
        <f t="shared" si="36"/>
        <v/>
      </c>
      <c r="G2311" s="10" t="str">
        <f>IF(OR(C2311="",B2311=""),"",IFERROR(C2311*INDEX(Harytlar!$D$5:$D$44,MATCH(B2311,Harytlar!$A$5:$A$44,0)),""))</f>
        <v/>
      </c>
    </row>
    <row r="2312" spans="1:7" x14ac:dyDescent="0.3">
      <c r="A2312" s="17"/>
      <c r="B2312" s="18"/>
      <c r="C2312" s="18"/>
      <c r="D2312" s="18"/>
      <c r="E2312" s="10" t="str">
        <f>IF(B2312="","",IFERROR(INDEX(Harytlar!$C$5:$C$44,MATCH(B2312,Harytlar!$A$5:$A$44,0)),""))</f>
        <v/>
      </c>
      <c r="F2312" s="10" t="str">
        <f t="shared" si="36"/>
        <v/>
      </c>
      <c r="G2312" s="10" t="str">
        <f>IF(OR(C2312="",B2312=""),"",IFERROR(C2312*INDEX(Harytlar!$D$5:$D$44,MATCH(B2312,Harytlar!$A$5:$A$44,0)),""))</f>
        <v/>
      </c>
    </row>
    <row r="2313" spans="1:7" x14ac:dyDescent="0.3">
      <c r="A2313" s="17"/>
      <c r="B2313" s="18"/>
      <c r="C2313" s="18"/>
      <c r="D2313" s="18"/>
      <c r="E2313" s="10" t="str">
        <f>IF(B2313="","",IFERROR(INDEX(Harytlar!$C$5:$C$44,MATCH(B2313,Harytlar!$A$5:$A$44,0)),""))</f>
        <v/>
      </c>
      <c r="F2313" s="10" t="str">
        <f t="shared" si="36"/>
        <v/>
      </c>
      <c r="G2313" s="10" t="str">
        <f>IF(OR(C2313="",B2313=""),"",IFERROR(C2313*INDEX(Harytlar!$D$5:$D$44,MATCH(B2313,Harytlar!$A$5:$A$44,0)),""))</f>
        <v/>
      </c>
    </row>
    <row r="2314" spans="1:7" x14ac:dyDescent="0.3">
      <c r="A2314" s="17"/>
      <c r="B2314" s="18"/>
      <c r="C2314" s="18"/>
      <c r="D2314" s="18"/>
      <c r="E2314" s="10" t="str">
        <f>IF(B2314="","",IFERROR(INDEX(Harytlar!$C$5:$C$44,MATCH(B2314,Harytlar!$A$5:$A$44,0)),""))</f>
        <v/>
      </c>
      <c r="F2314" s="10" t="str">
        <f t="shared" si="36"/>
        <v/>
      </c>
      <c r="G2314" s="10" t="str">
        <f>IF(OR(C2314="",B2314=""),"",IFERROR(C2314*INDEX(Harytlar!$D$5:$D$44,MATCH(B2314,Harytlar!$A$5:$A$44,0)),""))</f>
        <v/>
      </c>
    </row>
    <row r="2315" spans="1:7" x14ac:dyDescent="0.3">
      <c r="A2315" s="17"/>
      <c r="B2315" s="18"/>
      <c r="C2315" s="18"/>
      <c r="D2315" s="18"/>
      <c r="E2315" s="10" t="str">
        <f>IF(B2315="","",IFERROR(INDEX(Harytlar!$C$5:$C$44,MATCH(B2315,Harytlar!$A$5:$A$44,0)),""))</f>
        <v/>
      </c>
      <c r="F2315" s="10" t="str">
        <f t="shared" si="36"/>
        <v/>
      </c>
      <c r="G2315" s="10" t="str">
        <f>IF(OR(C2315="",B2315=""),"",IFERROR(C2315*INDEX(Harytlar!$D$5:$D$44,MATCH(B2315,Harytlar!$A$5:$A$44,0)),""))</f>
        <v/>
      </c>
    </row>
    <row r="2316" spans="1:7" x14ac:dyDescent="0.3">
      <c r="A2316" s="17"/>
      <c r="B2316" s="18"/>
      <c r="C2316" s="18"/>
      <c r="D2316" s="18"/>
      <c r="E2316" s="10" t="str">
        <f>IF(B2316="","",IFERROR(INDEX(Harytlar!$C$5:$C$44,MATCH(B2316,Harytlar!$A$5:$A$44,0)),""))</f>
        <v/>
      </c>
      <c r="F2316" s="10" t="str">
        <f t="shared" si="36"/>
        <v/>
      </c>
      <c r="G2316" s="10" t="str">
        <f>IF(OR(C2316="",B2316=""),"",IFERROR(C2316*INDEX(Harytlar!$D$5:$D$44,MATCH(B2316,Harytlar!$A$5:$A$44,0)),""))</f>
        <v/>
      </c>
    </row>
    <row r="2317" spans="1:7" x14ac:dyDescent="0.3">
      <c r="A2317" s="17"/>
      <c r="B2317" s="18"/>
      <c r="C2317" s="18"/>
      <c r="D2317" s="18"/>
      <c r="E2317" s="10" t="str">
        <f>IF(B2317="","",IFERROR(INDEX(Harytlar!$C$5:$C$44,MATCH(B2317,Harytlar!$A$5:$A$44,0)),""))</f>
        <v/>
      </c>
      <c r="F2317" s="10" t="str">
        <f t="shared" si="36"/>
        <v/>
      </c>
      <c r="G2317" s="10" t="str">
        <f>IF(OR(C2317="",B2317=""),"",IFERROR(C2317*INDEX(Harytlar!$D$5:$D$44,MATCH(B2317,Harytlar!$A$5:$A$44,0)),""))</f>
        <v/>
      </c>
    </row>
    <row r="2318" spans="1:7" x14ac:dyDescent="0.3">
      <c r="A2318" s="17"/>
      <c r="B2318" s="18"/>
      <c r="C2318" s="18"/>
      <c r="D2318" s="18"/>
      <c r="E2318" s="10" t="str">
        <f>IF(B2318="","",IFERROR(INDEX(Harytlar!$C$5:$C$44,MATCH(B2318,Harytlar!$A$5:$A$44,0)),""))</f>
        <v/>
      </c>
      <c r="F2318" s="10" t="str">
        <f t="shared" si="36"/>
        <v/>
      </c>
      <c r="G2318" s="10" t="str">
        <f>IF(OR(C2318="",B2318=""),"",IFERROR(C2318*INDEX(Harytlar!$D$5:$D$44,MATCH(B2318,Harytlar!$A$5:$A$44,0)),""))</f>
        <v/>
      </c>
    </row>
    <row r="2319" spans="1:7" x14ac:dyDescent="0.3">
      <c r="A2319" s="17"/>
      <c r="B2319" s="18"/>
      <c r="C2319" s="18"/>
      <c r="D2319" s="18"/>
      <c r="E2319" s="10" t="str">
        <f>IF(B2319="","",IFERROR(INDEX(Harytlar!$C$5:$C$44,MATCH(B2319,Harytlar!$A$5:$A$44,0)),""))</f>
        <v/>
      </c>
      <c r="F2319" s="10" t="str">
        <f t="shared" si="36"/>
        <v/>
      </c>
      <c r="G2319" s="10" t="str">
        <f>IF(OR(C2319="",B2319=""),"",IFERROR(C2319*INDEX(Harytlar!$D$5:$D$44,MATCH(B2319,Harytlar!$A$5:$A$44,0)),""))</f>
        <v/>
      </c>
    </row>
    <row r="2320" spans="1:7" x14ac:dyDescent="0.3">
      <c r="A2320" s="17"/>
      <c r="B2320" s="18"/>
      <c r="C2320" s="18"/>
      <c r="D2320" s="18"/>
      <c r="E2320" s="10" t="str">
        <f>IF(B2320="","",IFERROR(INDEX(Harytlar!$C$5:$C$44,MATCH(B2320,Harytlar!$A$5:$A$44,0)),""))</f>
        <v/>
      </c>
      <c r="F2320" s="10" t="str">
        <f t="shared" si="36"/>
        <v/>
      </c>
      <c r="G2320" s="10" t="str">
        <f>IF(OR(C2320="",B2320=""),"",IFERROR(C2320*INDEX(Harytlar!$D$5:$D$44,MATCH(B2320,Harytlar!$A$5:$A$44,0)),""))</f>
        <v/>
      </c>
    </row>
    <row r="2321" spans="1:7" x14ac:dyDescent="0.3">
      <c r="A2321" s="17"/>
      <c r="B2321" s="18"/>
      <c r="C2321" s="18"/>
      <c r="D2321" s="18"/>
      <c r="E2321" s="10" t="str">
        <f>IF(B2321="","",IFERROR(INDEX(Harytlar!$C$5:$C$44,MATCH(B2321,Harytlar!$A$5:$A$44,0)),""))</f>
        <v/>
      </c>
      <c r="F2321" s="10" t="str">
        <f t="shared" si="36"/>
        <v/>
      </c>
      <c r="G2321" s="10" t="str">
        <f>IF(OR(C2321="",B2321=""),"",IFERROR(C2321*INDEX(Harytlar!$D$5:$D$44,MATCH(B2321,Harytlar!$A$5:$A$44,0)),""))</f>
        <v/>
      </c>
    </row>
    <row r="2322" spans="1:7" x14ac:dyDescent="0.3">
      <c r="A2322" s="17"/>
      <c r="B2322" s="18"/>
      <c r="C2322" s="18"/>
      <c r="D2322" s="18"/>
      <c r="E2322" s="10" t="str">
        <f>IF(B2322="","",IFERROR(INDEX(Harytlar!$C$5:$C$44,MATCH(B2322,Harytlar!$A$5:$A$44,0)),""))</f>
        <v/>
      </c>
      <c r="F2322" s="10" t="str">
        <f t="shared" si="36"/>
        <v/>
      </c>
      <c r="G2322" s="10" t="str">
        <f>IF(OR(C2322="",B2322=""),"",IFERROR(C2322*INDEX(Harytlar!$D$5:$D$44,MATCH(B2322,Harytlar!$A$5:$A$44,0)),""))</f>
        <v/>
      </c>
    </row>
    <row r="2323" spans="1:7" x14ac:dyDescent="0.3">
      <c r="A2323" s="17"/>
      <c r="B2323" s="18"/>
      <c r="C2323" s="18"/>
      <c r="D2323" s="18"/>
      <c r="E2323" s="10" t="str">
        <f>IF(B2323="","",IFERROR(INDEX(Harytlar!$C$5:$C$44,MATCH(B2323,Harytlar!$A$5:$A$44,0)),""))</f>
        <v/>
      </c>
      <c r="F2323" s="10" t="str">
        <f t="shared" si="36"/>
        <v/>
      </c>
      <c r="G2323" s="10" t="str">
        <f>IF(OR(C2323="",B2323=""),"",IFERROR(C2323*INDEX(Harytlar!$D$5:$D$44,MATCH(B2323,Harytlar!$A$5:$A$44,0)),""))</f>
        <v/>
      </c>
    </row>
    <row r="2324" spans="1:7" x14ac:dyDescent="0.3">
      <c r="A2324" s="17"/>
      <c r="B2324" s="18"/>
      <c r="C2324" s="18"/>
      <c r="D2324" s="18"/>
      <c r="E2324" s="10" t="str">
        <f>IF(B2324="","",IFERROR(INDEX(Harytlar!$C$5:$C$44,MATCH(B2324,Harytlar!$A$5:$A$44,0)),""))</f>
        <v/>
      </c>
      <c r="F2324" s="10" t="str">
        <f t="shared" si="36"/>
        <v/>
      </c>
      <c r="G2324" s="10" t="str">
        <f>IF(OR(C2324="",B2324=""),"",IFERROR(C2324*INDEX(Harytlar!$D$5:$D$44,MATCH(B2324,Harytlar!$A$5:$A$44,0)),""))</f>
        <v/>
      </c>
    </row>
    <row r="2325" spans="1:7" x14ac:dyDescent="0.3">
      <c r="A2325" s="17"/>
      <c r="B2325" s="18"/>
      <c r="C2325" s="18"/>
      <c r="D2325" s="18"/>
      <c r="E2325" s="10" t="str">
        <f>IF(B2325="","",IFERROR(INDEX(Harytlar!$C$5:$C$44,MATCH(B2325,Harytlar!$A$5:$A$44,0)),""))</f>
        <v/>
      </c>
      <c r="F2325" s="10" t="str">
        <f t="shared" si="36"/>
        <v/>
      </c>
      <c r="G2325" s="10" t="str">
        <f>IF(OR(C2325="",B2325=""),"",IFERROR(C2325*INDEX(Harytlar!$D$5:$D$44,MATCH(B2325,Harytlar!$A$5:$A$44,0)),""))</f>
        <v/>
      </c>
    </row>
    <row r="2326" spans="1:7" x14ac:dyDescent="0.3">
      <c r="A2326" s="17"/>
      <c r="B2326" s="18"/>
      <c r="C2326" s="18"/>
      <c r="D2326" s="18"/>
      <c r="E2326" s="10" t="str">
        <f>IF(B2326="","",IFERROR(INDEX(Harytlar!$C$5:$C$44,MATCH(B2326,Harytlar!$A$5:$A$44,0)),""))</f>
        <v/>
      </c>
      <c r="F2326" s="10" t="str">
        <f t="shared" si="36"/>
        <v/>
      </c>
      <c r="G2326" s="10" t="str">
        <f>IF(OR(C2326="",B2326=""),"",IFERROR(C2326*INDEX(Harytlar!$D$5:$D$44,MATCH(B2326,Harytlar!$A$5:$A$44,0)),""))</f>
        <v/>
      </c>
    </row>
    <row r="2327" spans="1:7" x14ac:dyDescent="0.3">
      <c r="A2327" s="17"/>
      <c r="B2327" s="18"/>
      <c r="C2327" s="18"/>
      <c r="D2327" s="18"/>
      <c r="E2327" s="10" t="str">
        <f>IF(B2327="","",IFERROR(INDEX(Harytlar!$C$5:$C$44,MATCH(B2327,Harytlar!$A$5:$A$44,0)),""))</f>
        <v/>
      </c>
      <c r="F2327" s="10" t="str">
        <f t="shared" si="36"/>
        <v/>
      </c>
      <c r="G2327" s="10" t="str">
        <f>IF(OR(C2327="",B2327=""),"",IFERROR(C2327*INDEX(Harytlar!$D$5:$D$44,MATCH(B2327,Harytlar!$A$5:$A$44,0)),""))</f>
        <v/>
      </c>
    </row>
    <row r="2328" spans="1:7" x14ac:dyDescent="0.3">
      <c r="A2328" s="17"/>
      <c r="B2328" s="18"/>
      <c r="C2328" s="18"/>
      <c r="D2328" s="18"/>
      <c r="E2328" s="10" t="str">
        <f>IF(B2328="","",IFERROR(INDEX(Harytlar!$C$5:$C$44,MATCH(B2328,Harytlar!$A$5:$A$44,0)),""))</f>
        <v/>
      </c>
      <c r="F2328" s="10" t="str">
        <f t="shared" si="36"/>
        <v/>
      </c>
      <c r="G2328" s="10" t="str">
        <f>IF(OR(C2328="",B2328=""),"",IFERROR(C2328*INDEX(Harytlar!$D$5:$D$44,MATCH(B2328,Harytlar!$A$5:$A$44,0)),""))</f>
        <v/>
      </c>
    </row>
    <row r="2329" spans="1:7" x14ac:dyDescent="0.3">
      <c r="A2329" s="17"/>
      <c r="B2329" s="18"/>
      <c r="C2329" s="18"/>
      <c r="D2329" s="18"/>
      <c r="E2329" s="10" t="str">
        <f>IF(B2329="","",IFERROR(INDEX(Harytlar!$C$5:$C$44,MATCH(B2329,Harytlar!$A$5:$A$44,0)),""))</f>
        <v/>
      </c>
      <c r="F2329" s="10" t="str">
        <f t="shared" si="36"/>
        <v/>
      </c>
      <c r="G2329" s="10" t="str">
        <f>IF(OR(C2329="",B2329=""),"",IFERROR(C2329*INDEX(Harytlar!$D$5:$D$44,MATCH(B2329,Harytlar!$A$5:$A$44,0)),""))</f>
        <v/>
      </c>
    </row>
    <row r="2330" spans="1:7" x14ac:dyDescent="0.3">
      <c r="A2330" s="17"/>
      <c r="B2330" s="18"/>
      <c r="C2330" s="18"/>
      <c r="D2330" s="18"/>
      <c r="E2330" s="10" t="str">
        <f>IF(B2330="","",IFERROR(INDEX(Harytlar!$C$5:$C$44,MATCH(B2330,Harytlar!$A$5:$A$44,0)),""))</f>
        <v/>
      </c>
      <c r="F2330" s="10" t="str">
        <f t="shared" si="36"/>
        <v/>
      </c>
      <c r="G2330" s="10" t="str">
        <f>IF(OR(C2330="",B2330=""),"",IFERROR(C2330*INDEX(Harytlar!$D$5:$D$44,MATCH(B2330,Harytlar!$A$5:$A$44,0)),""))</f>
        <v/>
      </c>
    </row>
    <row r="2331" spans="1:7" x14ac:dyDescent="0.3">
      <c r="A2331" s="17"/>
      <c r="B2331" s="18"/>
      <c r="C2331" s="18"/>
      <c r="D2331" s="18"/>
      <c r="E2331" s="10" t="str">
        <f>IF(B2331="","",IFERROR(INDEX(Harytlar!$C$5:$C$44,MATCH(B2331,Harytlar!$A$5:$A$44,0)),""))</f>
        <v/>
      </c>
      <c r="F2331" s="10" t="str">
        <f t="shared" si="36"/>
        <v/>
      </c>
      <c r="G2331" s="10" t="str">
        <f>IF(OR(C2331="",B2331=""),"",IFERROR(C2331*INDEX(Harytlar!$D$5:$D$44,MATCH(B2331,Harytlar!$A$5:$A$44,0)),""))</f>
        <v/>
      </c>
    </row>
    <row r="2332" spans="1:7" x14ac:dyDescent="0.3">
      <c r="A2332" s="17"/>
      <c r="B2332" s="18"/>
      <c r="C2332" s="18"/>
      <c r="D2332" s="18"/>
      <c r="E2332" s="10" t="str">
        <f>IF(B2332="","",IFERROR(INDEX(Harytlar!$C$5:$C$44,MATCH(B2332,Harytlar!$A$5:$A$44,0)),""))</f>
        <v/>
      </c>
      <c r="F2332" s="10" t="str">
        <f t="shared" si="36"/>
        <v/>
      </c>
      <c r="G2332" s="10" t="str">
        <f>IF(OR(C2332="",B2332=""),"",IFERROR(C2332*INDEX(Harytlar!$D$5:$D$44,MATCH(B2332,Harytlar!$A$5:$A$44,0)),""))</f>
        <v/>
      </c>
    </row>
    <row r="2333" spans="1:7" x14ac:dyDescent="0.3">
      <c r="A2333" s="17"/>
      <c r="B2333" s="18"/>
      <c r="C2333" s="18"/>
      <c r="D2333" s="18"/>
      <c r="E2333" s="10" t="str">
        <f>IF(B2333="","",IFERROR(INDEX(Harytlar!$C$5:$C$44,MATCH(B2333,Harytlar!$A$5:$A$44,0)),""))</f>
        <v/>
      </c>
      <c r="F2333" s="10" t="str">
        <f t="shared" si="36"/>
        <v/>
      </c>
      <c r="G2333" s="10" t="str">
        <f>IF(OR(C2333="",B2333=""),"",IFERROR(C2333*INDEX(Harytlar!$D$5:$D$44,MATCH(B2333,Harytlar!$A$5:$A$44,0)),""))</f>
        <v/>
      </c>
    </row>
    <row r="2334" spans="1:7" x14ac:dyDescent="0.3">
      <c r="A2334" s="17"/>
      <c r="B2334" s="18"/>
      <c r="C2334" s="18"/>
      <c r="D2334" s="18"/>
      <c r="E2334" s="10" t="str">
        <f>IF(B2334="","",IFERROR(INDEX(Harytlar!$C$5:$C$44,MATCH(B2334,Harytlar!$A$5:$A$44,0)),""))</f>
        <v/>
      </c>
      <c r="F2334" s="10" t="str">
        <f t="shared" si="36"/>
        <v/>
      </c>
      <c r="G2334" s="10" t="str">
        <f>IF(OR(C2334="",B2334=""),"",IFERROR(C2334*INDEX(Harytlar!$D$5:$D$44,MATCH(B2334,Harytlar!$A$5:$A$44,0)),""))</f>
        <v/>
      </c>
    </row>
    <row r="2335" spans="1:7" x14ac:dyDescent="0.3">
      <c r="A2335" s="17"/>
      <c r="B2335" s="18"/>
      <c r="C2335" s="18"/>
      <c r="D2335" s="18"/>
      <c r="E2335" s="10" t="str">
        <f>IF(B2335="","",IFERROR(INDEX(Harytlar!$C$5:$C$44,MATCH(B2335,Harytlar!$A$5:$A$44,0)),""))</f>
        <v/>
      </c>
      <c r="F2335" s="10" t="str">
        <f t="shared" si="36"/>
        <v/>
      </c>
      <c r="G2335" s="10" t="str">
        <f>IF(OR(C2335="",B2335=""),"",IFERROR(C2335*INDEX(Harytlar!$D$5:$D$44,MATCH(B2335,Harytlar!$A$5:$A$44,0)),""))</f>
        <v/>
      </c>
    </row>
    <row r="2336" spans="1:7" x14ac:dyDescent="0.3">
      <c r="A2336" s="17"/>
      <c r="B2336" s="18"/>
      <c r="C2336" s="18"/>
      <c r="D2336" s="18"/>
      <c r="E2336" s="10" t="str">
        <f>IF(B2336="","",IFERROR(INDEX(Harytlar!$C$5:$C$44,MATCH(B2336,Harytlar!$A$5:$A$44,0)),""))</f>
        <v/>
      </c>
      <c r="F2336" s="10" t="str">
        <f t="shared" si="36"/>
        <v/>
      </c>
      <c r="G2336" s="10" t="str">
        <f>IF(OR(C2336="",B2336=""),"",IFERROR(C2336*INDEX(Harytlar!$D$5:$D$44,MATCH(B2336,Harytlar!$A$5:$A$44,0)),""))</f>
        <v/>
      </c>
    </row>
    <row r="2337" spans="1:7" x14ac:dyDescent="0.3">
      <c r="A2337" s="17"/>
      <c r="B2337" s="18"/>
      <c r="C2337" s="18"/>
      <c r="D2337" s="18"/>
      <c r="E2337" s="10" t="str">
        <f>IF(B2337="","",IFERROR(INDEX(Harytlar!$C$5:$C$44,MATCH(B2337,Harytlar!$A$5:$A$44,0)),""))</f>
        <v/>
      </c>
      <c r="F2337" s="10" t="str">
        <f t="shared" si="36"/>
        <v/>
      </c>
      <c r="G2337" s="10" t="str">
        <f>IF(OR(C2337="",B2337=""),"",IFERROR(C2337*INDEX(Harytlar!$D$5:$D$44,MATCH(B2337,Harytlar!$A$5:$A$44,0)),""))</f>
        <v/>
      </c>
    </row>
    <row r="2338" spans="1:7" x14ac:dyDescent="0.3">
      <c r="A2338" s="17"/>
      <c r="B2338" s="18"/>
      <c r="C2338" s="18"/>
      <c r="D2338" s="18"/>
      <c r="E2338" s="10" t="str">
        <f>IF(B2338="","",IFERROR(INDEX(Harytlar!$C$5:$C$44,MATCH(B2338,Harytlar!$A$5:$A$44,0)),""))</f>
        <v/>
      </c>
      <c r="F2338" s="10" t="str">
        <f t="shared" si="36"/>
        <v/>
      </c>
      <c r="G2338" s="10" t="str">
        <f>IF(OR(C2338="",B2338=""),"",IFERROR(C2338*INDEX(Harytlar!$D$5:$D$44,MATCH(B2338,Harytlar!$A$5:$A$44,0)),""))</f>
        <v/>
      </c>
    </row>
    <row r="2339" spans="1:7" x14ac:dyDescent="0.3">
      <c r="A2339" s="17"/>
      <c r="B2339" s="18"/>
      <c r="C2339" s="18"/>
      <c r="D2339" s="18"/>
      <c r="E2339" s="10" t="str">
        <f>IF(B2339="","",IFERROR(INDEX(Harytlar!$C$5:$C$44,MATCH(B2339,Harytlar!$A$5:$A$44,0)),""))</f>
        <v/>
      </c>
      <c r="F2339" s="10" t="str">
        <f t="shared" si="36"/>
        <v/>
      </c>
      <c r="G2339" s="10" t="str">
        <f>IF(OR(C2339="",B2339=""),"",IFERROR(C2339*INDEX(Harytlar!$D$5:$D$44,MATCH(B2339,Harytlar!$A$5:$A$44,0)),""))</f>
        <v/>
      </c>
    </row>
    <row r="2340" spans="1:7" x14ac:dyDescent="0.3">
      <c r="A2340" s="17"/>
      <c r="B2340" s="18"/>
      <c r="C2340" s="18"/>
      <c r="D2340" s="18"/>
      <c r="E2340" s="10" t="str">
        <f>IF(B2340="","",IFERROR(INDEX(Harytlar!$C$5:$C$44,MATCH(B2340,Harytlar!$A$5:$A$44,0)),""))</f>
        <v/>
      </c>
      <c r="F2340" s="10" t="str">
        <f t="shared" si="36"/>
        <v/>
      </c>
      <c r="G2340" s="10" t="str">
        <f>IF(OR(C2340="",B2340=""),"",IFERROR(C2340*INDEX(Harytlar!$D$5:$D$44,MATCH(B2340,Harytlar!$A$5:$A$44,0)),""))</f>
        <v/>
      </c>
    </row>
    <row r="2341" spans="1:7" x14ac:dyDescent="0.3">
      <c r="A2341" s="17"/>
      <c r="B2341" s="18"/>
      <c r="C2341" s="18"/>
      <c r="D2341" s="18"/>
      <c r="E2341" s="10" t="str">
        <f>IF(B2341="","",IFERROR(INDEX(Harytlar!$C$5:$C$44,MATCH(B2341,Harytlar!$A$5:$A$44,0)),""))</f>
        <v/>
      </c>
      <c r="F2341" s="10" t="str">
        <f t="shared" si="36"/>
        <v/>
      </c>
      <c r="G2341" s="10" t="str">
        <f>IF(OR(C2341="",B2341=""),"",IFERROR(C2341*INDEX(Harytlar!$D$5:$D$44,MATCH(B2341,Harytlar!$A$5:$A$44,0)),""))</f>
        <v/>
      </c>
    </row>
    <row r="2342" spans="1:7" x14ac:dyDescent="0.3">
      <c r="A2342" s="17"/>
      <c r="B2342" s="18"/>
      <c r="C2342" s="18"/>
      <c r="D2342" s="18"/>
      <c r="E2342" s="10" t="str">
        <f>IF(B2342="","",IFERROR(INDEX(Harytlar!$C$5:$C$44,MATCH(B2342,Harytlar!$A$5:$A$44,0)),""))</f>
        <v/>
      </c>
      <c r="F2342" s="10" t="str">
        <f t="shared" si="36"/>
        <v/>
      </c>
      <c r="G2342" s="10" t="str">
        <f>IF(OR(C2342="",B2342=""),"",IFERROR(C2342*INDEX(Harytlar!$D$5:$D$44,MATCH(B2342,Harytlar!$A$5:$A$44,0)),""))</f>
        <v/>
      </c>
    </row>
    <row r="2343" spans="1:7" x14ac:dyDescent="0.3">
      <c r="A2343" s="17"/>
      <c r="B2343" s="18"/>
      <c r="C2343" s="18"/>
      <c r="D2343" s="18"/>
      <c r="E2343" s="10" t="str">
        <f>IF(B2343="","",IFERROR(INDEX(Harytlar!$C$5:$C$44,MATCH(B2343,Harytlar!$A$5:$A$44,0)),""))</f>
        <v/>
      </c>
      <c r="F2343" s="10" t="str">
        <f t="shared" si="36"/>
        <v/>
      </c>
      <c r="G2343" s="10" t="str">
        <f>IF(OR(C2343="",B2343=""),"",IFERROR(C2343*INDEX(Harytlar!$D$5:$D$44,MATCH(B2343,Harytlar!$A$5:$A$44,0)),""))</f>
        <v/>
      </c>
    </row>
    <row r="2344" spans="1:7" x14ac:dyDescent="0.3">
      <c r="A2344" s="17"/>
      <c r="B2344" s="18"/>
      <c r="C2344" s="18"/>
      <c r="D2344" s="18"/>
      <c r="E2344" s="10" t="str">
        <f>IF(B2344="","",IFERROR(INDEX(Harytlar!$C$5:$C$44,MATCH(B2344,Harytlar!$A$5:$A$44,0)),""))</f>
        <v/>
      </c>
      <c r="F2344" s="10" t="str">
        <f t="shared" si="36"/>
        <v/>
      </c>
      <c r="G2344" s="10" t="str">
        <f>IF(OR(C2344="",B2344=""),"",IFERROR(C2344*INDEX(Harytlar!$D$5:$D$44,MATCH(B2344,Harytlar!$A$5:$A$44,0)),""))</f>
        <v/>
      </c>
    </row>
    <row r="2345" spans="1:7" x14ac:dyDescent="0.3">
      <c r="A2345" s="17"/>
      <c r="B2345" s="18"/>
      <c r="C2345" s="18"/>
      <c r="D2345" s="18"/>
      <c r="E2345" s="10" t="str">
        <f>IF(B2345="","",IFERROR(INDEX(Harytlar!$C$5:$C$44,MATCH(B2345,Harytlar!$A$5:$A$44,0)),""))</f>
        <v/>
      </c>
      <c r="F2345" s="10" t="str">
        <f t="shared" si="36"/>
        <v/>
      </c>
      <c r="G2345" s="10" t="str">
        <f>IF(OR(C2345="",B2345=""),"",IFERROR(C2345*INDEX(Harytlar!$D$5:$D$44,MATCH(B2345,Harytlar!$A$5:$A$44,0)),""))</f>
        <v/>
      </c>
    </row>
    <row r="2346" spans="1:7" x14ac:dyDescent="0.3">
      <c r="A2346" s="17"/>
      <c r="B2346" s="18"/>
      <c r="C2346" s="18"/>
      <c r="D2346" s="18"/>
      <c r="E2346" s="10" t="str">
        <f>IF(B2346="","",IFERROR(INDEX(Harytlar!$C$5:$C$44,MATCH(B2346,Harytlar!$A$5:$A$44,0)),""))</f>
        <v/>
      </c>
      <c r="F2346" s="10" t="str">
        <f t="shared" si="36"/>
        <v/>
      </c>
      <c r="G2346" s="10" t="str">
        <f>IF(OR(C2346="",B2346=""),"",IFERROR(C2346*INDEX(Harytlar!$D$5:$D$44,MATCH(B2346,Harytlar!$A$5:$A$44,0)),""))</f>
        <v/>
      </c>
    </row>
    <row r="2347" spans="1:7" x14ac:dyDescent="0.3">
      <c r="A2347" s="17"/>
      <c r="B2347" s="18"/>
      <c r="C2347" s="18"/>
      <c r="D2347" s="18"/>
      <c r="E2347" s="10" t="str">
        <f>IF(B2347="","",IFERROR(INDEX(Harytlar!$C$5:$C$44,MATCH(B2347,Harytlar!$A$5:$A$44,0)),""))</f>
        <v/>
      </c>
      <c r="F2347" s="10" t="str">
        <f t="shared" si="36"/>
        <v/>
      </c>
      <c r="G2347" s="10" t="str">
        <f>IF(OR(C2347="",B2347=""),"",IFERROR(C2347*INDEX(Harytlar!$D$5:$D$44,MATCH(B2347,Harytlar!$A$5:$A$44,0)),""))</f>
        <v/>
      </c>
    </row>
    <row r="2348" spans="1:7" x14ac:dyDescent="0.3">
      <c r="A2348" s="17"/>
      <c r="B2348" s="18"/>
      <c r="C2348" s="18"/>
      <c r="D2348" s="18"/>
      <c r="E2348" s="10" t="str">
        <f>IF(B2348="","",IFERROR(INDEX(Harytlar!$C$5:$C$44,MATCH(B2348,Harytlar!$A$5:$A$44,0)),""))</f>
        <v/>
      </c>
      <c r="F2348" s="10" t="str">
        <f t="shared" si="36"/>
        <v/>
      </c>
      <c r="G2348" s="10" t="str">
        <f>IF(OR(C2348="",B2348=""),"",IFERROR(C2348*INDEX(Harytlar!$D$5:$D$44,MATCH(B2348,Harytlar!$A$5:$A$44,0)),""))</f>
        <v/>
      </c>
    </row>
    <row r="2349" spans="1:7" x14ac:dyDescent="0.3">
      <c r="A2349" s="17"/>
      <c r="B2349" s="18"/>
      <c r="C2349" s="18"/>
      <c r="D2349" s="18"/>
      <c r="E2349" s="10" t="str">
        <f>IF(B2349="","",IFERROR(INDEX(Harytlar!$C$5:$C$44,MATCH(B2349,Harytlar!$A$5:$A$44,0)),""))</f>
        <v/>
      </c>
      <c r="F2349" s="10" t="str">
        <f t="shared" si="36"/>
        <v/>
      </c>
      <c r="G2349" s="10" t="str">
        <f>IF(OR(C2349="",B2349=""),"",IFERROR(C2349*INDEX(Harytlar!$D$5:$D$44,MATCH(B2349,Harytlar!$A$5:$A$44,0)),""))</f>
        <v/>
      </c>
    </row>
    <row r="2350" spans="1:7" x14ac:dyDescent="0.3">
      <c r="A2350" s="17"/>
      <c r="B2350" s="18"/>
      <c r="C2350" s="18"/>
      <c r="D2350" s="18"/>
      <c r="E2350" s="10" t="str">
        <f>IF(B2350="","",IFERROR(INDEX(Harytlar!$C$5:$C$44,MATCH(B2350,Harytlar!$A$5:$A$44,0)),""))</f>
        <v/>
      </c>
      <c r="F2350" s="10" t="str">
        <f t="shared" si="36"/>
        <v/>
      </c>
      <c r="G2350" s="10" t="str">
        <f>IF(OR(C2350="",B2350=""),"",IFERROR(C2350*INDEX(Harytlar!$D$5:$D$44,MATCH(B2350,Harytlar!$A$5:$A$44,0)),""))</f>
        <v/>
      </c>
    </row>
    <row r="2351" spans="1:7" x14ac:dyDescent="0.3">
      <c r="A2351" s="17"/>
      <c r="B2351" s="18"/>
      <c r="C2351" s="18"/>
      <c r="D2351" s="18"/>
      <c r="E2351" s="10" t="str">
        <f>IF(B2351="","",IFERROR(INDEX(Harytlar!$C$5:$C$44,MATCH(B2351,Harytlar!$A$5:$A$44,0)),""))</f>
        <v/>
      </c>
      <c r="F2351" s="10" t="str">
        <f t="shared" si="36"/>
        <v/>
      </c>
      <c r="G2351" s="10" t="str">
        <f>IF(OR(C2351="",B2351=""),"",IFERROR(C2351*INDEX(Harytlar!$D$5:$D$44,MATCH(B2351,Harytlar!$A$5:$A$44,0)),""))</f>
        <v/>
      </c>
    </row>
    <row r="2352" spans="1:7" x14ac:dyDescent="0.3">
      <c r="A2352" s="17"/>
      <c r="B2352" s="18"/>
      <c r="C2352" s="18"/>
      <c r="D2352" s="18"/>
      <c r="E2352" s="10" t="str">
        <f>IF(B2352="","",IFERROR(INDEX(Harytlar!$C$5:$C$44,MATCH(B2352,Harytlar!$A$5:$A$44,0)),""))</f>
        <v/>
      </c>
      <c r="F2352" s="10" t="str">
        <f t="shared" si="36"/>
        <v/>
      </c>
      <c r="G2352" s="10" t="str">
        <f>IF(OR(C2352="",B2352=""),"",IFERROR(C2352*INDEX(Harytlar!$D$5:$D$44,MATCH(B2352,Harytlar!$A$5:$A$44,0)),""))</f>
        <v/>
      </c>
    </row>
    <row r="2353" spans="1:7" x14ac:dyDescent="0.3">
      <c r="A2353" s="17"/>
      <c r="B2353" s="18"/>
      <c r="C2353" s="18"/>
      <c r="D2353" s="18"/>
      <c r="E2353" s="10" t="str">
        <f>IF(B2353="","",IFERROR(INDEX(Harytlar!$C$5:$C$44,MATCH(B2353,Harytlar!$A$5:$A$44,0)),""))</f>
        <v/>
      </c>
      <c r="F2353" s="10" t="str">
        <f t="shared" si="36"/>
        <v/>
      </c>
      <c r="G2353" s="10" t="str">
        <f>IF(OR(C2353="",B2353=""),"",IFERROR(C2353*INDEX(Harytlar!$D$5:$D$44,MATCH(B2353,Harytlar!$A$5:$A$44,0)),""))</f>
        <v/>
      </c>
    </row>
    <row r="2354" spans="1:7" x14ac:dyDescent="0.3">
      <c r="A2354" s="17"/>
      <c r="B2354" s="18"/>
      <c r="C2354" s="18"/>
      <c r="D2354" s="18"/>
      <c r="E2354" s="10" t="str">
        <f>IF(B2354="","",IFERROR(INDEX(Harytlar!$C$5:$C$44,MATCH(B2354,Harytlar!$A$5:$A$44,0)),""))</f>
        <v/>
      </c>
      <c r="F2354" s="10" t="str">
        <f t="shared" si="36"/>
        <v/>
      </c>
      <c r="G2354" s="10" t="str">
        <f>IF(OR(C2354="",B2354=""),"",IFERROR(C2354*INDEX(Harytlar!$D$5:$D$44,MATCH(B2354,Harytlar!$A$5:$A$44,0)),""))</f>
        <v/>
      </c>
    </row>
    <row r="2355" spans="1:7" x14ac:dyDescent="0.3">
      <c r="A2355" s="17"/>
      <c r="B2355" s="18"/>
      <c r="C2355" s="18"/>
      <c r="D2355" s="18"/>
      <c r="E2355" s="10" t="str">
        <f>IF(B2355="","",IFERROR(INDEX(Harytlar!$C$5:$C$44,MATCH(B2355,Harytlar!$A$5:$A$44,0)),""))</f>
        <v/>
      </c>
      <c r="F2355" s="10" t="str">
        <f t="shared" si="36"/>
        <v/>
      </c>
      <c r="G2355" s="10" t="str">
        <f>IF(OR(C2355="",B2355=""),"",IFERROR(C2355*INDEX(Harytlar!$D$5:$D$44,MATCH(B2355,Harytlar!$A$5:$A$44,0)),""))</f>
        <v/>
      </c>
    </row>
    <row r="2356" spans="1:7" x14ac:dyDescent="0.3">
      <c r="A2356" s="17"/>
      <c r="B2356" s="18"/>
      <c r="C2356" s="18"/>
      <c r="D2356" s="18"/>
      <c r="E2356" s="10" t="str">
        <f>IF(B2356="","",IFERROR(INDEX(Harytlar!$C$5:$C$44,MATCH(B2356,Harytlar!$A$5:$A$44,0)),""))</f>
        <v/>
      </c>
      <c r="F2356" s="10" t="str">
        <f t="shared" si="36"/>
        <v/>
      </c>
      <c r="G2356" s="10" t="str">
        <f>IF(OR(C2356="",B2356=""),"",IFERROR(C2356*INDEX(Harytlar!$D$5:$D$44,MATCH(B2356,Harytlar!$A$5:$A$44,0)),""))</f>
        <v/>
      </c>
    </row>
    <row r="2357" spans="1:7" x14ac:dyDescent="0.3">
      <c r="A2357" s="17"/>
      <c r="B2357" s="18"/>
      <c r="C2357" s="18"/>
      <c r="D2357" s="18"/>
      <c r="E2357" s="10" t="str">
        <f>IF(B2357="","",IFERROR(INDEX(Harytlar!$C$5:$C$44,MATCH(B2357,Harytlar!$A$5:$A$44,0)),""))</f>
        <v/>
      </c>
      <c r="F2357" s="10" t="str">
        <f t="shared" si="36"/>
        <v/>
      </c>
      <c r="G2357" s="10" t="str">
        <f>IF(OR(C2357="",B2357=""),"",IFERROR(C2357*INDEX(Harytlar!$D$5:$D$44,MATCH(B2357,Harytlar!$A$5:$A$44,0)),""))</f>
        <v/>
      </c>
    </row>
    <row r="2358" spans="1:7" x14ac:dyDescent="0.3">
      <c r="A2358" s="17"/>
      <c r="B2358" s="18"/>
      <c r="C2358" s="18"/>
      <c r="D2358" s="18"/>
      <c r="E2358" s="10" t="str">
        <f>IF(B2358="","",IFERROR(INDEX(Harytlar!$C$5:$C$44,MATCH(B2358,Harytlar!$A$5:$A$44,0)),""))</f>
        <v/>
      </c>
      <c r="F2358" s="10" t="str">
        <f t="shared" si="36"/>
        <v/>
      </c>
      <c r="G2358" s="10" t="str">
        <f>IF(OR(C2358="",B2358=""),"",IFERROR(C2358*INDEX(Harytlar!$D$5:$D$44,MATCH(B2358,Harytlar!$A$5:$A$44,0)),""))</f>
        <v/>
      </c>
    </row>
    <row r="2359" spans="1:7" x14ac:dyDescent="0.3">
      <c r="A2359" s="17"/>
      <c r="B2359" s="18"/>
      <c r="C2359" s="18"/>
      <c r="D2359" s="18"/>
      <c r="E2359" s="10" t="str">
        <f>IF(B2359="","",IFERROR(INDEX(Harytlar!$C$5:$C$44,MATCH(B2359,Harytlar!$A$5:$A$44,0)),""))</f>
        <v/>
      </c>
      <c r="F2359" s="10" t="str">
        <f t="shared" si="36"/>
        <v/>
      </c>
      <c r="G2359" s="10" t="str">
        <f>IF(OR(C2359="",B2359=""),"",IFERROR(C2359*INDEX(Harytlar!$D$5:$D$44,MATCH(B2359,Harytlar!$A$5:$A$44,0)),""))</f>
        <v/>
      </c>
    </row>
    <row r="2360" spans="1:7" x14ac:dyDescent="0.3">
      <c r="A2360" s="17"/>
      <c r="B2360" s="18"/>
      <c r="C2360" s="18"/>
      <c r="D2360" s="18"/>
      <c r="E2360" s="10" t="str">
        <f>IF(B2360="","",IFERROR(INDEX(Harytlar!$C$5:$C$44,MATCH(B2360,Harytlar!$A$5:$A$44,0)),""))</f>
        <v/>
      </c>
      <c r="F2360" s="10" t="str">
        <f t="shared" si="36"/>
        <v/>
      </c>
      <c r="G2360" s="10" t="str">
        <f>IF(OR(C2360="",B2360=""),"",IFERROR(C2360*INDEX(Harytlar!$D$5:$D$44,MATCH(B2360,Harytlar!$A$5:$A$44,0)),""))</f>
        <v/>
      </c>
    </row>
    <row r="2361" spans="1:7" x14ac:dyDescent="0.3">
      <c r="A2361" s="17"/>
      <c r="B2361" s="18"/>
      <c r="C2361" s="18"/>
      <c r="D2361" s="18"/>
      <c r="E2361" s="10" t="str">
        <f>IF(B2361="","",IFERROR(INDEX(Harytlar!$C$5:$C$44,MATCH(B2361,Harytlar!$A$5:$A$44,0)),""))</f>
        <v/>
      </c>
      <c r="F2361" s="10" t="str">
        <f t="shared" si="36"/>
        <v/>
      </c>
      <c r="G2361" s="10" t="str">
        <f>IF(OR(C2361="",B2361=""),"",IFERROR(C2361*INDEX(Harytlar!$D$5:$D$44,MATCH(B2361,Harytlar!$A$5:$A$44,0)),""))</f>
        <v/>
      </c>
    </row>
    <row r="2362" spans="1:7" x14ac:dyDescent="0.3">
      <c r="A2362" s="17"/>
      <c r="B2362" s="18"/>
      <c r="C2362" s="18"/>
      <c r="D2362" s="18"/>
      <c r="E2362" s="10" t="str">
        <f>IF(B2362="","",IFERROR(INDEX(Harytlar!$C$5:$C$44,MATCH(B2362,Harytlar!$A$5:$A$44,0)),""))</f>
        <v/>
      </c>
      <c r="F2362" s="10" t="str">
        <f t="shared" si="36"/>
        <v/>
      </c>
      <c r="G2362" s="10" t="str">
        <f>IF(OR(C2362="",B2362=""),"",IFERROR(C2362*INDEX(Harytlar!$D$5:$D$44,MATCH(B2362,Harytlar!$A$5:$A$44,0)),""))</f>
        <v/>
      </c>
    </row>
    <row r="2363" spans="1:7" x14ac:dyDescent="0.3">
      <c r="A2363" s="17"/>
      <c r="B2363" s="18"/>
      <c r="C2363" s="18"/>
      <c r="D2363" s="18"/>
      <c r="E2363" s="10" t="str">
        <f>IF(B2363="","",IFERROR(INDEX(Harytlar!$C$5:$C$44,MATCH(B2363,Harytlar!$A$5:$A$44,0)),""))</f>
        <v/>
      </c>
      <c r="F2363" s="10" t="str">
        <f t="shared" si="36"/>
        <v/>
      </c>
      <c r="G2363" s="10" t="str">
        <f>IF(OR(C2363="",B2363=""),"",IFERROR(C2363*INDEX(Harytlar!$D$5:$D$44,MATCH(B2363,Harytlar!$A$5:$A$44,0)),""))</f>
        <v/>
      </c>
    </row>
    <row r="2364" spans="1:7" x14ac:dyDescent="0.3">
      <c r="A2364" s="17"/>
      <c r="B2364" s="18"/>
      <c r="C2364" s="18"/>
      <c r="D2364" s="18"/>
      <c r="E2364" s="10" t="str">
        <f>IF(B2364="","",IFERROR(INDEX(Harytlar!$C$5:$C$44,MATCH(B2364,Harytlar!$A$5:$A$44,0)),""))</f>
        <v/>
      </c>
      <c r="F2364" s="10" t="str">
        <f t="shared" si="36"/>
        <v/>
      </c>
      <c r="G2364" s="10" t="str">
        <f>IF(OR(C2364="",B2364=""),"",IFERROR(C2364*INDEX(Harytlar!$D$5:$D$44,MATCH(B2364,Harytlar!$A$5:$A$44,0)),""))</f>
        <v/>
      </c>
    </row>
    <row r="2365" spans="1:7" x14ac:dyDescent="0.3">
      <c r="A2365" s="17"/>
      <c r="B2365" s="18"/>
      <c r="C2365" s="18"/>
      <c r="D2365" s="18"/>
      <c r="E2365" s="10" t="str">
        <f>IF(B2365="","",IFERROR(INDEX(Harytlar!$C$5:$C$44,MATCH(B2365,Harytlar!$A$5:$A$44,0)),""))</f>
        <v/>
      </c>
      <c r="F2365" s="10" t="str">
        <f t="shared" si="36"/>
        <v/>
      </c>
      <c r="G2365" s="10" t="str">
        <f>IF(OR(C2365="",B2365=""),"",IFERROR(C2365*INDEX(Harytlar!$D$5:$D$44,MATCH(B2365,Harytlar!$A$5:$A$44,0)),""))</f>
        <v/>
      </c>
    </row>
    <row r="2366" spans="1:7" x14ac:dyDescent="0.3">
      <c r="A2366" s="17"/>
      <c r="B2366" s="18"/>
      <c r="C2366" s="18"/>
      <c r="D2366" s="18"/>
      <c r="E2366" s="10" t="str">
        <f>IF(B2366="","",IFERROR(INDEX(Harytlar!$C$5:$C$44,MATCH(B2366,Harytlar!$A$5:$A$44,0)),""))</f>
        <v/>
      </c>
      <c r="F2366" s="10" t="str">
        <f t="shared" si="36"/>
        <v/>
      </c>
      <c r="G2366" s="10" t="str">
        <f>IF(OR(C2366="",B2366=""),"",IFERROR(C2366*INDEX(Harytlar!$D$5:$D$44,MATCH(B2366,Harytlar!$A$5:$A$44,0)),""))</f>
        <v/>
      </c>
    </row>
    <row r="2367" spans="1:7" x14ac:dyDescent="0.3">
      <c r="A2367" s="17"/>
      <c r="B2367" s="18"/>
      <c r="C2367" s="18"/>
      <c r="D2367" s="18"/>
      <c r="E2367" s="10" t="str">
        <f>IF(B2367="","",IFERROR(INDEX(Harytlar!$C$5:$C$44,MATCH(B2367,Harytlar!$A$5:$A$44,0)),""))</f>
        <v/>
      </c>
      <c r="F2367" s="10" t="str">
        <f t="shared" si="36"/>
        <v/>
      </c>
      <c r="G2367" s="10" t="str">
        <f>IF(OR(C2367="",B2367=""),"",IFERROR(C2367*INDEX(Harytlar!$D$5:$D$44,MATCH(B2367,Harytlar!$A$5:$A$44,0)),""))</f>
        <v/>
      </c>
    </row>
    <row r="2368" spans="1:7" x14ac:dyDescent="0.3">
      <c r="A2368" s="17"/>
      <c r="B2368" s="18"/>
      <c r="C2368" s="18"/>
      <c r="D2368" s="18"/>
      <c r="E2368" s="10" t="str">
        <f>IF(B2368="","",IFERROR(INDEX(Harytlar!$C$5:$C$44,MATCH(B2368,Harytlar!$A$5:$A$44,0)),""))</f>
        <v/>
      </c>
      <c r="F2368" s="10" t="str">
        <f t="shared" si="36"/>
        <v/>
      </c>
      <c r="G2368" s="10" t="str">
        <f>IF(OR(C2368="",B2368=""),"",IFERROR(C2368*INDEX(Harytlar!$D$5:$D$44,MATCH(B2368,Harytlar!$A$5:$A$44,0)),""))</f>
        <v/>
      </c>
    </row>
    <row r="2369" spans="1:7" x14ac:dyDescent="0.3">
      <c r="A2369" s="17"/>
      <c r="B2369" s="18"/>
      <c r="C2369" s="18"/>
      <c r="D2369" s="18"/>
      <c r="E2369" s="10" t="str">
        <f>IF(B2369="","",IFERROR(INDEX(Harytlar!$C$5:$C$44,MATCH(B2369,Harytlar!$A$5:$A$44,0)),""))</f>
        <v/>
      </c>
      <c r="F2369" s="10" t="str">
        <f t="shared" si="36"/>
        <v/>
      </c>
      <c r="G2369" s="10" t="str">
        <f>IF(OR(C2369="",B2369=""),"",IFERROR(C2369*INDEX(Harytlar!$D$5:$D$44,MATCH(B2369,Harytlar!$A$5:$A$44,0)),""))</f>
        <v/>
      </c>
    </row>
    <row r="2370" spans="1:7" x14ac:dyDescent="0.3">
      <c r="A2370" s="17"/>
      <c r="B2370" s="18"/>
      <c r="C2370" s="18"/>
      <c r="D2370" s="18"/>
      <c r="E2370" s="10" t="str">
        <f>IF(B2370="","",IFERROR(INDEX(Harytlar!$C$5:$C$44,MATCH(B2370,Harytlar!$A$5:$A$44,0)),""))</f>
        <v/>
      </c>
      <c r="F2370" s="10" t="str">
        <f t="shared" si="36"/>
        <v/>
      </c>
      <c r="G2370" s="10" t="str">
        <f>IF(OR(C2370="",B2370=""),"",IFERROR(C2370*INDEX(Harytlar!$D$5:$D$44,MATCH(B2370,Harytlar!$A$5:$A$44,0)),""))</f>
        <v/>
      </c>
    </row>
    <row r="2371" spans="1:7" x14ac:dyDescent="0.3">
      <c r="A2371" s="17"/>
      <c r="B2371" s="18"/>
      <c r="C2371" s="18"/>
      <c r="D2371" s="18"/>
      <c r="E2371" s="10" t="str">
        <f>IF(B2371="","",IFERROR(INDEX(Harytlar!$C$5:$C$44,MATCH(B2371,Harytlar!$A$5:$A$44,0)),""))</f>
        <v/>
      </c>
      <c r="F2371" s="10" t="str">
        <f t="shared" si="36"/>
        <v/>
      </c>
      <c r="G2371" s="10" t="str">
        <f>IF(OR(C2371="",B2371=""),"",IFERROR(C2371*INDEX(Harytlar!$D$5:$D$44,MATCH(B2371,Harytlar!$A$5:$A$44,0)),""))</f>
        <v/>
      </c>
    </row>
    <row r="2372" spans="1:7" x14ac:dyDescent="0.3">
      <c r="A2372" s="17"/>
      <c r="B2372" s="18"/>
      <c r="C2372" s="18"/>
      <c r="D2372" s="18"/>
      <c r="E2372" s="10" t="str">
        <f>IF(B2372="","",IFERROR(INDEX(Harytlar!$C$5:$C$44,MATCH(B2372,Harytlar!$A$5:$A$44,0)),""))</f>
        <v/>
      </c>
      <c r="F2372" s="10" t="str">
        <f t="shared" si="36"/>
        <v/>
      </c>
      <c r="G2372" s="10" t="str">
        <f>IF(OR(C2372="",B2372=""),"",IFERROR(C2372*INDEX(Harytlar!$D$5:$D$44,MATCH(B2372,Harytlar!$A$5:$A$44,0)),""))</f>
        <v/>
      </c>
    </row>
    <row r="2373" spans="1:7" x14ac:dyDescent="0.3">
      <c r="A2373" s="17"/>
      <c r="B2373" s="18"/>
      <c r="C2373" s="18"/>
      <c r="D2373" s="18"/>
      <c r="E2373" s="10" t="str">
        <f>IF(B2373="","",IFERROR(INDEX(Harytlar!$C$5:$C$44,MATCH(B2373,Harytlar!$A$5:$A$44,0)),""))</f>
        <v/>
      </c>
      <c r="F2373" s="10" t="str">
        <f t="shared" si="36"/>
        <v/>
      </c>
      <c r="G2373" s="10" t="str">
        <f>IF(OR(C2373="",B2373=""),"",IFERROR(C2373*INDEX(Harytlar!$D$5:$D$44,MATCH(B2373,Harytlar!$A$5:$A$44,0)),""))</f>
        <v/>
      </c>
    </row>
    <row r="2374" spans="1:7" x14ac:dyDescent="0.3">
      <c r="A2374" s="17"/>
      <c r="B2374" s="18"/>
      <c r="C2374" s="18"/>
      <c r="D2374" s="18"/>
      <c r="E2374" s="10" t="str">
        <f>IF(B2374="","",IFERROR(INDEX(Harytlar!$C$5:$C$44,MATCH(B2374,Harytlar!$A$5:$A$44,0)),""))</f>
        <v/>
      </c>
      <c r="F2374" s="10" t="str">
        <f t="shared" ref="F2374:F2437" si="37">IF(OR(C2374="",E2374=""),"",C2374*E2374)</f>
        <v/>
      </c>
      <c r="G2374" s="10" t="str">
        <f>IF(OR(C2374="",B2374=""),"",IFERROR(C2374*INDEX(Harytlar!$D$5:$D$44,MATCH(B2374,Harytlar!$A$5:$A$44,0)),""))</f>
        <v/>
      </c>
    </row>
    <row r="2375" spans="1:7" x14ac:dyDescent="0.3">
      <c r="A2375" s="17"/>
      <c r="B2375" s="18"/>
      <c r="C2375" s="18"/>
      <c r="D2375" s="18"/>
      <c r="E2375" s="10" t="str">
        <f>IF(B2375="","",IFERROR(INDEX(Harytlar!$C$5:$C$44,MATCH(B2375,Harytlar!$A$5:$A$44,0)),""))</f>
        <v/>
      </c>
      <c r="F2375" s="10" t="str">
        <f t="shared" si="37"/>
        <v/>
      </c>
      <c r="G2375" s="10" t="str">
        <f>IF(OR(C2375="",B2375=""),"",IFERROR(C2375*INDEX(Harytlar!$D$5:$D$44,MATCH(B2375,Harytlar!$A$5:$A$44,0)),""))</f>
        <v/>
      </c>
    </row>
    <row r="2376" spans="1:7" x14ac:dyDescent="0.3">
      <c r="A2376" s="17"/>
      <c r="B2376" s="18"/>
      <c r="C2376" s="18"/>
      <c r="D2376" s="18"/>
      <c r="E2376" s="10" t="str">
        <f>IF(B2376="","",IFERROR(INDEX(Harytlar!$C$5:$C$44,MATCH(B2376,Harytlar!$A$5:$A$44,0)),""))</f>
        <v/>
      </c>
      <c r="F2376" s="10" t="str">
        <f t="shared" si="37"/>
        <v/>
      </c>
      <c r="G2376" s="10" t="str">
        <f>IF(OR(C2376="",B2376=""),"",IFERROR(C2376*INDEX(Harytlar!$D$5:$D$44,MATCH(B2376,Harytlar!$A$5:$A$44,0)),""))</f>
        <v/>
      </c>
    </row>
    <row r="2377" spans="1:7" x14ac:dyDescent="0.3">
      <c r="A2377" s="17"/>
      <c r="B2377" s="18"/>
      <c r="C2377" s="18"/>
      <c r="D2377" s="18"/>
      <c r="E2377" s="10" t="str">
        <f>IF(B2377="","",IFERROR(INDEX(Harytlar!$C$5:$C$44,MATCH(B2377,Harytlar!$A$5:$A$44,0)),""))</f>
        <v/>
      </c>
      <c r="F2377" s="10" t="str">
        <f t="shared" si="37"/>
        <v/>
      </c>
      <c r="G2377" s="10" t="str">
        <f>IF(OR(C2377="",B2377=""),"",IFERROR(C2377*INDEX(Harytlar!$D$5:$D$44,MATCH(B2377,Harytlar!$A$5:$A$44,0)),""))</f>
        <v/>
      </c>
    </row>
    <row r="2378" spans="1:7" x14ac:dyDescent="0.3">
      <c r="A2378" s="17"/>
      <c r="B2378" s="18"/>
      <c r="C2378" s="18"/>
      <c r="D2378" s="18"/>
      <c r="E2378" s="10" t="str">
        <f>IF(B2378="","",IFERROR(INDEX(Harytlar!$C$5:$C$44,MATCH(B2378,Harytlar!$A$5:$A$44,0)),""))</f>
        <v/>
      </c>
      <c r="F2378" s="10" t="str">
        <f t="shared" si="37"/>
        <v/>
      </c>
      <c r="G2378" s="10" t="str">
        <f>IF(OR(C2378="",B2378=""),"",IFERROR(C2378*INDEX(Harytlar!$D$5:$D$44,MATCH(B2378,Harytlar!$A$5:$A$44,0)),""))</f>
        <v/>
      </c>
    </row>
    <row r="2379" spans="1:7" x14ac:dyDescent="0.3">
      <c r="A2379" s="17"/>
      <c r="B2379" s="18"/>
      <c r="C2379" s="18"/>
      <c r="D2379" s="18"/>
      <c r="E2379" s="10" t="str">
        <f>IF(B2379="","",IFERROR(INDEX(Harytlar!$C$5:$C$44,MATCH(B2379,Harytlar!$A$5:$A$44,0)),""))</f>
        <v/>
      </c>
      <c r="F2379" s="10" t="str">
        <f t="shared" si="37"/>
        <v/>
      </c>
      <c r="G2379" s="10" t="str">
        <f>IF(OR(C2379="",B2379=""),"",IFERROR(C2379*INDEX(Harytlar!$D$5:$D$44,MATCH(B2379,Harytlar!$A$5:$A$44,0)),""))</f>
        <v/>
      </c>
    </row>
    <row r="2380" spans="1:7" x14ac:dyDescent="0.3">
      <c r="A2380" s="17"/>
      <c r="B2380" s="18"/>
      <c r="C2380" s="18"/>
      <c r="D2380" s="18"/>
      <c r="E2380" s="10" t="str">
        <f>IF(B2380="","",IFERROR(INDEX(Harytlar!$C$5:$C$44,MATCH(B2380,Harytlar!$A$5:$A$44,0)),""))</f>
        <v/>
      </c>
      <c r="F2380" s="10" t="str">
        <f t="shared" si="37"/>
        <v/>
      </c>
      <c r="G2380" s="10" t="str">
        <f>IF(OR(C2380="",B2380=""),"",IFERROR(C2380*INDEX(Harytlar!$D$5:$D$44,MATCH(B2380,Harytlar!$A$5:$A$44,0)),""))</f>
        <v/>
      </c>
    </row>
    <row r="2381" spans="1:7" x14ac:dyDescent="0.3">
      <c r="A2381" s="17"/>
      <c r="B2381" s="18"/>
      <c r="C2381" s="18"/>
      <c r="D2381" s="18"/>
      <c r="E2381" s="10" t="str">
        <f>IF(B2381="","",IFERROR(INDEX(Harytlar!$C$5:$C$44,MATCH(B2381,Harytlar!$A$5:$A$44,0)),""))</f>
        <v/>
      </c>
      <c r="F2381" s="10" t="str">
        <f t="shared" si="37"/>
        <v/>
      </c>
      <c r="G2381" s="10" t="str">
        <f>IF(OR(C2381="",B2381=""),"",IFERROR(C2381*INDEX(Harytlar!$D$5:$D$44,MATCH(B2381,Harytlar!$A$5:$A$44,0)),""))</f>
        <v/>
      </c>
    </row>
    <row r="2382" spans="1:7" x14ac:dyDescent="0.3">
      <c r="A2382" s="17"/>
      <c r="B2382" s="18"/>
      <c r="C2382" s="18"/>
      <c r="D2382" s="18"/>
      <c r="E2382" s="10" t="str">
        <f>IF(B2382="","",IFERROR(INDEX(Harytlar!$C$5:$C$44,MATCH(B2382,Harytlar!$A$5:$A$44,0)),""))</f>
        <v/>
      </c>
      <c r="F2382" s="10" t="str">
        <f t="shared" si="37"/>
        <v/>
      </c>
      <c r="G2382" s="10" t="str">
        <f>IF(OR(C2382="",B2382=""),"",IFERROR(C2382*INDEX(Harytlar!$D$5:$D$44,MATCH(B2382,Harytlar!$A$5:$A$44,0)),""))</f>
        <v/>
      </c>
    </row>
    <row r="2383" spans="1:7" x14ac:dyDescent="0.3">
      <c r="A2383" s="17"/>
      <c r="B2383" s="18"/>
      <c r="C2383" s="18"/>
      <c r="D2383" s="18"/>
      <c r="E2383" s="10" t="str">
        <f>IF(B2383="","",IFERROR(INDEX(Harytlar!$C$5:$C$44,MATCH(B2383,Harytlar!$A$5:$A$44,0)),""))</f>
        <v/>
      </c>
      <c r="F2383" s="10" t="str">
        <f t="shared" si="37"/>
        <v/>
      </c>
      <c r="G2383" s="10" t="str">
        <f>IF(OR(C2383="",B2383=""),"",IFERROR(C2383*INDEX(Harytlar!$D$5:$D$44,MATCH(B2383,Harytlar!$A$5:$A$44,0)),""))</f>
        <v/>
      </c>
    </row>
    <row r="2384" spans="1:7" x14ac:dyDescent="0.3">
      <c r="A2384" s="17"/>
      <c r="B2384" s="18"/>
      <c r="C2384" s="18"/>
      <c r="D2384" s="18"/>
      <c r="E2384" s="10" t="str">
        <f>IF(B2384="","",IFERROR(INDEX(Harytlar!$C$5:$C$44,MATCH(B2384,Harytlar!$A$5:$A$44,0)),""))</f>
        <v/>
      </c>
      <c r="F2384" s="10" t="str">
        <f t="shared" si="37"/>
        <v/>
      </c>
      <c r="G2384" s="10" t="str">
        <f>IF(OR(C2384="",B2384=""),"",IFERROR(C2384*INDEX(Harytlar!$D$5:$D$44,MATCH(B2384,Harytlar!$A$5:$A$44,0)),""))</f>
        <v/>
      </c>
    </row>
    <row r="2385" spans="1:7" x14ac:dyDescent="0.3">
      <c r="A2385" s="17"/>
      <c r="B2385" s="18"/>
      <c r="C2385" s="18"/>
      <c r="D2385" s="18"/>
      <c r="E2385" s="10" t="str">
        <f>IF(B2385="","",IFERROR(INDEX(Harytlar!$C$5:$C$44,MATCH(B2385,Harytlar!$A$5:$A$44,0)),""))</f>
        <v/>
      </c>
      <c r="F2385" s="10" t="str">
        <f t="shared" si="37"/>
        <v/>
      </c>
      <c r="G2385" s="10" t="str">
        <f>IF(OR(C2385="",B2385=""),"",IFERROR(C2385*INDEX(Harytlar!$D$5:$D$44,MATCH(B2385,Harytlar!$A$5:$A$44,0)),""))</f>
        <v/>
      </c>
    </row>
    <row r="2386" spans="1:7" x14ac:dyDescent="0.3">
      <c r="A2386" s="17"/>
      <c r="B2386" s="18"/>
      <c r="C2386" s="18"/>
      <c r="D2386" s="18"/>
      <c r="E2386" s="10" t="str">
        <f>IF(B2386="","",IFERROR(INDEX(Harytlar!$C$5:$C$44,MATCH(B2386,Harytlar!$A$5:$A$44,0)),""))</f>
        <v/>
      </c>
      <c r="F2386" s="10" t="str">
        <f t="shared" si="37"/>
        <v/>
      </c>
      <c r="G2386" s="10" t="str">
        <f>IF(OR(C2386="",B2386=""),"",IFERROR(C2386*INDEX(Harytlar!$D$5:$D$44,MATCH(B2386,Harytlar!$A$5:$A$44,0)),""))</f>
        <v/>
      </c>
    </row>
    <row r="2387" spans="1:7" x14ac:dyDescent="0.3">
      <c r="A2387" s="17"/>
      <c r="B2387" s="18"/>
      <c r="C2387" s="18"/>
      <c r="D2387" s="18"/>
      <c r="E2387" s="10" t="str">
        <f>IF(B2387="","",IFERROR(INDEX(Harytlar!$C$5:$C$44,MATCH(B2387,Harytlar!$A$5:$A$44,0)),""))</f>
        <v/>
      </c>
      <c r="F2387" s="10" t="str">
        <f t="shared" si="37"/>
        <v/>
      </c>
      <c r="G2387" s="10" t="str">
        <f>IF(OR(C2387="",B2387=""),"",IFERROR(C2387*INDEX(Harytlar!$D$5:$D$44,MATCH(B2387,Harytlar!$A$5:$A$44,0)),""))</f>
        <v/>
      </c>
    </row>
    <row r="2388" spans="1:7" x14ac:dyDescent="0.3">
      <c r="A2388" s="17"/>
      <c r="B2388" s="18"/>
      <c r="C2388" s="18"/>
      <c r="D2388" s="18"/>
      <c r="E2388" s="10" t="str">
        <f>IF(B2388="","",IFERROR(INDEX(Harytlar!$C$5:$C$44,MATCH(B2388,Harytlar!$A$5:$A$44,0)),""))</f>
        <v/>
      </c>
      <c r="F2388" s="10" t="str">
        <f t="shared" si="37"/>
        <v/>
      </c>
      <c r="G2388" s="10" t="str">
        <f>IF(OR(C2388="",B2388=""),"",IFERROR(C2388*INDEX(Harytlar!$D$5:$D$44,MATCH(B2388,Harytlar!$A$5:$A$44,0)),""))</f>
        <v/>
      </c>
    </row>
    <row r="2389" spans="1:7" x14ac:dyDescent="0.3">
      <c r="A2389" s="17"/>
      <c r="B2389" s="18"/>
      <c r="C2389" s="18"/>
      <c r="D2389" s="18"/>
      <c r="E2389" s="10" t="str">
        <f>IF(B2389="","",IFERROR(INDEX(Harytlar!$C$5:$C$44,MATCH(B2389,Harytlar!$A$5:$A$44,0)),""))</f>
        <v/>
      </c>
      <c r="F2389" s="10" t="str">
        <f t="shared" si="37"/>
        <v/>
      </c>
      <c r="G2389" s="10" t="str">
        <f>IF(OR(C2389="",B2389=""),"",IFERROR(C2389*INDEX(Harytlar!$D$5:$D$44,MATCH(B2389,Harytlar!$A$5:$A$44,0)),""))</f>
        <v/>
      </c>
    </row>
    <row r="2390" spans="1:7" x14ac:dyDescent="0.3">
      <c r="A2390" s="17"/>
      <c r="B2390" s="18"/>
      <c r="C2390" s="18"/>
      <c r="D2390" s="18"/>
      <c r="E2390" s="10" t="str">
        <f>IF(B2390="","",IFERROR(INDEX(Harytlar!$C$5:$C$44,MATCH(B2390,Harytlar!$A$5:$A$44,0)),""))</f>
        <v/>
      </c>
      <c r="F2390" s="10" t="str">
        <f t="shared" si="37"/>
        <v/>
      </c>
      <c r="G2390" s="10" t="str">
        <f>IF(OR(C2390="",B2390=""),"",IFERROR(C2390*INDEX(Harytlar!$D$5:$D$44,MATCH(B2390,Harytlar!$A$5:$A$44,0)),""))</f>
        <v/>
      </c>
    </row>
    <row r="2391" spans="1:7" x14ac:dyDescent="0.3">
      <c r="A2391" s="17"/>
      <c r="B2391" s="18"/>
      <c r="C2391" s="18"/>
      <c r="D2391" s="18"/>
      <c r="E2391" s="10" t="str">
        <f>IF(B2391="","",IFERROR(INDEX(Harytlar!$C$5:$C$44,MATCH(B2391,Harytlar!$A$5:$A$44,0)),""))</f>
        <v/>
      </c>
      <c r="F2391" s="10" t="str">
        <f t="shared" si="37"/>
        <v/>
      </c>
      <c r="G2391" s="10" t="str">
        <f>IF(OR(C2391="",B2391=""),"",IFERROR(C2391*INDEX(Harytlar!$D$5:$D$44,MATCH(B2391,Harytlar!$A$5:$A$44,0)),""))</f>
        <v/>
      </c>
    </row>
    <row r="2392" spans="1:7" x14ac:dyDescent="0.3">
      <c r="A2392" s="17"/>
      <c r="B2392" s="18"/>
      <c r="C2392" s="18"/>
      <c r="D2392" s="18"/>
      <c r="E2392" s="10" t="str">
        <f>IF(B2392="","",IFERROR(INDEX(Harytlar!$C$5:$C$44,MATCH(B2392,Harytlar!$A$5:$A$44,0)),""))</f>
        <v/>
      </c>
      <c r="F2392" s="10" t="str">
        <f t="shared" si="37"/>
        <v/>
      </c>
      <c r="G2392" s="10" t="str">
        <f>IF(OR(C2392="",B2392=""),"",IFERROR(C2392*INDEX(Harytlar!$D$5:$D$44,MATCH(B2392,Harytlar!$A$5:$A$44,0)),""))</f>
        <v/>
      </c>
    </row>
    <row r="2393" spans="1:7" x14ac:dyDescent="0.3">
      <c r="A2393" s="17"/>
      <c r="B2393" s="18"/>
      <c r="C2393" s="18"/>
      <c r="D2393" s="18"/>
      <c r="E2393" s="10" t="str">
        <f>IF(B2393="","",IFERROR(INDEX(Harytlar!$C$5:$C$44,MATCH(B2393,Harytlar!$A$5:$A$44,0)),""))</f>
        <v/>
      </c>
      <c r="F2393" s="10" t="str">
        <f t="shared" si="37"/>
        <v/>
      </c>
      <c r="G2393" s="10" t="str">
        <f>IF(OR(C2393="",B2393=""),"",IFERROR(C2393*INDEX(Harytlar!$D$5:$D$44,MATCH(B2393,Harytlar!$A$5:$A$44,0)),""))</f>
        <v/>
      </c>
    </row>
    <row r="2394" spans="1:7" x14ac:dyDescent="0.3">
      <c r="A2394" s="17"/>
      <c r="B2394" s="18"/>
      <c r="C2394" s="18"/>
      <c r="D2394" s="18"/>
      <c r="E2394" s="10" t="str">
        <f>IF(B2394="","",IFERROR(INDEX(Harytlar!$C$5:$C$44,MATCH(B2394,Harytlar!$A$5:$A$44,0)),""))</f>
        <v/>
      </c>
      <c r="F2394" s="10" t="str">
        <f t="shared" si="37"/>
        <v/>
      </c>
      <c r="G2394" s="10" t="str">
        <f>IF(OR(C2394="",B2394=""),"",IFERROR(C2394*INDEX(Harytlar!$D$5:$D$44,MATCH(B2394,Harytlar!$A$5:$A$44,0)),""))</f>
        <v/>
      </c>
    </row>
    <row r="2395" spans="1:7" x14ac:dyDescent="0.3">
      <c r="A2395" s="17"/>
      <c r="B2395" s="18"/>
      <c r="C2395" s="18"/>
      <c r="D2395" s="18"/>
      <c r="E2395" s="10" t="str">
        <f>IF(B2395="","",IFERROR(INDEX(Harytlar!$C$5:$C$44,MATCH(B2395,Harytlar!$A$5:$A$44,0)),""))</f>
        <v/>
      </c>
      <c r="F2395" s="10" t="str">
        <f t="shared" si="37"/>
        <v/>
      </c>
      <c r="G2395" s="10" t="str">
        <f>IF(OR(C2395="",B2395=""),"",IFERROR(C2395*INDEX(Harytlar!$D$5:$D$44,MATCH(B2395,Harytlar!$A$5:$A$44,0)),""))</f>
        <v/>
      </c>
    </row>
    <row r="2396" spans="1:7" x14ac:dyDescent="0.3">
      <c r="A2396" s="17"/>
      <c r="B2396" s="18"/>
      <c r="C2396" s="18"/>
      <c r="D2396" s="18"/>
      <c r="E2396" s="10" t="str">
        <f>IF(B2396="","",IFERROR(INDEX(Harytlar!$C$5:$C$44,MATCH(B2396,Harytlar!$A$5:$A$44,0)),""))</f>
        <v/>
      </c>
      <c r="F2396" s="10" t="str">
        <f t="shared" si="37"/>
        <v/>
      </c>
      <c r="G2396" s="10" t="str">
        <f>IF(OR(C2396="",B2396=""),"",IFERROR(C2396*INDEX(Harytlar!$D$5:$D$44,MATCH(B2396,Harytlar!$A$5:$A$44,0)),""))</f>
        <v/>
      </c>
    </row>
    <row r="2397" spans="1:7" x14ac:dyDescent="0.3">
      <c r="A2397" s="17"/>
      <c r="B2397" s="18"/>
      <c r="C2397" s="18"/>
      <c r="D2397" s="18"/>
      <c r="E2397" s="10" t="str">
        <f>IF(B2397="","",IFERROR(INDEX(Harytlar!$C$5:$C$44,MATCH(B2397,Harytlar!$A$5:$A$44,0)),""))</f>
        <v/>
      </c>
      <c r="F2397" s="10" t="str">
        <f t="shared" si="37"/>
        <v/>
      </c>
      <c r="G2397" s="10" t="str">
        <f>IF(OR(C2397="",B2397=""),"",IFERROR(C2397*INDEX(Harytlar!$D$5:$D$44,MATCH(B2397,Harytlar!$A$5:$A$44,0)),""))</f>
        <v/>
      </c>
    </row>
    <row r="2398" spans="1:7" x14ac:dyDescent="0.3">
      <c r="A2398" s="17"/>
      <c r="B2398" s="18"/>
      <c r="C2398" s="18"/>
      <c r="D2398" s="18"/>
      <c r="E2398" s="10" t="str">
        <f>IF(B2398="","",IFERROR(INDEX(Harytlar!$C$5:$C$44,MATCH(B2398,Harytlar!$A$5:$A$44,0)),""))</f>
        <v/>
      </c>
      <c r="F2398" s="10" t="str">
        <f t="shared" si="37"/>
        <v/>
      </c>
      <c r="G2398" s="10" t="str">
        <f>IF(OR(C2398="",B2398=""),"",IFERROR(C2398*INDEX(Harytlar!$D$5:$D$44,MATCH(B2398,Harytlar!$A$5:$A$44,0)),""))</f>
        <v/>
      </c>
    </row>
    <row r="2399" spans="1:7" x14ac:dyDescent="0.3">
      <c r="A2399" s="17"/>
      <c r="B2399" s="18"/>
      <c r="C2399" s="18"/>
      <c r="D2399" s="18"/>
      <c r="E2399" s="10" t="str">
        <f>IF(B2399="","",IFERROR(INDEX(Harytlar!$C$5:$C$44,MATCH(B2399,Harytlar!$A$5:$A$44,0)),""))</f>
        <v/>
      </c>
      <c r="F2399" s="10" t="str">
        <f t="shared" si="37"/>
        <v/>
      </c>
      <c r="G2399" s="10" t="str">
        <f>IF(OR(C2399="",B2399=""),"",IFERROR(C2399*INDEX(Harytlar!$D$5:$D$44,MATCH(B2399,Harytlar!$A$5:$A$44,0)),""))</f>
        <v/>
      </c>
    </row>
    <row r="2400" spans="1:7" x14ac:dyDescent="0.3">
      <c r="A2400" s="17"/>
      <c r="B2400" s="18"/>
      <c r="C2400" s="18"/>
      <c r="D2400" s="18"/>
      <c r="E2400" s="10" t="str">
        <f>IF(B2400="","",IFERROR(INDEX(Harytlar!$C$5:$C$44,MATCH(B2400,Harytlar!$A$5:$A$44,0)),""))</f>
        <v/>
      </c>
      <c r="F2400" s="10" t="str">
        <f t="shared" si="37"/>
        <v/>
      </c>
      <c r="G2400" s="10" t="str">
        <f>IF(OR(C2400="",B2400=""),"",IFERROR(C2400*INDEX(Harytlar!$D$5:$D$44,MATCH(B2400,Harytlar!$A$5:$A$44,0)),""))</f>
        <v/>
      </c>
    </row>
    <row r="2401" spans="1:7" x14ac:dyDescent="0.3">
      <c r="A2401" s="17"/>
      <c r="B2401" s="18"/>
      <c r="C2401" s="18"/>
      <c r="D2401" s="18"/>
      <c r="E2401" s="10" t="str">
        <f>IF(B2401="","",IFERROR(INDEX(Harytlar!$C$5:$C$44,MATCH(B2401,Harytlar!$A$5:$A$44,0)),""))</f>
        <v/>
      </c>
      <c r="F2401" s="10" t="str">
        <f t="shared" si="37"/>
        <v/>
      </c>
      <c r="G2401" s="10" t="str">
        <f>IF(OR(C2401="",B2401=""),"",IFERROR(C2401*INDEX(Harytlar!$D$5:$D$44,MATCH(B2401,Harytlar!$A$5:$A$44,0)),""))</f>
        <v/>
      </c>
    </row>
    <row r="2402" spans="1:7" x14ac:dyDescent="0.3">
      <c r="A2402" s="17"/>
      <c r="B2402" s="18"/>
      <c r="C2402" s="18"/>
      <c r="D2402" s="18"/>
      <c r="E2402" s="10" t="str">
        <f>IF(B2402="","",IFERROR(INDEX(Harytlar!$C$5:$C$44,MATCH(B2402,Harytlar!$A$5:$A$44,0)),""))</f>
        <v/>
      </c>
      <c r="F2402" s="10" t="str">
        <f t="shared" si="37"/>
        <v/>
      </c>
      <c r="G2402" s="10" t="str">
        <f>IF(OR(C2402="",B2402=""),"",IFERROR(C2402*INDEX(Harytlar!$D$5:$D$44,MATCH(B2402,Harytlar!$A$5:$A$44,0)),""))</f>
        <v/>
      </c>
    </row>
    <row r="2403" spans="1:7" x14ac:dyDescent="0.3">
      <c r="A2403" s="17"/>
      <c r="B2403" s="18"/>
      <c r="C2403" s="18"/>
      <c r="D2403" s="18"/>
      <c r="E2403" s="10" t="str">
        <f>IF(B2403="","",IFERROR(INDEX(Harytlar!$C$5:$C$44,MATCH(B2403,Harytlar!$A$5:$A$44,0)),""))</f>
        <v/>
      </c>
      <c r="F2403" s="10" t="str">
        <f t="shared" si="37"/>
        <v/>
      </c>
      <c r="G2403" s="10" t="str">
        <f>IF(OR(C2403="",B2403=""),"",IFERROR(C2403*INDEX(Harytlar!$D$5:$D$44,MATCH(B2403,Harytlar!$A$5:$A$44,0)),""))</f>
        <v/>
      </c>
    </row>
    <row r="2404" spans="1:7" x14ac:dyDescent="0.3">
      <c r="A2404" s="17"/>
      <c r="B2404" s="18"/>
      <c r="C2404" s="18"/>
      <c r="D2404" s="18"/>
      <c r="E2404" s="10" t="str">
        <f>IF(B2404="","",IFERROR(INDEX(Harytlar!$C$5:$C$44,MATCH(B2404,Harytlar!$A$5:$A$44,0)),""))</f>
        <v/>
      </c>
      <c r="F2404" s="10" t="str">
        <f t="shared" si="37"/>
        <v/>
      </c>
      <c r="G2404" s="10" t="str">
        <f>IF(OR(C2404="",B2404=""),"",IFERROR(C2404*INDEX(Harytlar!$D$5:$D$44,MATCH(B2404,Harytlar!$A$5:$A$44,0)),""))</f>
        <v/>
      </c>
    </row>
    <row r="2405" spans="1:7" x14ac:dyDescent="0.3">
      <c r="A2405" s="17"/>
      <c r="B2405" s="18"/>
      <c r="C2405" s="18"/>
      <c r="D2405" s="18"/>
      <c r="E2405" s="10" t="str">
        <f>IF(B2405="","",IFERROR(INDEX(Harytlar!$C$5:$C$44,MATCH(B2405,Harytlar!$A$5:$A$44,0)),""))</f>
        <v/>
      </c>
      <c r="F2405" s="10" t="str">
        <f t="shared" si="37"/>
        <v/>
      </c>
      <c r="G2405" s="10" t="str">
        <f>IF(OR(C2405="",B2405=""),"",IFERROR(C2405*INDEX(Harytlar!$D$5:$D$44,MATCH(B2405,Harytlar!$A$5:$A$44,0)),""))</f>
        <v/>
      </c>
    </row>
    <row r="2406" spans="1:7" x14ac:dyDescent="0.3">
      <c r="A2406" s="17"/>
      <c r="B2406" s="18"/>
      <c r="C2406" s="18"/>
      <c r="D2406" s="18"/>
      <c r="E2406" s="10" t="str">
        <f>IF(B2406="","",IFERROR(INDEX(Harytlar!$C$5:$C$44,MATCH(B2406,Harytlar!$A$5:$A$44,0)),""))</f>
        <v/>
      </c>
      <c r="F2406" s="10" t="str">
        <f t="shared" si="37"/>
        <v/>
      </c>
      <c r="G2406" s="10" t="str">
        <f>IF(OR(C2406="",B2406=""),"",IFERROR(C2406*INDEX(Harytlar!$D$5:$D$44,MATCH(B2406,Harytlar!$A$5:$A$44,0)),""))</f>
        <v/>
      </c>
    </row>
    <row r="2407" spans="1:7" x14ac:dyDescent="0.3">
      <c r="A2407" s="17"/>
      <c r="B2407" s="18"/>
      <c r="C2407" s="18"/>
      <c r="D2407" s="18"/>
      <c r="E2407" s="10" t="str">
        <f>IF(B2407="","",IFERROR(INDEX(Harytlar!$C$5:$C$44,MATCH(B2407,Harytlar!$A$5:$A$44,0)),""))</f>
        <v/>
      </c>
      <c r="F2407" s="10" t="str">
        <f t="shared" si="37"/>
        <v/>
      </c>
      <c r="G2407" s="10" t="str">
        <f>IF(OR(C2407="",B2407=""),"",IFERROR(C2407*INDEX(Harytlar!$D$5:$D$44,MATCH(B2407,Harytlar!$A$5:$A$44,0)),""))</f>
        <v/>
      </c>
    </row>
    <row r="2408" spans="1:7" x14ac:dyDescent="0.3">
      <c r="A2408" s="17"/>
      <c r="B2408" s="18"/>
      <c r="C2408" s="18"/>
      <c r="D2408" s="18"/>
      <c r="E2408" s="10" t="str">
        <f>IF(B2408="","",IFERROR(INDEX(Harytlar!$C$5:$C$44,MATCH(B2408,Harytlar!$A$5:$A$44,0)),""))</f>
        <v/>
      </c>
      <c r="F2408" s="10" t="str">
        <f t="shared" si="37"/>
        <v/>
      </c>
      <c r="G2408" s="10" t="str">
        <f>IF(OR(C2408="",B2408=""),"",IFERROR(C2408*INDEX(Harytlar!$D$5:$D$44,MATCH(B2408,Harytlar!$A$5:$A$44,0)),""))</f>
        <v/>
      </c>
    </row>
    <row r="2409" spans="1:7" x14ac:dyDescent="0.3">
      <c r="A2409" s="17"/>
      <c r="B2409" s="18"/>
      <c r="C2409" s="18"/>
      <c r="D2409" s="18"/>
      <c r="E2409" s="10" t="str">
        <f>IF(B2409="","",IFERROR(INDEX(Harytlar!$C$5:$C$44,MATCH(B2409,Harytlar!$A$5:$A$44,0)),""))</f>
        <v/>
      </c>
      <c r="F2409" s="10" t="str">
        <f t="shared" si="37"/>
        <v/>
      </c>
      <c r="G2409" s="10" t="str">
        <f>IF(OR(C2409="",B2409=""),"",IFERROR(C2409*INDEX(Harytlar!$D$5:$D$44,MATCH(B2409,Harytlar!$A$5:$A$44,0)),""))</f>
        <v/>
      </c>
    </row>
    <row r="2410" spans="1:7" x14ac:dyDescent="0.3">
      <c r="A2410" s="17"/>
      <c r="B2410" s="18"/>
      <c r="C2410" s="18"/>
      <c r="D2410" s="18"/>
      <c r="E2410" s="10" t="str">
        <f>IF(B2410="","",IFERROR(INDEX(Harytlar!$C$5:$C$44,MATCH(B2410,Harytlar!$A$5:$A$44,0)),""))</f>
        <v/>
      </c>
      <c r="F2410" s="10" t="str">
        <f t="shared" si="37"/>
        <v/>
      </c>
      <c r="G2410" s="10" t="str">
        <f>IF(OR(C2410="",B2410=""),"",IFERROR(C2410*INDEX(Harytlar!$D$5:$D$44,MATCH(B2410,Harytlar!$A$5:$A$44,0)),""))</f>
        <v/>
      </c>
    </row>
    <row r="2411" spans="1:7" x14ac:dyDescent="0.3">
      <c r="A2411" s="17"/>
      <c r="B2411" s="18"/>
      <c r="C2411" s="18"/>
      <c r="D2411" s="18"/>
      <c r="E2411" s="10" t="str">
        <f>IF(B2411="","",IFERROR(INDEX(Harytlar!$C$5:$C$44,MATCH(B2411,Harytlar!$A$5:$A$44,0)),""))</f>
        <v/>
      </c>
      <c r="F2411" s="10" t="str">
        <f t="shared" si="37"/>
        <v/>
      </c>
      <c r="G2411" s="10" t="str">
        <f>IF(OR(C2411="",B2411=""),"",IFERROR(C2411*INDEX(Harytlar!$D$5:$D$44,MATCH(B2411,Harytlar!$A$5:$A$44,0)),""))</f>
        <v/>
      </c>
    </row>
    <row r="2412" spans="1:7" x14ac:dyDescent="0.3">
      <c r="A2412" s="17"/>
      <c r="B2412" s="18"/>
      <c r="C2412" s="18"/>
      <c r="D2412" s="18"/>
      <c r="E2412" s="10" t="str">
        <f>IF(B2412="","",IFERROR(INDEX(Harytlar!$C$5:$C$44,MATCH(B2412,Harytlar!$A$5:$A$44,0)),""))</f>
        <v/>
      </c>
      <c r="F2412" s="10" t="str">
        <f t="shared" si="37"/>
        <v/>
      </c>
      <c r="G2412" s="10" t="str">
        <f>IF(OR(C2412="",B2412=""),"",IFERROR(C2412*INDEX(Harytlar!$D$5:$D$44,MATCH(B2412,Harytlar!$A$5:$A$44,0)),""))</f>
        <v/>
      </c>
    </row>
    <row r="2413" spans="1:7" x14ac:dyDescent="0.3">
      <c r="A2413" s="17"/>
      <c r="B2413" s="18"/>
      <c r="C2413" s="18"/>
      <c r="D2413" s="18"/>
      <c r="E2413" s="10" t="str">
        <f>IF(B2413="","",IFERROR(INDEX(Harytlar!$C$5:$C$44,MATCH(B2413,Harytlar!$A$5:$A$44,0)),""))</f>
        <v/>
      </c>
      <c r="F2413" s="10" t="str">
        <f t="shared" si="37"/>
        <v/>
      </c>
      <c r="G2413" s="10" t="str">
        <f>IF(OR(C2413="",B2413=""),"",IFERROR(C2413*INDEX(Harytlar!$D$5:$D$44,MATCH(B2413,Harytlar!$A$5:$A$44,0)),""))</f>
        <v/>
      </c>
    </row>
    <row r="2414" spans="1:7" x14ac:dyDescent="0.3">
      <c r="A2414" s="17"/>
      <c r="B2414" s="18"/>
      <c r="C2414" s="18"/>
      <c r="D2414" s="18"/>
      <c r="E2414" s="10" t="str">
        <f>IF(B2414="","",IFERROR(INDEX(Harytlar!$C$5:$C$44,MATCH(B2414,Harytlar!$A$5:$A$44,0)),""))</f>
        <v/>
      </c>
      <c r="F2414" s="10" t="str">
        <f t="shared" si="37"/>
        <v/>
      </c>
      <c r="G2414" s="10" t="str">
        <f>IF(OR(C2414="",B2414=""),"",IFERROR(C2414*INDEX(Harytlar!$D$5:$D$44,MATCH(B2414,Harytlar!$A$5:$A$44,0)),""))</f>
        <v/>
      </c>
    </row>
    <row r="2415" spans="1:7" x14ac:dyDescent="0.3">
      <c r="A2415" s="17"/>
      <c r="B2415" s="18"/>
      <c r="C2415" s="18"/>
      <c r="D2415" s="18"/>
      <c r="E2415" s="10" t="str">
        <f>IF(B2415="","",IFERROR(INDEX(Harytlar!$C$5:$C$44,MATCH(B2415,Harytlar!$A$5:$A$44,0)),""))</f>
        <v/>
      </c>
      <c r="F2415" s="10" t="str">
        <f t="shared" si="37"/>
        <v/>
      </c>
      <c r="G2415" s="10" t="str">
        <f>IF(OR(C2415="",B2415=""),"",IFERROR(C2415*INDEX(Harytlar!$D$5:$D$44,MATCH(B2415,Harytlar!$A$5:$A$44,0)),""))</f>
        <v/>
      </c>
    </row>
    <row r="2416" spans="1:7" x14ac:dyDescent="0.3">
      <c r="A2416" s="17"/>
      <c r="B2416" s="18"/>
      <c r="C2416" s="18"/>
      <c r="D2416" s="18"/>
      <c r="E2416" s="10" t="str">
        <f>IF(B2416="","",IFERROR(INDEX(Harytlar!$C$5:$C$44,MATCH(B2416,Harytlar!$A$5:$A$44,0)),""))</f>
        <v/>
      </c>
      <c r="F2416" s="10" t="str">
        <f t="shared" si="37"/>
        <v/>
      </c>
      <c r="G2416" s="10" t="str">
        <f>IF(OR(C2416="",B2416=""),"",IFERROR(C2416*INDEX(Harytlar!$D$5:$D$44,MATCH(B2416,Harytlar!$A$5:$A$44,0)),""))</f>
        <v/>
      </c>
    </row>
    <row r="2417" spans="1:7" x14ac:dyDescent="0.3">
      <c r="A2417" s="17"/>
      <c r="B2417" s="18"/>
      <c r="C2417" s="18"/>
      <c r="D2417" s="18"/>
      <c r="E2417" s="10" t="str">
        <f>IF(B2417="","",IFERROR(INDEX(Harytlar!$C$5:$C$44,MATCH(B2417,Harytlar!$A$5:$A$44,0)),""))</f>
        <v/>
      </c>
      <c r="F2417" s="10" t="str">
        <f t="shared" si="37"/>
        <v/>
      </c>
      <c r="G2417" s="10" t="str">
        <f>IF(OR(C2417="",B2417=""),"",IFERROR(C2417*INDEX(Harytlar!$D$5:$D$44,MATCH(B2417,Harytlar!$A$5:$A$44,0)),""))</f>
        <v/>
      </c>
    </row>
    <row r="2418" spans="1:7" x14ac:dyDescent="0.3">
      <c r="A2418" s="17"/>
      <c r="B2418" s="18"/>
      <c r="C2418" s="18"/>
      <c r="D2418" s="18"/>
      <c r="E2418" s="10" t="str">
        <f>IF(B2418="","",IFERROR(INDEX(Harytlar!$C$5:$C$44,MATCH(B2418,Harytlar!$A$5:$A$44,0)),""))</f>
        <v/>
      </c>
      <c r="F2418" s="10" t="str">
        <f t="shared" si="37"/>
        <v/>
      </c>
      <c r="G2418" s="10" t="str">
        <f>IF(OR(C2418="",B2418=""),"",IFERROR(C2418*INDEX(Harytlar!$D$5:$D$44,MATCH(B2418,Harytlar!$A$5:$A$44,0)),""))</f>
        <v/>
      </c>
    </row>
    <row r="2419" spans="1:7" x14ac:dyDescent="0.3">
      <c r="A2419" s="17"/>
      <c r="B2419" s="18"/>
      <c r="C2419" s="18"/>
      <c r="D2419" s="18"/>
      <c r="E2419" s="10" t="str">
        <f>IF(B2419="","",IFERROR(INDEX(Harytlar!$C$5:$C$44,MATCH(B2419,Harytlar!$A$5:$A$44,0)),""))</f>
        <v/>
      </c>
      <c r="F2419" s="10" t="str">
        <f t="shared" si="37"/>
        <v/>
      </c>
      <c r="G2419" s="10" t="str">
        <f>IF(OR(C2419="",B2419=""),"",IFERROR(C2419*INDEX(Harytlar!$D$5:$D$44,MATCH(B2419,Harytlar!$A$5:$A$44,0)),""))</f>
        <v/>
      </c>
    </row>
    <row r="2420" spans="1:7" x14ac:dyDescent="0.3">
      <c r="A2420" s="17"/>
      <c r="B2420" s="18"/>
      <c r="C2420" s="18"/>
      <c r="D2420" s="18"/>
      <c r="E2420" s="10" t="str">
        <f>IF(B2420="","",IFERROR(INDEX(Harytlar!$C$5:$C$44,MATCH(B2420,Harytlar!$A$5:$A$44,0)),""))</f>
        <v/>
      </c>
      <c r="F2420" s="10" t="str">
        <f t="shared" si="37"/>
        <v/>
      </c>
      <c r="G2420" s="10" t="str">
        <f>IF(OR(C2420="",B2420=""),"",IFERROR(C2420*INDEX(Harytlar!$D$5:$D$44,MATCH(B2420,Harytlar!$A$5:$A$44,0)),""))</f>
        <v/>
      </c>
    </row>
    <row r="2421" spans="1:7" x14ac:dyDescent="0.3">
      <c r="A2421" s="17"/>
      <c r="B2421" s="18"/>
      <c r="C2421" s="18"/>
      <c r="D2421" s="18"/>
      <c r="E2421" s="10" t="str">
        <f>IF(B2421="","",IFERROR(INDEX(Harytlar!$C$5:$C$44,MATCH(B2421,Harytlar!$A$5:$A$44,0)),""))</f>
        <v/>
      </c>
      <c r="F2421" s="10" t="str">
        <f t="shared" si="37"/>
        <v/>
      </c>
      <c r="G2421" s="10" t="str">
        <f>IF(OR(C2421="",B2421=""),"",IFERROR(C2421*INDEX(Harytlar!$D$5:$D$44,MATCH(B2421,Harytlar!$A$5:$A$44,0)),""))</f>
        <v/>
      </c>
    </row>
    <row r="2422" spans="1:7" x14ac:dyDescent="0.3">
      <c r="A2422" s="17"/>
      <c r="B2422" s="18"/>
      <c r="C2422" s="18"/>
      <c r="D2422" s="18"/>
      <c r="E2422" s="10" t="str">
        <f>IF(B2422="","",IFERROR(INDEX(Harytlar!$C$5:$C$44,MATCH(B2422,Harytlar!$A$5:$A$44,0)),""))</f>
        <v/>
      </c>
      <c r="F2422" s="10" t="str">
        <f t="shared" si="37"/>
        <v/>
      </c>
      <c r="G2422" s="10" t="str">
        <f>IF(OR(C2422="",B2422=""),"",IFERROR(C2422*INDEX(Harytlar!$D$5:$D$44,MATCH(B2422,Harytlar!$A$5:$A$44,0)),""))</f>
        <v/>
      </c>
    </row>
    <row r="2423" spans="1:7" x14ac:dyDescent="0.3">
      <c r="A2423" s="17"/>
      <c r="B2423" s="18"/>
      <c r="C2423" s="18"/>
      <c r="D2423" s="18"/>
      <c r="E2423" s="10" t="str">
        <f>IF(B2423="","",IFERROR(INDEX(Harytlar!$C$5:$C$44,MATCH(B2423,Harytlar!$A$5:$A$44,0)),""))</f>
        <v/>
      </c>
      <c r="F2423" s="10" t="str">
        <f t="shared" si="37"/>
        <v/>
      </c>
      <c r="G2423" s="10" t="str">
        <f>IF(OR(C2423="",B2423=""),"",IFERROR(C2423*INDEX(Harytlar!$D$5:$D$44,MATCH(B2423,Harytlar!$A$5:$A$44,0)),""))</f>
        <v/>
      </c>
    </row>
    <row r="2424" spans="1:7" x14ac:dyDescent="0.3">
      <c r="A2424" s="17"/>
      <c r="B2424" s="18"/>
      <c r="C2424" s="18"/>
      <c r="D2424" s="18"/>
      <c r="E2424" s="10" t="str">
        <f>IF(B2424="","",IFERROR(INDEX(Harytlar!$C$5:$C$44,MATCH(B2424,Harytlar!$A$5:$A$44,0)),""))</f>
        <v/>
      </c>
      <c r="F2424" s="10" t="str">
        <f t="shared" si="37"/>
        <v/>
      </c>
      <c r="G2424" s="10" t="str">
        <f>IF(OR(C2424="",B2424=""),"",IFERROR(C2424*INDEX(Harytlar!$D$5:$D$44,MATCH(B2424,Harytlar!$A$5:$A$44,0)),""))</f>
        <v/>
      </c>
    </row>
    <row r="2425" spans="1:7" x14ac:dyDescent="0.3">
      <c r="A2425" s="17"/>
      <c r="B2425" s="18"/>
      <c r="C2425" s="18"/>
      <c r="D2425" s="18"/>
      <c r="E2425" s="10" t="str">
        <f>IF(B2425="","",IFERROR(INDEX(Harytlar!$C$5:$C$44,MATCH(B2425,Harytlar!$A$5:$A$44,0)),""))</f>
        <v/>
      </c>
      <c r="F2425" s="10" t="str">
        <f t="shared" si="37"/>
        <v/>
      </c>
      <c r="G2425" s="10" t="str">
        <f>IF(OR(C2425="",B2425=""),"",IFERROR(C2425*INDEX(Harytlar!$D$5:$D$44,MATCH(B2425,Harytlar!$A$5:$A$44,0)),""))</f>
        <v/>
      </c>
    </row>
    <row r="2426" spans="1:7" x14ac:dyDescent="0.3">
      <c r="A2426" s="17"/>
      <c r="B2426" s="18"/>
      <c r="C2426" s="18"/>
      <c r="D2426" s="18"/>
      <c r="E2426" s="10" t="str">
        <f>IF(B2426="","",IFERROR(INDEX(Harytlar!$C$5:$C$44,MATCH(B2426,Harytlar!$A$5:$A$44,0)),""))</f>
        <v/>
      </c>
      <c r="F2426" s="10" t="str">
        <f t="shared" si="37"/>
        <v/>
      </c>
      <c r="G2426" s="10" t="str">
        <f>IF(OR(C2426="",B2426=""),"",IFERROR(C2426*INDEX(Harytlar!$D$5:$D$44,MATCH(B2426,Harytlar!$A$5:$A$44,0)),""))</f>
        <v/>
      </c>
    </row>
    <row r="2427" spans="1:7" x14ac:dyDescent="0.3">
      <c r="A2427" s="17"/>
      <c r="B2427" s="18"/>
      <c r="C2427" s="18"/>
      <c r="D2427" s="18"/>
      <c r="E2427" s="10" t="str">
        <f>IF(B2427="","",IFERROR(INDEX(Harytlar!$C$5:$C$44,MATCH(B2427,Harytlar!$A$5:$A$44,0)),""))</f>
        <v/>
      </c>
      <c r="F2427" s="10" t="str">
        <f t="shared" si="37"/>
        <v/>
      </c>
      <c r="G2427" s="10" t="str">
        <f>IF(OR(C2427="",B2427=""),"",IFERROR(C2427*INDEX(Harytlar!$D$5:$D$44,MATCH(B2427,Harytlar!$A$5:$A$44,0)),""))</f>
        <v/>
      </c>
    </row>
    <row r="2428" spans="1:7" x14ac:dyDescent="0.3">
      <c r="A2428" s="17"/>
      <c r="B2428" s="18"/>
      <c r="C2428" s="18"/>
      <c r="D2428" s="18"/>
      <c r="E2428" s="10" t="str">
        <f>IF(B2428="","",IFERROR(INDEX(Harytlar!$C$5:$C$44,MATCH(B2428,Harytlar!$A$5:$A$44,0)),""))</f>
        <v/>
      </c>
      <c r="F2428" s="10" t="str">
        <f t="shared" si="37"/>
        <v/>
      </c>
      <c r="G2428" s="10" t="str">
        <f>IF(OR(C2428="",B2428=""),"",IFERROR(C2428*INDEX(Harytlar!$D$5:$D$44,MATCH(B2428,Harytlar!$A$5:$A$44,0)),""))</f>
        <v/>
      </c>
    </row>
    <row r="2429" spans="1:7" x14ac:dyDescent="0.3">
      <c r="A2429" s="17"/>
      <c r="B2429" s="18"/>
      <c r="C2429" s="18"/>
      <c r="D2429" s="18"/>
      <c r="E2429" s="10" t="str">
        <f>IF(B2429="","",IFERROR(INDEX(Harytlar!$C$5:$C$44,MATCH(B2429,Harytlar!$A$5:$A$44,0)),""))</f>
        <v/>
      </c>
      <c r="F2429" s="10" t="str">
        <f t="shared" si="37"/>
        <v/>
      </c>
      <c r="G2429" s="10" t="str">
        <f>IF(OR(C2429="",B2429=""),"",IFERROR(C2429*INDEX(Harytlar!$D$5:$D$44,MATCH(B2429,Harytlar!$A$5:$A$44,0)),""))</f>
        <v/>
      </c>
    </row>
    <row r="2430" spans="1:7" x14ac:dyDescent="0.3">
      <c r="A2430" s="17"/>
      <c r="B2430" s="18"/>
      <c r="C2430" s="18"/>
      <c r="D2430" s="18"/>
      <c r="E2430" s="10" t="str">
        <f>IF(B2430="","",IFERROR(INDEX(Harytlar!$C$5:$C$44,MATCH(B2430,Harytlar!$A$5:$A$44,0)),""))</f>
        <v/>
      </c>
      <c r="F2430" s="10" t="str">
        <f t="shared" si="37"/>
        <v/>
      </c>
      <c r="G2430" s="10" t="str">
        <f>IF(OR(C2430="",B2430=""),"",IFERROR(C2430*INDEX(Harytlar!$D$5:$D$44,MATCH(B2430,Harytlar!$A$5:$A$44,0)),""))</f>
        <v/>
      </c>
    </row>
    <row r="2431" spans="1:7" x14ac:dyDescent="0.3">
      <c r="A2431" s="17"/>
      <c r="B2431" s="18"/>
      <c r="C2431" s="18"/>
      <c r="D2431" s="18"/>
      <c r="E2431" s="10" t="str">
        <f>IF(B2431="","",IFERROR(INDEX(Harytlar!$C$5:$C$44,MATCH(B2431,Harytlar!$A$5:$A$44,0)),""))</f>
        <v/>
      </c>
      <c r="F2431" s="10" t="str">
        <f t="shared" si="37"/>
        <v/>
      </c>
      <c r="G2431" s="10" t="str">
        <f>IF(OR(C2431="",B2431=""),"",IFERROR(C2431*INDEX(Harytlar!$D$5:$D$44,MATCH(B2431,Harytlar!$A$5:$A$44,0)),""))</f>
        <v/>
      </c>
    </row>
    <row r="2432" spans="1:7" x14ac:dyDescent="0.3">
      <c r="A2432" s="17"/>
      <c r="B2432" s="18"/>
      <c r="C2432" s="18"/>
      <c r="D2432" s="18"/>
      <c r="E2432" s="10" t="str">
        <f>IF(B2432="","",IFERROR(INDEX(Harytlar!$C$5:$C$44,MATCH(B2432,Harytlar!$A$5:$A$44,0)),""))</f>
        <v/>
      </c>
      <c r="F2432" s="10" t="str">
        <f t="shared" si="37"/>
        <v/>
      </c>
      <c r="G2432" s="10" t="str">
        <f>IF(OR(C2432="",B2432=""),"",IFERROR(C2432*INDEX(Harytlar!$D$5:$D$44,MATCH(B2432,Harytlar!$A$5:$A$44,0)),""))</f>
        <v/>
      </c>
    </row>
    <row r="2433" spans="1:7" x14ac:dyDescent="0.3">
      <c r="A2433" s="17"/>
      <c r="B2433" s="18"/>
      <c r="C2433" s="18"/>
      <c r="D2433" s="18"/>
      <c r="E2433" s="10" t="str">
        <f>IF(B2433="","",IFERROR(INDEX(Harytlar!$C$5:$C$44,MATCH(B2433,Harytlar!$A$5:$A$44,0)),""))</f>
        <v/>
      </c>
      <c r="F2433" s="10" t="str">
        <f t="shared" si="37"/>
        <v/>
      </c>
      <c r="G2433" s="10" t="str">
        <f>IF(OR(C2433="",B2433=""),"",IFERROR(C2433*INDEX(Harytlar!$D$5:$D$44,MATCH(B2433,Harytlar!$A$5:$A$44,0)),""))</f>
        <v/>
      </c>
    </row>
    <row r="2434" spans="1:7" x14ac:dyDescent="0.3">
      <c r="A2434" s="17"/>
      <c r="B2434" s="18"/>
      <c r="C2434" s="18"/>
      <c r="D2434" s="18"/>
      <c r="E2434" s="10" t="str">
        <f>IF(B2434="","",IFERROR(INDEX(Harytlar!$C$5:$C$44,MATCH(B2434,Harytlar!$A$5:$A$44,0)),""))</f>
        <v/>
      </c>
      <c r="F2434" s="10" t="str">
        <f t="shared" si="37"/>
        <v/>
      </c>
      <c r="G2434" s="10" t="str">
        <f>IF(OR(C2434="",B2434=""),"",IFERROR(C2434*INDEX(Harytlar!$D$5:$D$44,MATCH(B2434,Harytlar!$A$5:$A$44,0)),""))</f>
        <v/>
      </c>
    </row>
    <row r="2435" spans="1:7" x14ac:dyDescent="0.3">
      <c r="A2435" s="17"/>
      <c r="B2435" s="18"/>
      <c r="C2435" s="18"/>
      <c r="D2435" s="18"/>
      <c r="E2435" s="10" t="str">
        <f>IF(B2435="","",IFERROR(INDEX(Harytlar!$C$5:$C$44,MATCH(B2435,Harytlar!$A$5:$A$44,0)),""))</f>
        <v/>
      </c>
      <c r="F2435" s="10" t="str">
        <f t="shared" si="37"/>
        <v/>
      </c>
      <c r="G2435" s="10" t="str">
        <f>IF(OR(C2435="",B2435=""),"",IFERROR(C2435*INDEX(Harytlar!$D$5:$D$44,MATCH(B2435,Harytlar!$A$5:$A$44,0)),""))</f>
        <v/>
      </c>
    </row>
    <row r="2436" spans="1:7" x14ac:dyDescent="0.3">
      <c r="A2436" s="17"/>
      <c r="B2436" s="18"/>
      <c r="C2436" s="18"/>
      <c r="D2436" s="18"/>
      <c r="E2436" s="10" t="str">
        <f>IF(B2436="","",IFERROR(INDEX(Harytlar!$C$5:$C$44,MATCH(B2436,Harytlar!$A$5:$A$44,0)),""))</f>
        <v/>
      </c>
      <c r="F2436" s="10" t="str">
        <f t="shared" si="37"/>
        <v/>
      </c>
      <c r="G2436" s="10" t="str">
        <f>IF(OR(C2436="",B2436=""),"",IFERROR(C2436*INDEX(Harytlar!$D$5:$D$44,MATCH(B2436,Harytlar!$A$5:$A$44,0)),""))</f>
        <v/>
      </c>
    </row>
    <row r="2437" spans="1:7" x14ac:dyDescent="0.3">
      <c r="A2437" s="17"/>
      <c r="B2437" s="18"/>
      <c r="C2437" s="18"/>
      <c r="D2437" s="18"/>
      <c r="E2437" s="10" t="str">
        <f>IF(B2437="","",IFERROR(INDEX(Harytlar!$C$5:$C$44,MATCH(B2437,Harytlar!$A$5:$A$44,0)),""))</f>
        <v/>
      </c>
      <c r="F2437" s="10" t="str">
        <f t="shared" si="37"/>
        <v/>
      </c>
      <c r="G2437" s="10" t="str">
        <f>IF(OR(C2437="",B2437=""),"",IFERROR(C2437*INDEX(Harytlar!$D$5:$D$44,MATCH(B2437,Harytlar!$A$5:$A$44,0)),""))</f>
        <v/>
      </c>
    </row>
    <row r="2438" spans="1:7" x14ac:dyDescent="0.3">
      <c r="A2438" s="17"/>
      <c r="B2438" s="18"/>
      <c r="C2438" s="18"/>
      <c r="D2438" s="18"/>
      <c r="E2438" s="10" t="str">
        <f>IF(B2438="","",IFERROR(INDEX(Harytlar!$C$5:$C$44,MATCH(B2438,Harytlar!$A$5:$A$44,0)),""))</f>
        <v/>
      </c>
      <c r="F2438" s="10" t="str">
        <f t="shared" ref="F2438:F2501" si="38">IF(OR(C2438="",E2438=""),"",C2438*E2438)</f>
        <v/>
      </c>
      <c r="G2438" s="10" t="str">
        <f>IF(OR(C2438="",B2438=""),"",IFERROR(C2438*INDEX(Harytlar!$D$5:$D$44,MATCH(B2438,Harytlar!$A$5:$A$44,0)),""))</f>
        <v/>
      </c>
    </row>
    <row r="2439" spans="1:7" x14ac:dyDescent="0.3">
      <c r="A2439" s="17"/>
      <c r="B2439" s="18"/>
      <c r="C2439" s="18"/>
      <c r="D2439" s="18"/>
      <c r="E2439" s="10" t="str">
        <f>IF(B2439="","",IFERROR(INDEX(Harytlar!$C$5:$C$44,MATCH(B2439,Harytlar!$A$5:$A$44,0)),""))</f>
        <v/>
      </c>
      <c r="F2439" s="10" t="str">
        <f t="shared" si="38"/>
        <v/>
      </c>
      <c r="G2439" s="10" t="str">
        <f>IF(OR(C2439="",B2439=""),"",IFERROR(C2439*INDEX(Harytlar!$D$5:$D$44,MATCH(B2439,Harytlar!$A$5:$A$44,0)),""))</f>
        <v/>
      </c>
    </row>
    <row r="2440" spans="1:7" x14ac:dyDescent="0.3">
      <c r="A2440" s="17"/>
      <c r="B2440" s="18"/>
      <c r="C2440" s="18"/>
      <c r="D2440" s="18"/>
      <c r="E2440" s="10" t="str">
        <f>IF(B2440="","",IFERROR(INDEX(Harytlar!$C$5:$C$44,MATCH(B2440,Harytlar!$A$5:$A$44,0)),""))</f>
        <v/>
      </c>
      <c r="F2440" s="10" t="str">
        <f t="shared" si="38"/>
        <v/>
      </c>
      <c r="G2440" s="10" t="str">
        <f>IF(OR(C2440="",B2440=""),"",IFERROR(C2440*INDEX(Harytlar!$D$5:$D$44,MATCH(B2440,Harytlar!$A$5:$A$44,0)),""))</f>
        <v/>
      </c>
    </row>
    <row r="2441" spans="1:7" x14ac:dyDescent="0.3">
      <c r="A2441" s="17"/>
      <c r="B2441" s="18"/>
      <c r="C2441" s="18"/>
      <c r="D2441" s="18"/>
      <c r="E2441" s="10" t="str">
        <f>IF(B2441="","",IFERROR(INDEX(Harytlar!$C$5:$C$44,MATCH(B2441,Harytlar!$A$5:$A$44,0)),""))</f>
        <v/>
      </c>
      <c r="F2441" s="10" t="str">
        <f t="shared" si="38"/>
        <v/>
      </c>
      <c r="G2441" s="10" t="str">
        <f>IF(OR(C2441="",B2441=""),"",IFERROR(C2441*INDEX(Harytlar!$D$5:$D$44,MATCH(B2441,Harytlar!$A$5:$A$44,0)),""))</f>
        <v/>
      </c>
    </row>
    <row r="2442" spans="1:7" x14ac:dyDescent="0.3">
      <c r="A2442" s="17"/>
      <c r="B2442" s="18"/>
      <c r="C2442" s="18"/>
      <c r="D2442" s="18"/>
      <c r="E2442" s="10" t="str">
        <f>IF(B2442="","",IFERROR(INDEX(Harytlar!$C$5:$C$44,MATCH(B2442,Harytlar!$A$5:$A$44,0)),""))</f>
        <v/>
      </c>
      <c r="F2442" s="10" t="str">
        <f t="shared" si="38"/>
        <v/>
      </c>
      <c r="G2442" s="10" t="str">
        <f>IF(OR(C2442="",B2442=""),"",IFERROR(C2442*INDEX(Harytlar!$D$5:$D$44,MATCH(B2442,Harytlar!$A$5:$A$44,0)),""))</f>
        <v/>
      </c>
    </row>
    <row r="2443" spans="1:7" x14ac:dyDescent="0.3">
      <c r="A2443" s="17"/>
      <c r="B2443" s="18"/>
      <c r="C2443" s="18"/>
      <c r="D2443" s="18"/>
      <c r="E2443" s="10" t="str">
        <f>IF(B2443="","",IFERROR(INDEX(Harytlar!$C$5:$C$44,MATCH(B2443,Harytlar!$A$5:$A$44,0)),""))</f>
        <v/>
      </c>
      <c r="F2443" s="10" t="str">
        <f t="shared" si="38"/>
        <v/>
      </c>
      <c r="G2443" s="10" t="str">
        <f>IF(OR(C2443="",B2443=""),"",IFERROR(C2443*INDEX(Harytlar!$D$5:$D$44,MATCH(B2443,Harytlar!$A$5:$A$44,0)),""))</f>
        <v/>
      </c>
    </row>
    <row r="2444" spans="1:7" x14ac:dyDescent="0.3">
      <c r="A2444" s="17"/>
      <c r="B2444" s="18"/>
      <c r="C2444" s="18"/>
      <c r="D2444" s="18"/>
      <c r="E2444" s="10" t="str">
        <f>IF(B2444="","",IFERROR(INDEX(Harytlar!$C$5:$C$44,MATCH(B2444,Harytlar!$A$5:$A$44,0)),""))</f>
        <v/>
      </c>
      <c r="F2444" s="10" t="str">
        <f t="shared" si="38"/>
        <v/>
      </c>
      <c r="G2444" s="10" t="str">
        <f>IF(OR(C2444="",B2444=""),"",IFERROR(C2444*INDEX(Harytlar!$D$5:$D$44,MATCH(B2444,Harytlar!$A$5:$A$44,0)),""))</f>
        <v/>
      </c>
    </row>
    <row r="2445" spans="1:7" x14ac:dyDescent="0.3">
      <c r="A2445" s="17"/>
      <c r="B2445" s="18"/>
      <c r="C2445" s="18"/>
      <c r="D2445" s="18"/>
      <c r="E2445" s="10" t="str">
        <f>IF(B2445="","",IFERROR(INDEX(Harytlar!$C$5:$C$44,MATCH(B2445,Harytlar!$A$5:$A$44,0)),""))</f>
        <v/>
      </c>
      <c r="F2445" s="10" t="str">
        <f t="shared" si="38"/>
        <v/>
      </c>
      <c r="G2445" s="10" t="str">
        <f>IF(OR(C2445="",B2445=""),"",IFERROR(C2445*INDEX(Harytlar!$D$5:$D$44,MATCH(B2445,Harytlar!$A$5:$A$44,0)),""))</f>
        <v/>
      </c>
    </row>
    <row r="2446" spans="1:7" x14ac:dyDescent="0.3">
      <c r="A2446" s="17"/>
      <c r="B2446" s="18"/>
      <c r="C2446" s="18"/>
      <c r="D2446" s="18"/>
      <c r="E2446" s="10" t="str">
        <f>IF(B2446="","",IFERROR(INDEX(Harytlar!$C$5:$C$44,MATCH(B2446,Harytlar!$A$5:$A$44,0)),""))</f>
        <v/>
      </c>
      <c r="F2446" s="10" t="str">
        <f t="shared" si="38"/>
        <v/>
      </c>
      <c r="G2446" s="10" t="str">
        <f>IF(OR(C2446="",B2446=""),"",IFERROR(C2446*INDEX(Harytlar!$D$5:$D$44,MATCH(B2446,Harytlar!$A$5:$A$44,0)),""))</f>
        <v/>
      </c>
    </row>
    <row r="2447" spans="1:7" x14ac:dyDescent="0.3">
      <c r="A2447" s="17"/>
      <c r="B2447" s="18"/>
      <c r="C2447" s="18"/>
      <c r="D2447" s="18"/>
      <c r="E2447" s="10" t="str">
        <f>IF(B2447="","",IFERROR(INDEX(Harytlar!$C$5:$C$44,MATCH(B2447,Harytlar!$A$5:$A$44,0)),""))</f>
        <v/>
      </c>
      <c r="F2447" s="10" t="str">
        <f t="shared" si="38"/>
        <v/>
      </c>
      <c r="G2447" s="10" t="str">
        <f>IF(OR(C2447="",B2447=""),"",IFERROR(C2447*INDEX(Harytlar!$D$5:$D$44,MATCH(B2447,Harytlar!$A$5:$A$44,0)),""))</f>
        <v/>
      </c>
    </row>
    <row r="2448" spans="1:7" x14ac:dyDescent="0.3">
      <c r="A2448" s="17"/>
      <c r="B2448" s="18"/>
      <c r="C2448" s="18"/>
      <c r="D2448" s="18"/>
      <c r="E2448" s="10" t="str">
        <f>IF(B2448="","",IFERROR(INDEX(Harytlar!$C$5:$C$44,MATCH(B2448,Harytlar!$A$5:$A$44,0)),""))</f>
        <v/>
      </c>
      <c r="F2448" s="10" t="str">
        <f t="shared" si="38"/>
        <v/>
      </c>
      <c r="G2448" s="10" t="str">
        <f>IF(OR(C2448="",B2448=""),"",IFERROR(C2448*INDEX(Harytlar!$D$5:$D$44,MATCH(B2448,Harytlar!$A$5:$A$44,0)),""))</f>
        <v/>
      </c>
    </row>
    <row r="2449" spans="1:7" x14ac:dyDescent="0.3">
      <c r="A2449" s="17"/>
      <c r="B2449" s="18"/>
      <c r="C2449" s="18"/>
      <c r="D2449" s="18"/>
      <c r="E2449" s="10" t="str">
        <f>IF(B2449="","",IFERROR(INDEX(Harytlar!$C$5:$C$44,MATCH(B2449,Harytlar!$A$5:$A$44,0)),""))</f>
        <v/>
      </c>
      <c r="F2449" s="10" t="str">
        <f t="shared" si="38"/>
        <v/>
      </c>
      <c r="G2449" s="10" t="str">
        <f>IF(OR(C2449="",B2449=""),"",IFERROR(C2449*INDEX(Harytlar!$D$5:$D$44,MATCH(B2449,Harytlar!$A$5:$A$44,0)),""))</f>
        <v/>
      </c>
    </row>
    <row r="2450" spans="1:7" x14ac:dyDescent="0.3">
      <c r="A2450" s="17"/>
      <c r="B2450" s="18"/>
      <c r="C2450" s="18"/>
      <c r="D2450" s="18"/>
      <c r="E2450" s="10" t="str">
        <f>IF(B2450="","",IFERROR(INDEX(Harytlar!$C$5:$C$44,MATCH(B2450,Harytlar!$A$5:$A$44,0)),""))</f>
        <v/>
      </c>
      <c r="F2450" s="10" t="str">
        <f t="shared" si="38"/>
        <v/>
      </c>
      <c r="G2450" s="10" t="str">
        <f>IF(OR(C2450="",B2450=""),"",IFERROR(C2450*INDEX(Harytlar!$D$5:$D$44,MATCH(B2450,Harytlar!$A$5:$A$44,0)),""))</f>
        <v/>
      </c>
    </row>
    <row r="2451" spans="1:7" x14ac:dyDescent="0.3">
      <c r="A2451" s="17"/>
      <c r="B2451" s="18"/>
      <c r="C2451" s="18"/>
      <c r="D2451" s="18"/>
      <c r="E2451" s="10" t="str">
        <f>IF(B2451="","",IFERROR(INDEX(Harytlar!$C$5:$C$44,MATCH(B2451,Harytlar!$A$5:$A$44,0)),""))</f>
        <v/>
      </c>
      <c r="F2451" s="10" t="str">
        <f t="shared" si="38"/>
        <v/>
      </c>
      <c r="G2451" s="10" t="str">
        <f>IF(OR(C2451="",B2451=""),"",IFERROR(C2451*INDEX(Harytlar!$D$5:$D$44,MATCH(B2451,Harytlar!$A$5:$A$44,0)),""))</f>
        <v/>
      </c>
    </row>
    <row r="2452" spans="1:7" x14ac:dyDescent="0.3">
      <c r="A2452" s="17"/>
      <c r="B2452" s="18"/>
      <c r="C2452" s="18"/>
      <c r="D2452" s="18"/>
      <c r="E2452" s="10" t="str">
        <f>IF(B2452="","",IFERROR(INDEX(Harytlar!$C$5:$C$44,MATCH(B2452,Harytlar!$A$5:$A$44,0)),""))</f>
        <v/>
      </c>
      <c r="F2452" s="10" t="str">
        <f t="shared" si="38"/>
        <v/>
      </c>
      <c r="G2452" s="10" t="str">
        <f>IF(OR(C2452="",B2452=""),"",IFERROR(C2452*INDEX(Harytlar!$D$5:$D$44,MATCH(B2452,Harytlar!$A$5:$A$44,0)),""))</f>
        <v/>
      </c>
    </row>
    <row r="2453" spans="1:7" x14ac:dyDescent="0.3">
      <c r="A2453" s="17"/>
      <c r="B2453" s="18"/>
      <c r="C2453" s="18"/>
      <c r="D2453" s="18"/>
      <c r="E2453" s="10" t="str">
        <f>IF(B2453="","",IFERROR(INDEX(Harytlar!$C$5:$C$44,MATCH(B2453,Harytlar!$A$5:$A$44,0)),""))</f>
        <v/>
      </c>
      <c r="F2453" s="10" t="str">
        <f t="shared" si="38"/>
        <v/>
      </c>
      <c r="G2453" s="10" t="str">
        <f>IF(OR(C2453="",B2453=""),"",IFERROR(C2453*INDEX(Harytlar!$D$5:$D$44,MATCH(B2453,Harytlar!$A$5:$A$44,0)),""))</f>
        <v/>
      </c>
    </row>
    <row r="2454" spans="1:7" x14ac:dyDescent="0.3">
      <c r="A2454" s="17"/>
      <c r="B2454" s="18"/>
      <c r="C2454" s="18"/>
      <c r="D2454" s="18"/>
      <c r="E2454" s="10" t="str">
        <f>IF(B2454="","",IFERROR(INDEX(Harytlar!$C$5:$C$44,MATCH(B2454,Harytlar!$A$5:$A$44,0)),""))</f>
        <v/>
      </c>
      <c r="F2454" s="10" t="str">
        <f t="shared" si="38"/>
        <v/>
      </c>
      <c r="G2454" s="10" t="str">
        <f>IF(OR(C2454="",B2454=""),"",IFERROR(C2454*INDEX(Harytlar!$D$5:$D$44,MATCH(B2454,Harytlar!$A$5:$A$44,0)),""))</f>
        <v/>
      </c>
    </row>
    <row r="2455" spans="1:7" x14ac:dyDescent="0.3">
      <c r="A2455" s="17"/>
      <c r="B2455" s="18"/>
      <c r="C2455" s="18"/>
      <c r="D2455" s="18"/>
      <c r="E2455" s="10" t="str">
        <f>IF(B2455="","",IFERROR(INDEX(Harytlar!$C$5:$C$44,MATCH(B2455,Harytlar!$A$5:$A$44,0)),""))</f>
        <v/>
      </c>
      <c r="F2455" s="10" t="str">
        <f t="shared" si="38"/>
        <v/>
      </c>
      <c r="G2455" s="10" t="str">
        <f>IF(OR(C2455="",B2455=""),"",IFERROR(C2455*INDEX(Harytlar!$D$5:$D$44,MATCH(B2455,Harytlar!$A$5:$A$44,0)),""))</f>
        <v/>
      </c>
    </row>
    <row r="2456" spans="1:7" x14ac:dyDescent="0.3">
      <c r="A2456" s="17"/>
      <c r="B2456" s="18"/>
      <c r="C2456" s="18"/>
      <c r="D2456" s="18"/>
      <c r="E2456" s="10" t="str">
        <f>IF(B2456="","",IFERROR(INDEX(Harytlar!$C$5:$C$44,MATCH(B2456,Harytlar!$A$5:$A$44,0)),""))</f>
        <v/>
      </c>
      <c r="F2456" s="10" t="str">
        <f t="shared" si="38"/>
        <v/>
      </c>
      <c r="G2456" s="10" t="str">
        <f>IF(OR(C2456="",B2456=""),"",IFERROR(C2456*INDEX(Harytlar!$D$5:$D$44,MATCH(B2456,Harytlar!$A$5:$A$44,0)),""))</f>
        <v/>
      </c>
    </row>
    <row r="2457" spans="1:7" x14ac:dyDescent="0.3">
      <c r="A2457" s="17"/>
      <c r="B2457" s="18"/>
      <c r="C2457" s="18"/>
      <c r="D2457" s="18"/>
      <c r="E2457" s="10" t="str">
        <f>IF(B2457="","",IFERROR(INDEX(Harytlar!$C$5:$C$44,MATCH(B2457,Harytlar!$A$5:$A$44,0)),""))</f>
        <v/>
      </c>
      <c r="F2457" s="10" t="str">
        <f t="shared" si="38"/>
        <v/>
      </c>
      <c r="G2457" s="10" t="str">
        <f>IF(OR(C2457="",B2457=""),"",IFERROR(C2457*INDEX(Harytlar!$D$5:$D$44,MATCH(B2457,Harytlar!$A$5:$A$44,0)),""))</f>
        <v/>
      </c>
    </row>
    <row r="2458" spans="1:7" x14ac:dyDescent="0.3">
      <c r="A2458" s="17"/>
      <c r="B2458" s="18"/>
      <c r="C2458" s="18"/>
      <c r="D2458" s="18"/>
      <c r="E2458" s="10" t="str">
        <f>IF(B2458="","",IFERROR(INDEX(Harytlar!$C$5:$C$44,MATCH(B2458,Harytlar!$A$5:$A$44,0)),""))</f>
        <v/>
      </c>
      <c r="F2458" s="10" t="str">
        <f t="shared" si="38"/>
        <v/>
      </c>
      <c r="G2458" s="10" t="str">
        <f>IF(OR(C2458="",B2458=""),"",IFERROR(C2458*INDEX(Harytlar!$D$5:$D$44,MATCH(B2458,Harytlar!$A$5:$A$44,0)),""))</f>
        <v/>
      </c>
    </row>
    <row r="2459" spans="1:7" x14ac:dyDescent="0.3">
      <c r="A2459" s="17"/>
      <c r="B2459" s="18"/>
      <c r="C2459" s="18"/>
      <c r="D2459" s="18"/>
      <c r="E2459" s="10" t="str">
        <f>IF(B2459="","",IFERROR(INDEX(Harytlar!$C$5:$C$44,MATCH(B2459,Harytlar!$A$5:$A$44,0)),""))</f>
        <v/>
      </c>
      <c r="F2459" s="10" t="str">
        <f t="shared" si="38"/>
        <v/>
      </c>
      <c r="G2459" s="10" t="str">
        <f>IF(OR(C2459="",B2459=""),"",IFERROR(C2459*INDEX(Harytlar!$D$5:$D$44,MATCH(B2459,Harytlar!$A$5:$A$44,0)),""))</f>
        <v/>
      </c>
    </row>
    <row r="2460" spans="1:7" x14ac:dyDescent="0.3">
      <c r="A2460" s="17"/>
      <c r="B2460" s="18"/>
      <c r="C2460" s="18"/>
      <c r="D2460" s="18"/>
      <c r="E2460" s="10" t="str">
        <f>IF(B2460="","",IFERROR(INDEX(Harytlar!$C$5:$C$44,MATCH(B2460,Harytlar!$A$5:$A$44,0)),""))</f>
        <v/>
      </c>
      <c r="F2460" s="10" t="str">
        <f t="shared" si="38"/>
        <v/>
      </c>
      <c r="G2460" s="10" t="str">
        <f>IF(OR(C2460="",B2460=""),"",IFERROR(C2460*INDEX(Harytlar!$D$5:$D$44,MATCH(B2460,Harytlar!$A$5:$A$44,0)),""))</f>
        <v/>
      </c>
    </row>
    <row r="2461" spans="1:7" x14ac:dyDescent="0.3">
      <c r="A2461" s="17"/>
      <c r="B2461" s="18"/>
      <c r="C2461" s="18"/>
      <c r="D2461" s="18"/>
      <c r="E2461" s="10" t="str">
        <f>IF(B2461="","",IFERROR(INDEX(Harytlar!$C$5:$C$44,MATCH(B2461,Harytlar!$A$5:$A$44,0)),""))</f>
        <v/>
      </c>
      <c r="F2461" s="10" t="str">
        <f t="shared" si="38"/>
        <v/>
      </c>
      <c r="G2461" s="10" t="str">
        <f>IF(OR(C2461="",B2461=""),"",IFERROR(C2461*INDEX(Harytlar!$D$5:$D$44,MATCH(B2461,Harytlar!$A$5:$A$44,0)),""))</f>
        <v/>
      </c>
    </row>
    <row r="2462" spans="1:7" x14ac:dyDescent="0.3">
      <c r="A2462" s="17"/>
      <c r="B2462" s="18"/>
      <c r="C2462" s="18"/>
      <c r="D2462" s="18"/>
      <c r="E2462" s="10" t="str">
        <f>IF(B2462="","",IFERROR(INDEX(Harytlar!$C$5:$C$44,MATCH(B2462,Harytlar!$A$5:$A$44,0)),""))</f>
        <v/>
      </c>
      <c r="F2462" s="10" t="str">
        <f t="shared" si="38"/>
        <v/>
      </c>
      <c r="G2462" s="10" t="str">
        <f>IF(OR(C2462="",B2462=""),"",IFERROR(C2462*INDEX(Harytlar!$D$5:$D$44,MATCH(B2462,Harytlar!$A$5:$A$44,0)),""))</f>
        <v/>
      </c>
    </row>
    <row r="2463" spans="1:7" x14ac:dyDescent="0.3">
      <c r="A2463" s="17"/>
      <c r="B2463" s="18"/>
      <c r="C2463" s="18"/>
      <c r="D2463" s="18"/>
      <c r="E2463" s="10" t="str">
        <f>IF(B2463="","",IFERROR(INDEX(Harytlar!$C$5:$C$44,MATCH(B2463,Harytlar!$A$5:$A$44,0)),""))</f>
        <v/>
      </c>
      <c r="F2463" s="10" t="str">
        <f t="shared" si="38"/>
        <v/>
      </c>
      <c r="G2463" s="10" t="str">
        <f>IF(OR(C2463="",B2463=""),"",IFERROR(C2463*INDEX(Harytlar!$D$5:$D$44,MATCH(B2463,Harytlar!$A$5:$A$44,0)),""))</f>
        <v/>
      </c>
    </row>
    <row r="2464" spans="1:7" x14ac:dyDescent="0.3">
      <c r="A2464" s="17"/>
      <c r="B2464" s="18"/>
      <c r="C2464" s="18"/>
      <c r="D2464" s="18"/>
      <c r="E2464" s="10" t="str">
        <f>IF(B2464="","",IFERROR(INDEX(Harytlar!$C$5:$C$44,MATCH(B2464,Harytlar!$A$5:$A$44,0)),""))</f>
        <v/>
      </c>
      <c r="F2464" s="10" t="str">
        <f t="shared" si="38"/>
        <v/>
      </c>
      <c r="G2464" s="10" t="str">
        <f>IF(OR(C2464="",B2464=""),"",IFERROR(C2464*INDEX(Harytlar!$D$5:$D$44,MATCH(B2464,Harytlar!$A$5:$A$44,0)),""))</f>
        <v/>
      </c>
    </row>
    <row r="2465" spans="1:7" x14ac:dyDescent="0.3">
      <c r="A2465" s="17"/>
      <c r="B2465" s="18"/>
      <c r="C2465" s="18"/>
      <c r="D2465" s="18"/>
      <c r="E2465" s="10" t="str">
        <f>IF(B2465="","",IFERROR(INDEX(Harytlar!$C$5:$C$44,MATCH(B2465,Harytlar!$A$5:$A$44,0)),""))</f>
        <v/>
      </c>
      <c r="F2465" s="10" t="str">
        <f t="shared" si="38"/>
        <v/>
      </c>
      <c r="G2465" s="10" t="str">
        <f>IF(OR(C2465="",B2465=""),"",IFERROR(C2465*INDEX(Harytlar!$D$5:$D$44,MATCH(B2465,Harytlar!$A$5:$A$44,0)),""))</f>
        <v/>
      </c>
    </row>
    <row r="2466" spans="1:7" x14ac:dyDescent="0.3">
      <c r="A2466" s="17"/>
      <c r="B2466" s="18"/>
      <c r="C2466" s="18"/>
      <c r="D2466" s="18"/>
      <c r="E2466" s="10" t="str">
        <f>IF(B2466="","",IFERROR(INDEX(Harytlar!$C$5:$C$44,MATCH(B2466,Harytlar!$A$5:$A$44,0)),""))</f>
        <v/>
      </c>
      <c r="F2466" s="10" t="str">
        <f t="shared" si="38"/>
        <v/>
      </c>
      <c r="G2466" s="10" t="str">
        <f>IF(OR(C2466="",B2466=""),"",IFERROR(C2466*INDEX(Harytlar!$D$5:$D$44,MATCH(B2466,Harytlar!$A$5:$A$44,0)),""))</f>
        <v/>
      </c>
    </row>
    <row r="2467" spans="1:7" x14ac:dyDescent="0.3">
      <c r="A2467" s="17"/>
      <c r="B2467" s="18"/>
      <c r="C2467" s="18"/>
      <c r="D2467" s="18"/>
      <c r="E2467" s="10" t="str">
        <f>IF(B2467="","",IFERROR(INDEX(Harytlar!$C$5:$C$44,MATCH(B2467,Harytlar!$A$5:$A$44,0)),""))</f>
        <v/>
      </c>
      <c r="F2467" s="10" t="str">
        <f t="shared" si="38"/>
        <v/>
      </c>
      <c r="G2467" s="10" t="str">
        <f>IF(OR(C2467="",B2467=""),"",IFERROR(C2467*INDEX(Harytlar!$D$5:$D$44,MATCH(B2467,Harytlar!$A$5:$A$44,0)),""))</f>
        <v/>
      </c>
    </row>
    <row r="2468" spans="1:7" x14ac:dyDescent="0.3">
      <c r="A2468" s="17"/>
      <c r="B2468" s="18"/>
      <c r="C2468" s="18"/>
      <c r="D2468" s="18"/>
      <c r="E2468" s="10" t="str">
        <f>IF(B2468="","",IFERROR(INDEX(Harytlar!$C$5:$C$44,MATCH(B2468,Harytlar!$A$5:$A$44,0)),""))</f>
        <v/>
      </c>
      <c r="F2468" s="10" t="str">
        <f t="shared" si="38"/>
        <v/>
      </c>
      <c r="G2468" s="10" t="str">
        <f>IF(OR(C2468="",B2468=""),"",IFERROR(C2468*INDEX(Harytlar!$D$5:$D$44,MATCH(B2468,Harytlar!$A$5:$A$44,0)),""))</f>
        <v/>
      </c>
    </row>
    <row r="2469" spans="1:7" x14ac:dyDescent="0.3">
      <c r="A2469" s="17"/>
      <c r="B2469" s="18"/>
      <c r="C2469" s="18"/>
      <c r="D2469" s="18"/>
      <c r="E2469" s="10" t="str">
        <f>IF(B2469="","",IFERROR(INDEX(Harytlar!$C$5:$C$44,MATCH(B2469,Harytlar!$A$5:$A$44,0)),""))</f>
        <v/>
      </c>
      <c r="F2469" s="10" t="str">
        <f t="shared" si="38"/>
        <v/>
      </c>
      <c r="G2469" s="10" t="str">
        <f>IF(OR(C2469="",B2469=""),"",IFERROR(C2469*INDEX(Harytlar!$D$5:$D$44,MATCH(B2469,Harytlar!$A$5:$A$44,0)),""))</f>
        <v/>
      </c>
    </row>
    <row r="2470" spans="1:7" x14ac:dyDescent="0.3">
      <c r="A2470" s="17"/>
      <c r="B2470" s="18"/>
      <c r="C2470" s="18"/>
      <c r="D2470" s="18"/>
      <c r="E2470" s="10" t="str">
        <f>IF(B2470="","",IFERROR(INDEX(Harytlar!$C$5:$C$44,MATCH(B2470,Harytlar!$A$5:$A$44,0)),""))</f>
        <v/>
      </c>
      <c r="F2470" s="10" t="str">
        <f t="shared" si="38"/>
        <v/>
      </c>
      <c r="G2470" s="10" t="str">
        <f>IF(OR(C2470="",B2470=""),"",IFERROR(C2470*INDEX(Harytlar!$D$5:$D$44,MATCH(B2470,Harytlar!$A$5:$A$44,0)),""))</f>
        <v/>
      </c>
    </row>
    <row r="2471" spans="1:7" x14ac:dyDescent="0.3">
      <c r="A2471" s="17"/>
      <c r="B2471" s="18"/>
      <c r="C2471" s="18"/>
      <c r="D2471" s="18"/>
      <c r="E2471" s="10" t="str">
        <f>IF(B2471="","",IFERROR(INDEX(Harytlar!$C$5:$C$44,MATCH(B2471,Harytlar!$A$5:$A$44,0)),""))</f>
        <v/>
      </c>
      <c r="F2471" s="10" t="str">
        <f t="shared" si="38"/>
        <v/>
      </c>
      <c r="G2471" s="10" t="str">
        <f>IF(OR(C2471="",B2471=""),"",IFERROR(C2471*INDEX(Harytlar!$D$5:$D$44,MATCH(B2471,Harytlar!$A$5:$A$44,0)),""))</f>
        <v/>
      </c>
    </row>
    <row r="2472" spans="1:7" x14ac:dyDescent="0.3">
      <c r="A2472" s="17"/>
      <c r="B2472" s="18"/>
      <c r="C2472" s="18"/>
      <c r="D2472" s="18"/>
      <c r="E2472" s="10" t="str">
        <f>IF(B2472="","",IFERROR(INDEX(Harytlar!$C$5:$C$44,MATCH(B2472,Harytlar!$A$5:$A$44,0)),""))</f>
        <v/>
      </c>
      <c r="F2472" s="10" t="str">
        <f t="shared" si="38"/>
        <v/>
      </c>
      <c r="G2472" s="10" t="str">
        <f>IF(OR(C2472="",B2472=""),"",IFERROR(C2472*INDEX(Harytlar!$D$5:$D$44,MATCH(B2472,Harytlar!$A$5:$A$44,0)),""))</f>
        <v/>
      </c>
    </row>
    <row r="2473" spans="1:7" x14ac:dyDescent="0.3">
      <c r="A2473" s="17"/>
      <c r="B2473" s="18"/>
      <c r="C2473" s="18"/>
      <c r="D2473" s="18"/>
      <c r="E2473" s="10" t="str">
        <f>IF(B2473="","",IFERROR(INDEX(Harytlar!$C$5:$C$44,MATCH(B2473,Harytlar!$A$5:$A$44,0)),""))</f>
        <v/>
      </c>
      <c r="F2473" s="10" t="str">
        <f t="shared" si="38"/>
        <v/>
      </c>
      <c r="G2473" s="10" t="str">
        <f>IF(OR(C2473="",B2473=""),"",IFERROR(C2473*INDEX(Harytlar!$D$5:$D$44,MATCH(B2473,Harytlar!$A$5:$A$44,0)),""))</f>
        <v/>
      </c>
    </row>
    <row r="2474" spans="1:7" x14ac:dyDescent="0.3">
      <c r="A2474" s="17"/>
      <c r="B2474" s="18"/>
      <c r="C2474" s="18"/>
      <c r="D2474" s="18"/>
      <c r="E2474" s="10" t="str">
        <f>IF(B2474="","",IFERROR(INDEX(Harytlar!$C$5:$C$44,MATCH(B2474,Harytlar!$A$5:$A$44,0)),""))</f>
        <v/>
      </c>
      <c r="F2474" s="10" t="str">
        <f t="shared" si="38"/>
        <v/>
      </c>
      <c r="G2474" s="10" t="str">
        <f>IF(OR(C2474="",B2474=""),"",IFERROR(C2474*INDEX(Harytlar!$D$5:$D$44,MATCH(B2474,Harytlar!$A$5:$A$44,0)),""))</f>
        <v/>
      </c>
    </row>
    <row r="2475" spans="1:7" x14ac:dyDescent="0.3">
      <c r="A2475" s="17"/>
      <c r="B2475" s="18"/>
      <c r="C2475" s="18"/>
      <c r="D2475" s="18"/>
      <c r="E2475" s="10" t="str">
        <f>IF(B2475="","",IFERROR(INDEX(Harytlar!$C$5:$C$44,MATCH(B2475,Harytlar!$A$5:$A$44,0)),""))</f>
        <v/>
      </c>
      <c r="F2475" s="10" t="str">
        <f t="shared" si="38"/>
        <v/>
      </c>
      <c r="G2475" s="10" t="str">
        <f>IF(OR(C2475="",B2475=""),"",IFERROR(C2475*INDEX(Harytlar!$D$5:$D$44,MATCH(B2475,Harytlar!$A$5:$A$44,0)),""))</f>
        <v/>
      </c>
    </row>
    <row r="2476" spans="1:7" x14ac:dyDescent="0.3">
      <c r="A2476" s="17"/>
      <c r="B2476" s="18"/>
      <c r="C2476" s="18"/>
      <c r="D2476" s="18"/>
      <c r="E2476" s="10" t="str">
        <f>IF(B2476="","",IFERROR(INDEX(Harytlar!$C$5:$C$44,MATCH(B2476,Harytlar!$A$5:$A$44,0)),""))</f>
        <v/>
      </c>
      <c r="F2476" s="10" t="str">
        <f t="shared" si="38"/>
        <v/>
      </c>
      <c r="G2476" s="10" t="str">
        <f>IF(OR(C2476="",B2476=""),"",IFERROR(C2476*INDEX(Harytlar!$D$5:$D$44,MATCH(B2476,Harytlar!$A$5:$A$44,0)),""))</f>
        <v/>
      </c>
    </row>
    <row r="2477" spans="1:7" x14ac:dyDescent="0.3">
      <c r="A2477" s="17"/>
      <c r="B2477" s="18"/>
      <c r="C2477" s="18"/>
      <c r="D2477" s="18"/>
      <c r="E2477" s="10" t="str">
        <f>IF(B2477="","",IFERROR(INDEX(Harytlar!$C$5:$C$44,MATCH(B2477,Harytlar!$A$5:$A$44,0)),""))</f>
        <v/>
      </c>
      <c r="F2477" s="10" t="str">
        <f t="shared" si="38"/>
        <v/>
      </c>
      <c r="G2477" s="10" t="str">
        <f>IF(OR(C2477="",B2477=""),"",IFERROR(C2477*INDEX(Harytlar!$D$5:$D$44,MATCH(B2477,Harytlar!$A$5:$A$44,0)),""))</f>
        <v/>
      </c>
    </row>
    <row r="2478" spans="1:7" x14ac:dyDescent="0.3">
      <c r="A2478" s="17"/>
      <c r="B2478" s="18"/>
      <c r="C2478" s="18"/>
      <c r="D2478" s="18"/>
      <c r="E2478" s="10" t="str">
        <f>IF(B2478="","",IFERROR(INDEX(Harytlar!$C$5:$C$44,MATCH(B2478,Harytlar!$A$5:$A$44,0)),""))</f>
        <v/>
      </c>
      <c r="F2478" s="10" t="str">
        <f t="shared" si="38"/>
        <v/>
      </c>
      <c r="G2478" s="10" t="str">
        <f>IF(OR(C2478="",B2478=""),"",IFERROR(C2478*INDEX(Harytlar!$D$5:$D$44,MATCH(B2478,Harytlar!$A$5:$A$44,0)),""))</f>
        <v/>
      </c>
    </row>
    <row r="2479" spans="1:7" x14ac:dyDescent="0.3">
      <c r="A2479" s="17"/>
      <c r="B2479" s="18"/>
      <c r="C2479" s="18"/>
      <c r="D2479" s="18"/>
      <c r="E2479" s="10" t="str">
        <f>IF(B2479="","",IFERROR(INDEX(Harytlar!$C$5:$C$44,MATCH(B2479,Harytlar!$A$5:$A$44,0)),""))</f>
        <v/>
      </c>
      <c r="F2479" s="10" t="str">
        <f t="shared" si="38"/>
        <v/>
      </c>
      <c r="G2479" s="10" t="str">
        <f>IF(OR(C2479="",B2479=""),"",IFERROR(C2479*INDEX(Harytlar!$D$5:$D$44,MATCH(B2479,Harytlar!$A$5:$A$44,0)),""))</f>
        <v/>
      </c>
    </row>
    <row r="2480" spans="1:7" x14ac:dyDescent="0.3">
      <c r="A2480" s="17"/>
      <c r="B2480" s="18"/>
      <c r="C2480" s="18"/>
      <c r="D2480" s="18"/>
      <c r="E2480" s="10" t="str">
        <f>IF(B2480="","",IFERROR(INDEX(Harytlar!$C$5:$C$44,MATCH(B2480,Harytlar!$A$5:$A$44,0)),""))</f>
        <v/>
      </c>
      <c r="F2480" s="10" t="str">
        <f t="shared" si="38"/>
        <v/>
      </c>
      <c r="G2480" s="10" t="str">
        <f>IF(OR(C2480="",B2480=""),"",IFERROR(C2480*INDEX(Harytlar!$D$5:$D$44,MATCH(B2480,Harytlar!$A$5:$A$44,0)),""))</f>
        <v/>
      </c>
    </row>
    <row r="2481" spans="1:7" x14ac:dyDescent="0.3">
      <c r="A2481" s="17"/>
      <c r="B2481" s="18"/>
      <c r="C2481" s="18"/>
      <c r="D2481" s="18"/>
      <c r="E2481" s="10" t="str">
        <f>IF(B2481="","",IFERROR(INDEX(Harytlar!$C$5:$C$44,MATCH(B2481,Harytlar!$A$5:$A$44,0)),""))</f>
        <v/>
      </c>
      <c r="F2481" s="10" t="str">
        <f t="shared" si="38"/>
        <v/>
      </c>
      <c r="G2481" s="10" t="str">
        <f>IF(OR(C2481="",B2481=""),"",IFERROR(C2481*INDEX(Harytlar!$D$5:$D$44,MATCH(B2481,Harytlar!$A$5:$A$44,0)),""))</f>
        <v/>
      </c>
    </row>
    <row r="2482" spans="1:7" x14ac:dyDescent="0.3">
      <c r="A2482" s="17"/>
      <c r="B2482" s="18"/>
      <c r="C2482" s="18"/>
      <c r="D2482" s="18"/>
      <c r="E2482" s="10" t="str">
        <f>IF(B2482="","",IFERROR(INDEX(Harytlar!$C$5:$C$44,MATCH(B2482,Harytlar!$A$5:$A$44,0)),""))</f>
        <v/>
      </c>
      <c r="F2482" s="10" t="str">
        <f t="shared" si="38"/>
        <v/>
      </c>
      <c r="G2482" s="10" t="str">
        <f>IF(OR(C2482="",B2482=""),"",IFERROR(C2482*INDEX(Harytlar!$D$5:$D$44,MATCH(B2482,Harytlar!$A$5:$A$44,0)),""))</f>
        <v/>
      </c>
    </row>
    <row r="2483" spans="1:7" x14ac:dyDescent="0.3">
      <c r="A2483" s="17"/>
      <c r="B2483" s="18"/>
      <c r="C2483" s="18"/>
      <c r="D2483" s="18"/>
      <c r="E2483" s="10" t="str">
        <f>IF(B2483="","",IFERROR(INDEX(Harytlar!$C$5:$C$44,MATCH(B2483,Harytlar!$A$5:$A$44,0)),""))</f>
        <v/>
      </c>
      <c r="F2483" s="10" t="str">
        <f t="shared" si="38"/>
        <v/>
      </c>
      <c r="G2483" s="10" t="str">
        <f>IF(OR(C2483="",B2483=""),"",IFERROR(C2483*INDEX(Harytlar!$D$5:$D$44,MATCH(B2483,Harytlar!$A$5:$A$44,0)),""))</f>
        <v/>
      </c>
    </row>
    <row r="2484" spans="1:7" x14ac:dyDescent="0.3">
      <c r="A2484" s="17"/>
      <c r="B2484" s="18"/>
      <c r="C2484" s="18"/>
      <c r="D2484" s="18"/>
      <c r="E2484" s="10" t="str">
        <f>IF(B2484="","",IFERROR(INDEX(Harytlar!$C$5:$C$44,MATCH(B2484,Harytlar!$A$5:$A$44,0)),""))</f>
        <v/>
      </c>
      <c r="F2484" s="10" t="str">
        <f t="shared" si="38"/>
        <v/>
      </c>
      <c r="G2484" s="10" t="str">
        <f>IF(OR(C2484="",B2484=""),"",IFERROR(C2484*INDEX(Harytlar!$D$5:$D$44,MATCH(B2484,Harytlar!$A$5:$A$44,0)),""))</f>
        <v/>
      </c>
    </row>
    <row r="2485" spans="1:7" x14ac:dyDescent="0.3">
      <c r="A2485" s="17"/>
      <c r="B2485" s="18"/>
      <c r="C2485" s="18"/>
      <c r="D2485" s="18"/>
      <c r="E2485" s="10" t="str">
        <f>IF(B2485="","",IFERROR(INDEX(Harytlar!$C$5:$C$44,MATCH(B2485,Harytlar!$A$5:$A$44,0)),""))</f>
        <v/>
      </c>
      <c r="F2485" s="10" t="str">
        <f t="shared" si="38"/>
        <v/>
      </c>
      <c r="G2485" s="10" t="str">
        <f>IF(OR(C2485="",B2485=""),"",IFERROR(C2485*INDEX(Harytlar!$D$5:$D$44,MATCH(B2485,Harytlar!$A$5:$A$44,0)),""))</f>
        <v/>
      </c>
    </row>
    <row r="2486" spans="1:7" x14ac:dyDescent="0.3">
      <c r="A2486" s="17"/>
      <c r="B2486" s="18"/>
      <c r="C2486" s="18"/>
      <c r="D2486" s="18"/>
      <c r="E2486" s="10" t="str">
        <f>IF(B2486="","",IFERROR(INDEX(Harytlar!$C$5:$C$44,MATCH(B2486,Harytlar!$A$5:$A$44,0)),""))</f>
        <v/>
      </c>
      <c r="F2486" s="10" t="str">
        <f t="shared" si="38"/>
        <v/>
      </c>
      <c r="G2486" s="10" t="str">
        <f>IF(OR(C2486="",B2486=""),"",IFERROR(C2486*INDEX(Harytlar!$D$5:$D$44,MATCH(B2486,Harytlar!$A$5:$A$44,0)),""))</f>
        <v/>
      </c>
    </row>
    <row r="2487" spans="1:7" x14ac:dyDescent="0.3">
      <c r="A2487" s="17"/>
      <c r="B2487" s="18"/>
      <c r="C2487" s="18"/>
      <c r="D2487" s="18"/>
      <c r="E2487" s="10" t="str">
        <f>IF(B2487="","",IFERROR(INDEX(Harytlar!$C$5:$C$44,MATCH(B2487,Harytlar!$A$5:$A$44,0)),""))</f>
        <v/>
      </c>
      <c r="F2487" s="10" t="str">
        <f t="shared" si="38"/>
        <v/>
      </c>
      <c r="G2487" s="10" t="str">
        <f>IF(OR(C2487="",B2487=""),"",IFERROR(C2487*INDEX(Harytlar!$D$5:$D$44,MATCH(B2487,Harytlar!$A$5:$A$44,0)),""))</f>
        <v/>
      </c>
    </row>
    <row r="2488" spans="1:7" x14ac:dyDescent="0.3">
      <c r="A2488" s="17"/>
      <c r="B2488" s="18"/>
      <c r="C2488" s="18"/>
      <c r="D2488" s="18"/>
      <c r="E2488" s="10" t="str">
        <f>IF(B2488="","",IFERROR(INDEX(Harytlar!$C$5:$C$44,MATCH(B2488,Harytlar!$A$5:$A$44,0)),""))</f>
        <v/>
      </c>
      <c r="F2488" s="10" t="str">
        <f t="shared" si="38"/>
        <v/>
      </c>
      <c r="G2488" s="10" t="str">
        <f>IF(OR(C2488="",B2488=""),"",IFERROR(C2488*INDEX(Harytlar!$D$5:$D$44,MATCH(B2488,Harytlar!$A$5:$A$44,0)),""))</f>
        <v/>
      </c>
    </row>
    <row r="2489" spans="1:7" x14ac:dyDescent="0.3">
      <c r="A2489" s="17"/>
      <c r="B2489" s="18"/>
      <c r="C2489" s="18"/>
      <c r="D2489" s="18"/>
      <c r="E2489" s="10" t="str">
        <f>IF(B2489="","",IFERROR(INDEX(Harytlar!$C$5:$C$44,MATCH(B2489,Harytlar!$A$5:$A$44,0)),""))</f>
        <v/>
      </c>
      <c r="F2489" s="10" t="str">
        <f t="shared" si="38"/>
        <v/>
      </c>
      <c r="G2489" s="10" t="str">
        <f>IF(OR(C2489="",B2489=""),"",IFERROR(C2489*INDEX(Harytlar!$D$5:$D$44,MATCH(B2489,Harytlar!$A$5:$A$44,0)),""))</f>
        <v/>
      </c>
    </row>
    <row r="2490" spans="1:7" x14ac:dyDescent="0.3">
      <c r="A2490" s="17"/>
      <c r="B2490" s="18"/>
      <c r="C2490" s="18"/>
      <c r="D2490" s="18"/>
      <c r="E2490" s="10" t="str">
        <f>IF(B2490="","",IFERROR(INDEX(Harytlar!$C$5:$C$44,MATCH(B2490,Harytlar!$A$5:$A$44,0)),""))</f>
        <v/>
      </c>
      <c r="F2490" s="10" t="str">
        <f t="shared" si="38"/>
        <v/>
      </c>
      <c r="G2490" s="10" t="str">
        <f>IF(OR(C2490="",B2490=""),"",IFERROR(C2490*INDEX(Harytlar!$D$5:$D$44,MATCH(B2490,Harytlar!$A$5:$A$44,0)),""))</f>
        <v/>
      </c>
    </row>
    <row r="2491" spans="1:7" x14ac:dyDescent="0.3">
      <c r="A2491" s="17"/>
      <c r="B2491" s="18"/>
      <c r="C2491" s="18"/>
      <c r="D2491" s="18"/>
      <c r="E2491" s="10" t="str">
        <f>IF(B2491="","",IFERROR(INDEX(Harytlar!$C$5:$C$44,MATCH(B2491,Harytlar!$A$5:$A$44,0)),""))</f>
        <v/>
      </c>
      <c r="F2491" s="10" t="str">
        <f t="shared" si="38"/>
        <v/>
      </c>
      <c r="G2491" s="10" t="str">
        <f>IF(OR(C2491="",B2491=""),"",IFERROR(C2491*INDEX(Harytlar!$D$5:$D$44,MATCH(B2491,Harytlar!$A$5:$A$44,0)),""))</f>
        <v/>
      </c>
    </row>
    <row r="2492" spans="1:7" x14ac:dyDescent="0.3">
      <c r="A2492" s="17"/>
      <c r="B2492" s="18"/>
      <c r="C2492" s="18"/>
      <c r="D2492" s="18"/>
      <c r="E2492" s="10" t="str">
        <f>IF(B2492="","",IFERROR(INDEX(Harytlar!$C$5:$C$44,MATCH(B2492,Harytlar!$A$5:$A$44,0)),""))</f>
        <v/>
      </c>
      <c r="F2492" s="10" t="str">
        <f t="shared" si="38"/>
        <v/>
      </c>
      <c r="G2492" s="10" t="str">
        <f>IF(OR(C2492="",B2492=""),"",IFERROR(C2492*INDEX(Harytlar!$D$5:$D$44,MATCH(B2492,Harytlar!$A$5:$A$44,0)),""))</f>
        <v/>
      </c>
    </row>
    <row r="2493" spans="1:7" x14ac:dyDescent="0.3">
      <c r="A2493" s="17"/>
      <c r="B2493" s="18"/>
      <c r="C2493" s="18"/>
      <c r="D2493" s="18"/>
      <c r="E2493" s="10" t="str">
        <f>IF(B2493="","",IFERROR(INDEX(Harytlar!$C$5:$C$44,MATCH(B2493,Harytlar!$A$5:$A$44,0)),""))</f>
        <v/>
      </c>
      <c r="F2493" s="10" t="str">
        <f t="shared" si="38"/>
        <v/>
      </c>
      <c r="G2493" s="10" t="str">
        <f>IF(OR(C2493="",B2493=""),"",IFERROR(C2493*INDEX(Harytlar!$D$5:$D$44,MATCH(B2493,Harytlar!$A$5:$A$44,0)),""))</f>
        <v/>
      </c>
    </row>
    <row r="2494" spans="1:7" x14ac:dyDescent="0.3">
      <c r="A2494" s="17"/>
      <c r="B2494" s="18"/>
      <c r="C2494" s="18"/>
      <c r="D2494" s="18"/>
      <c r="E2494" s="10" t="str">
        <f>IF(B2494="","",IFERROR(INDEX(Harytlar!$C$5:$C$44,MATCH(B2494,Harytlar!$A$5:$A$44,0)),""))</f>
        <v/>
      </c>
      <c r="F2494" s="10" t="str">
        <f t="shared" si="38"/>
        <v/>
      </c>
      <c r="G2494" s="10" t="str">
        <f>IF(OR(C2494="",B2494=""),"",IFERROR(C2494*INDEX(Harytlar!$D$5:$D$44,MATCH(B2494,Harytlar!$A$5:$A$44,0)),""))</f>
        <v/>
      </c>
    </row>
    <row r="2495" spans="1:7" x14ac:dyDescent="0.3">
      <c r="A2495" s="17"/>
      <c r="B2495" s="18"/>
      <c r="C2495" s="18"/>
      <c r="D2495" s="18"/>
      <c r="E2495" s="10" t="str">
        <f>IF(B2495="","",IFERROR(INDEX(Harytlar!$C$5:$C$44,MATCH(B2495,Harytlar!$A$5:$A$44,0)),""))</f>
        <v/>
      </c>
      <c r="F2495" s="10" t="str">
        <f t="shared" si="38"/>
        <v/>
      </c>
      <c r="G2495" s="10" t="str">
        <f>IF(OR(C2495="",B2495=""),"",IFERROR(C2495*INDEX(Harytlar!$D$5:$D$44,MATCH(B2495,Harytlar!$A$5:$A$44,0)),""))</f>
        <v/>
      </c>
    </row>
    <row r="2496" spans="1:7" x14ac:dyDescent="0.3">
      <c r="A2496" s="17"/>
      <c r="B2496" s="18"/>
      <c r="C2496" s="18"/>
      <c r="D2496" s="18"/>
      <c r="E2496" s="10" t="str">
        <f>IF(B2496="","",IFERROR(INDEX(Harytlar!$C$5:$C$44,MATCH(B2496,Harytlar!$A$5:$A$44,0)),""))</f>
        <v/>
      </c>
      <c r="F2496" s="10" t="str">
        <f t="shared" si="38"/>
        <v/>
      </c>
      <c r="G2496" s="10" t="str">
        <f>IF(OR(C2496="",B2496=""),"",IFERROR(C2496*INDEX(Harytlar!$D$5:$D$44,MATCH(B2496,Harytlar!$A$5:$A$44,0)),""))</f>
        <v/>
      </c>
    </row>
    <row r="2497" spans="1:7" x14ac:dyDescent="0.3">
      <c r="A2497" s="17"/>
      <c r="B2497" s="18"/>
      <c r="C2497" s="18"/>
      <c r="D2497" s="18"/>
      <c r="E2497" s="10" t="str">
        <f>IF(B2497="","",IFERROR(INDEX(Harytlar!$C$5:$C$44,MATCH(B2497,Harytlar!$A$5:$A$44,0)),""))</f>
        <v/>
      </c>
      <c r="F2497" s="10" t="str">
        <f t="shared" si="38"/>
        <v/>
      </c>
      <c r="G2497" s="10" t="str">
        <f>IF(OR(C2497="",B2497=""),"",IFERROR(C2497*INDEX(Harytlar!$D$5:$D$44,MATCH(B2497,Harytlar!$A$5:$A$44,0)),""))</f>
        <v/>
      </c>
    </row>
    <row r="2498" spans="1:7" x14ac:dyDescent="0.3">
      <c r="A2498" s="17"/>
      <c r="B2498" s="18"/>
      <c r="C2498" s="18"/>
      <c r="D2498" s="18"/>
      <c r="E2498" s="10" t="str">
        <f>IF(B2498="","",IFERROR(INDEX(Harytlar!$C$5:$C$44,MATCH(B2498,Harytlar!$A$5:$A$44,0)),""))</f>
        <v/>
      </c>
      <c r="F2498" s="10" t="str">
        <f t="shared" si="38"/>
        <v/>
      </c>
      <c r="G2498" s="10" t="str">
        <f>IF(OR(C2498="",B2498=""),"",IFERROR(C2498*INDEX(Harytlar!$D$5:$D$44,MATCH(B2498,Harytlar!$A$5:$A$44,0)),""))</f>
        <v/>
      </c>
    </row>
    <row r="2499" spans="1:7" x14ac:dyDescent="0.3">
      <c r="A2499" s="17"/>
      <c r="B2499" s="18"/>
      <c r="C2499" s="18"/>
      <c r="D2499" s="18"/>
      <c r="E2499" s="10" t="str">
        <f>IF(B2499="","",IFERROR(INDEX(Harytlar!$C$5:$C$44,MATCH(B2499,Harytlar!$A$5:$A$44,0)),""))</f>
        <v/>
      </c>
      <c r="F2499" s="10" t="str">
        <f t="shared" si="38"/>
        <v/>
      </c>
      <c r="G2499" s="10" t="str">
        <f>IF(OR(C2499="",B2499=""),"",IFERROR(C2499*INDEX(Harytlar!$D$5:$D$44,MATCH(B2499,Harytlar!$A$5:$A$44,0)),""))</f>
        <v/>
      </c>
    </row>
    <row r="2500" spans="1:7" x14ac:dyDescent="0.3">
      <c r="A2500" s="17"/>
      <c r="B2500" s="18"/>
      <c r="C2500" s="18"/>
      <c r="D2500" s="18"/>
      <c r="E2500" s="10" t="str">
        <f>IF(B2500="","",IFERROR(INDEX(Harytlar!$C$5:$C$44,MATCH(B2500,Harytlar!$A$5:$A$44,0)),""))</f>
        <v/>
      </c>
      <c r="F2500" s="10" t="str">
        <f t="shared" si="38"/>
        <v/>
      </c>
      <c r="G2500" s="10" t="str">
        <f>IF(OR(C2500="",B2500=""),"",IFERROR(C2500*INDEX(Harytlar!$D$5:$D$44,MATCH(B2500,Harytlar!$A$5:$A$44,0)),""))</f>
        <v/>
      </c>
    </row>
    <row r="2501" spans="1:7" x14ac:dyDescent="0.3">
      <c r="A2501" s="17"/>
      <c r="B2501" s="18"/>
      <c r="C2501" s="18"/>
      <c r="D2501" s="18"/>
      <c r="E2501" s="10" t="str">
        <f>IF(B2501="","",IFERROR(INDEX(Harytlar!$C$5:$C$44,MATCH(B2501,Harytlar!$A$5:$A$44,0)),""))</f>
        <v/>
      </c>
      <c r="F2501" s="10" t="str">
        <f t="shared" si="38"/>
        <v/>
      </c>
      <c r="G2501" s="10" t="str">
        <f>IF(OR(C2501="",B2501=""),"",IFERROR(C2501*INDEX(Harytlar!$D$5:$D$44,MATCH(B2501,Harytlar!$A$5:$A$44,0)),""))</f>
        <v/>
      </c>
    </row>
    <row r="2502" spans="1:7" x14ac:dyDescent="0.3">
      <c r="A2502" s="17"/>
      <c r="B2502" s="18"/>
      <c r="C2502" s="18"/>
      <c r="D2502" s="18"/>
      <c r="E2502" s="10" t="str">
        <f>IF(B2502="","",IFERROR(INDEX(Harytlar!$C$5:$C$44,MATCH(B2502,Harytlar!$A$5:$A$44,0)),""))</f>
        <v/>
      </c>
      <c r="F2502" s="10" t="str">
        <f t="shared" ref="F2502:F2565" si="39">IF(OR(C2502="",E2502=""),"",C2502*E2502)</f>
        <v/>
      </c>
      <c r="G2502" s="10" t="str">
        <f>IF(OR(C2502="",B2502=""),"",IFERROR(C2502*INDEX(Harytlar!$D$5:$D$44,MATCH(B2502,Harytlar!$A$5:$A$44,0)),""))</f>
        <v/>
      </c>
    </row>
    <row r="2503" spans="1:7" x14ac:dyDescent="0.3">
      <c r="A2503" s="17"/>
      <c r="B2503" s="18"/>
      <c r="C2503" s="18"/>
      <c r="D2503" s="18"/>
      <c r="E2503" s="10" t="str">
        <f>IF(B2503="","",IFERROR(INDEX(Harytlar!$C$5:$C$44,MATCH(B2503,Harytlar!$A$5:$A$44,0)),""))</f>
        <v/>
      </c>
      <c r="F2503" s="10" t="str">
        <f t="shared" si="39"/>
        <v/>
      </c>
      <c r="G2503" s="10" t="str">
        <f>IF(OR(C2503="",B2503=""),"",IFERROR(C2503*INDEX(Harytlar!$D$5:$D$44,MATCH(B2503,Harytlar!$A$5:$A$44,0)),""))</f>
        <v/>
      </c>
    </row>
    <row r="2504" spans="1:7" x14ac:dyDescent="0.3">
      <c r="A2504" s="17"/>
      <c r="B2504" s="18"/>
      <c r="C2504" s="18"/>
      <c r="D2504" s="18"/>
      <c r="E2504" s="10" t="str">
        <f>IF(B2504="","",IFERROR(INDEX(Harytlar!$C$5:$C$44,MATCH(B2504,Harytlar!$A$5:$A$44,0)),""))</f>
        <v/>
      </c>
      <c r="F2504" s="10" t="str">
        <f t="shared" si="39"/>
        <v/>
      </c>
      <c r="G2504" s="10" t="str">
        <f>IF(OR(C2504="",B2504=""),"",IFERROR(C2504*INDEX(Harytlar!$D$5:$D$44,MATCH(B2504,Harytlar!$A$5:$A$44,0)),""))</f>
        <v/>
      </c>
    </row>
    <row r="2505" spans="1:7" x14ac:dyDescent="0.3">
      <c r="A2505" s="17"/>
      <c r="B2505" s="18"/>
      <c r="C2505" s="18"/>
      <c r="D2505" s="18"/>
      <c r="E2505" s="10" t="str">
        <f>IF(B2505="","",IFERROR(INDEX(Harytlar!$C$5:$C$44,MATCH(B2505,Harytlar!$A$5:$A$44,0)),""))</f>
        <v/>
      </c>
      <c r="F2505" s="10" t="str">
        <f t="shared" si="39"/>
        <v/>
      </c>
      <c r="G2505" s="10" t="str">
        <f>IF(OR(C2505="",B2505=""),"",IFERROR(C2505*INDEX(Harytlar!$D$5:$D$44,MATCH(B2505,Harytlar!$A$5:$A$44,0)),""))</f>
        <v/>
      </c>
    </row>
    <row r="2506" spans="1:7" x14ac:dyDescent="0.3">
      <c r="A2506" s="17"/>
      <c r="B2506" s="18"/>
      <c r="C2506" s="18"/>
      <c r="D2506" s="18"/>
      <c r="E2506" s="10" t="str">
        <f>IF(B2506="","",IFERROR(INDEX(Harytlar!$C$5:$C$44,MATCH(B2506,Harytlar!$A$5:$A$44,0)),""))</f>
        <v/>
      </c>
      <c r="F2506" s="10" t="str">
        <f t="shared" si="39"/>
        <v/>
      </c>
      <c r="G2506" s="10" t="str">
        <f>IF(OR(C2506="",B2506=""),"",IFERROR(C2506*INDEX(Harytlar!$D$5:$D$44,MATCH(B2506,Harytlar!$A$5:$A$44,0)),""))</f>
        <v/>
      </c>
    </row>
    <row r="2507" spans="1:7" x14ac:dyDescent="0.3">
      <c r="A2507" s="17"/>
      <c r="B2507" s="18"/>
      <c r="C2507" s="18"/>
      <c r="D2507" s="18"/>
      <c r="E2507" s="10" t="str">
        <f>IF(B2507="","",IFERROR(INDEX(Harytlar!$C$5:$C$44,MATCH(B2507,Harytlar!$A$5:$A$44,0)),""))</f>
        <v/>
      </c>
      <c r="F2507" s="10" t="str">
        <f t="shared" si="39"/>
        <v/>
      </c>
      <c r="G2507" s="10" t="str">
        <f>IF(OR(C2507="",B2507=""),"",IFERROR(C2507*INDEX(Harytlar!$D$5:$D$44,MATCH(B2507,Harytlar!$A$5:$A$44,0)),""))</f>
        <v/>
      </c>
    </row>
    <row r="2508" spans="1:7" x14ac:dyDescent="0.3">
      <c r="A2508" s="17"/>
      <c r="B2508" s="18"/>
      <c r="C2508" s="18"/>
      <c r="D2508" s="18"/>
      <c r="E2508" s="10" t="str">
        <f>IF(B2508="","",IFERROR(INDEX(Harytlar!$C$5:$C$44,MATCH(B2508,Harytlar!$A$5:$A$44,0)),""))</f>
        <v/>
      </c>
      <c r="F2508" s="10" t="str">
        <f t="shared" si="39"/>
        <v/>
      </c>
      <c r="G2508" s="10" t="str">
        <f>IF(OR(C2508="",B2508=""),"",IFERROR(C2508*INDEX(Harytlar!$D$5:$D$44,MATCH(B2508,Harytlar!$A$5:$A$44,0)),""))</f>
        <v/>
      </c>
    </row>
    <row r="2509" spans="1:7" x14ac:dyDescent="0.3">
      <c r="A2509" s="17"/>
      <c r="B2509" s="18"/>
      <c r="C2509" s="18"/>
      <c r="D2509" s="18"/>
      <c r="E2509" s="10" t="str">
        <f>IF(B2509="","",IFERROR(INDEX(Harytlar!$C$5:$C$44,MATCH(B2509,Harytlar!$A$5:$A$44,0)),""))</f>
        <v/>
      </c>
      <c r="F2509" s="10" t="str">
        <f t="shared" si="39"/>
        <v/>
      </c>
      <c r="G2509" s="10" t="str">
        <f>IF(OR(C2509="",B2509=""),"",IFERROR(C2509*INDEX(Harytlar!$D$5:$D$44,MATCH(B2509,Harytlar!$A$5:$A$44,0)),""))</f>
        <v/>
      </c>
    </row>
    <row r="2510" spans="1:7" x14ac:dyDescent="0.3">
      <c r="A2510" s="17"/>
      <c r="B2510" s="18"/>
      <c r="C2510" s="18"/>
      <c r="D2510" s="18"/>
      <c r="E2510" s="10" t="str">
        <f>IF(B2510="","",IFERROR(INDEX(Harytlar!$C$5:$C$44,MATCH(B2510,Harytlar!$A$5:$A$44,0)),""))</f>
        <v/>
      </c>
      <c r="F2510" s="10" t="str">
        <f t="shared" si="39"/>
        <v/>
      </c>
      <c r="G2510" s="10" t="str">
        <f>IF(OR(C2510="",B2510=""),"",IFERROR(C2510*INDEX(Harytlar!$D$5:$D$44,MATCH(B2510,Harytlar!$A$5:$A$44,0)),""))</f>
        <v/>
      </c>
    </row>
    <row r="2511" spans="1:7" x14ac:dyDescent="0.3">
      <c r="A2511" s="17"/>
      <c r="B2511" s="18"/>
      <c r="C2511" s="18"/>
      <c r="D2511" s="18"/>
      <c r="E2511" s="10" t="str">
        <f>IF(B2511="","",IFERROR(INDEX(Harytlar!$C$5:$C$44,MATCH(B2511,Harytlar!$A$5:$A$44,0)),""))</f>
        <v/>
      </c>
      <c r="F2511" s="10" t="str">
        <f t="shared" si="39"/>
        <v/>
      </c>
      <c r="G2511" s="10" t="str">
        <f>IF(OR(C2511="",B2511=""),"",IFERROR(C2511*INDEX(Harytlar!$D$5:$D$44,MATCH(B2511,Harytlar!$A$5:$A$44,0)),""))</f>
        <v/>
      </c>
    </row>
    <row r="2512" spans="1:7" x14ac:dyDescent="0.3">
      <c r="A2512" s="17"/>
      <c r="B2512" s="18"/>
      <c r="C2512" s="18"/>
      <c r="D2512" s="18"/>
      <c r="E2512" s="10" t="str">
        <f>IF(B2512="","",IFERROR(INDEX(Harytlar!$C$5:$C$44,MATCH(B2512,Harytlar!$A$5:$A$44,0)),""))</f>
        <v/>
      </c>
      <c r="F2512" s="10" t="str">
        <f t="shared" si="39"/>
        <v/>
      </c>
      <c r="G2512" s="10" t="str">
        <f>IF(OR(C2512="",B2512=""),"",IFERROR(C2512*INDEX(Harytlar!$D$5:$D$44,MATCH(B2512,Harytlar!$A$5:$A$44,0)),""))</f>
        <v/>
      </c>
    </row>
    <row r="2513" spans="1:7" x14ac:dyDescent="0.3">
      <c r="A2513" s="17"/>
      <c r="B2513" s="18"/>
      <c r="C2513" s="18"/>
      <c r="D2513" s="18"/>
      <c r="E2513" s="10" t="str">
        <f>IF(B2513="","",IFERROR(INDEX(Harytlar!$C$5:$C$44,MATCH(B2513,Harytlar!$A$5:$A$44,0)),""))</f>
        <v/>
      </c>
      <c r="F2513" s="10" t="str">
        <f t="shared" si="39"/>
        <v/>
      </c>
      <c r="G2513" s="10" t="str">
        <f>IF(OR(C2513="",B2513=""),"",IFERROR(C2513*INDEX(Harytlar!$D$5:$D$44,MATCH(B2513,Harytlar!$A$5:$A$44,0)),""))</f>
        <v/>
      </c>
    </row>
    <row r="2514" spans="1:7" x14ac:dyDescent="0.3">
      <c r="A2514" s="17"/>
      <c r="B2514" s="18"/>
      <c r="C2514" s="18"/>
      <c r="D2514" s="18"/>
      <c r="E2514" s="10" t="str">
        <f>IF(B2514="","",IFERROR(INDEX(Harytlar!$C$5:$C$44,MATCH(B2514,Harytlar!$A$5:$A$44,0)),""))</f>
        <v/>
      </c>
      <c r="F2514" s="10" t="str">
        <f t="shared" si="39"/>
        <v/>
      </c>
      <c r="G2514" s="10" t="str">
        <f>IF(OR(C2514="",B2514=""),"",IFERROR(C2514*INDEX(Harytlar!$D$5:$D$44,MATCH(B2514,Harytlar!$A$5:$A$44,0)),""))</f>
        <v/>
      </c>
    </row>
    <row r="2515" spans="1:7" x14ac:dyDescent="0.3">
      <c r="A2515" s="17"/>
      <c r="B2515" s="18"/>
      <c r="C2515" s="18"/>
      <c r="D2515" s="18"/>
      <c r="E2515" s="10" t="str">
        <f>IF(B2515="","",IFERROR(INDEX(Harytlar!$C$5:$C$44,MATCH(B2515,Harytlar!$A$5:$A$44,0)),""))</f>
        <v/>
      </c>
      <c r="F2515" s="10" t="str">
        <f t="shared" si="39"/>
        <v/>
      </c>
      <c r="G2515" s="10" t="str">
        <f>IF(OR(C2515="",B2515=""),"",IFERROR(C2515*INDEX(Harytlar!$D$5:$D$44,MATCH(B2515,Harytlar!$A$5:$A$44,0)),""))</f>
        <v/>
      </c>
    </row>
    <row r="2516" spans="1:7" x14ac:dyDescent="0.3">
      <c r="A2516" s="17"/>
      <c r="B2516" s="18"/>
      <c r="C2516" s="18"/>
      <c r="D2516" s="18"/>
      <c r="E2516" s="10" t="str">
        <f>IF(B2516="","",IFERROR(INDEX(Harytlar!$C$5:$C$44,MATCH(B2516,Harytlar!$A$5:$A$44,0)),""))</f>
        <v/>
      </c>
      <c r="F2516" s="10" t="str">
        <f t="shared" si="39"/>
        <v/>
      </c>
      <c r="G2516" s="10" t="str">
        <f>IF(OR(C2516="",B2516=""),"",IFERROR(C2516*INDEX(Harytlar!$D$5:$D$44,MATCH(B2516,Harytlar!$A$5:$A$44,0)),""))</f>
        <v/>
      </c>
    </row>
    <row r="2517" spans="1:7" x14ac:dyDescent="0.3">
      <c r="A2517" s="17"/>
      <c r="B2517" s="18"/>
      <c r="C2517" s="18"/>
      <c r="D2517" s="18"/>
      <c r="E2517" s="10" t="str">
        <f>IF(B2517="","",IFERROR(INDEX(Harytlar!$C$5:$C$44,MATCH(B2517,Harytlar!$A$5:$A$44,0)),""))</f>
        <v/>
      </c>
      <c r="F2517" s="10" t="str">
        <f t="shared" si="39"/>
        <v/>
      </c>
      <c r="G2517" s="10" t="str">
        <f>IF(OR(C2517="",B2517=""),"",IFERROR(C2517*INDEX(Harytlar!$D$5:$D$44,MATCH(B2517,Harytlar!$A$5:$A$44,0)),""))</f>
        <v/>
      </c>
    </row>
    <row r="2518" spans="1:7" x14ac:dyDescent="0.3">
      <c r="A2518" s="17"/>
      <c r="B2518" s="18"/>
      <c r="C2518" s="18"/>
      <c r="D2518" s="18"/>
      <c r="E2518" s="10" t="str">
        <f>IF(B2518="","",IFERROR(INDEX(Harytlar!$C$5:$C$44,MATCH(B2518,Harytlar!$A$5:$A$44,0)),""))</f>
        <v/>
      </c>
      <c r="F2518" s="10" t="str">
        <f t="shared" si="39"/>
        <v/>
      </c>
      <c r="G2518" s="10" t="str">
        <f>IF(OR(C2518="",B2518=""),"",IFERROR(C2518*INDEX(Harytlar!$D$5:$D$44,MATCH(B2518,Harytlar!$A$5:$A$44,0)),""))</f>
        <v/>
      </c>
    </row>
    <row r="2519" spans="1:7" x14ac:dyDescent="0.3">
      <c r="A2519" s="17"/>
      <c r="B2519" s="18"/>
      <c r="C2519" s="18"/>
      <c r="D2519" s="18"/>
      <c r="E2519" s="10" t="str">
        <f>IF(B2519="","",IFERROR(INDEX(Harytlar!$C$5:$C$44,MATCH(B2519,Harytlar!$A$5:$A$44,0)),""))</f>
        <v/>
      </c>
      <c r="F2519" s="10" t="str">
        <f t="shared" si="39"/>
        <v/>
      </c>
      <c r="G2519" s="10" t="str">
        <f>IF(OR(C2519="",B2519=""),"",IFERROR(C2519*INDEX(Harytlar!$D$5:$D$44,MATCH(B2519,Harytlar!$A$5:$A$44,0)),""))</f>
        <v/>
      </c>
    </row>
    <row r="2520" spans="1:7" x14ac:dyDescent="0.3">
      <c r="A2520" s="17"/>
      <c r="B2520" s="18"/>
      <c r="C2520" s="18"/>
      <c r="D2520" s="18"/>
      <c r="E2520" s="10" t="str">
        <f>IF(B2520="","",IFERROR(INDEX(Harytlar!$C$5:$C$44,MATCH(B2520,Harytlar!$A$5:$A$44,0)),""))</f>
        <v/>
      </c>
      <c r="F2520" s="10" t="str">
        <f t="shared" si="39"/>
        <v/>
      </c>
      <c r="G2520" s="10" t="str">
        <f>IF(OR(C2520="",B2520=""),"",IFERROR(C2520*INDEX(Harytlar!$D$5:$D$44,MATCH(B2520,Harytlar!$A$5:$A$44,0)),""))</f>
        <v/>
      </c>
    </row>
    <row r="2521" spans="1:7" x14ac:dyDescent="0.3">
      <c r="A2521" s="17"/>
      <c r="B2521" s="18"/>
      <c r="C2521" s="18"/>
      <c r="D2521" s="18"/>
      <c r="E2521" s="10" t="str">
        <f>IF(B2521="","",IFERROR(INDEX(Harytlar!$C$5:$C$44,MATCH(B2521,Harytlar!$A$5:$A$44,0)),""))</f>
        <v/>
      </c>
      <c r="F2521" s="10" t="str">
        <f t="shared" si="39"/>
        <v/>
      </c>
      <c r="G2521" s="10" t="str">
        <f>IF(OR(C2521="",B2521=""),"",IFERROR(C2521*INDEX(Harytlar!$D$5:$D$44,MATCH(B2521,Harytlar!$A$5:$A$44,0)),""))</f>
        <v/>
      </c>
    </row>
    <row r="2522" spans="1:7" x14ac:dyDescent="0.3">
      <c r="A2522" s="17"/>
      <c r="B2522" s="18"/>
      <c r="C2522" s="18"/>
      <c r="D2522" s="18"/>
      <c r="E2522" s="10" t="str">
        <f>IF(B2522="","",IFERROR(INDEX(Harytlar!$C$5:$C$44,MATCH(B2522,Harytlar!$A$5:$A$44,0)),""))</f>
        <v/>
      </c>
      <c r="F2522" s="10" t="str">
        <f t="shared" si="39"/>
        <v/>
      </c>
      <c r="G2522" s="10" t="str">
        <f>IF(OR(C2522="",B2522=""),"",IFERROR(C2522*INDEX(Harytlar!$D$5:$D$44,MATCH(B2522,Harytlar!$A$5:$A$44,0)),""))</f>
        <v/>
      </c>
    </row>
    <row r="2523" spans="1:7" x14ac:dyDescent="0.3">
      <c r="A2523" s="17"/>
      <c r="B2523" s="18"/>
      <c r="C2523" s="18"/>
      <c r="D2523" s="18"/>
      <c r="E2523" s="10" t="str">
        <f>IF(B2523="","",IFERROR(INDEX(Harytlar!$C$5:$C$44,MATCH(B2523,Harytlar!$A$5:$A$44,0)),""))</f>
        <v/>
      </c>
      <c r="F2523" s="10" t="str">
        <f t="shared" si="39"/>
        <v/>
      </c>
      <c r="G2523" s="10" t="str">
        <f>IF(OR(C2523="",B2523=""),"",IFERROR(C2523*INDEX(Harytlar!$D$5:$D$44,MATCH(B2523,Harytlar!$A$5:$A$44,0)),""))</f>
        <v/>
      </c>
    </row>
    <row r="2524" spans="1:7" x14ac:dyDescent="0.3">
      <c r="A2524" s="17"/>
      <c r="B2524" s="18"/>
      <c r="C2524" s="18"/>
      <c r="D2524" s="18"/>
      <c r="E2524" s="10" t="str">
        <f>IF(B2524="","",IFERROR(INDEX(Harytlar!$C$5:$C$44,MATCH(B2524,Harytlar!$A$5:$A$44,0)),""))</f>
        <v/>
      </c>
      <c r="F2524" s="10" t="str">
        <f t="shared" si="39"/>
        <v/>
      </c>
      <c r="G2524" s="10" t="str">
        <f>IF(OR(C2524="",B2524=""),"",IFERROR(C2524*INDEX(Harytlar!$D$5:$D$44,MATCH(B2524,Harytlar!$A$5:$A$44,0)),""))</f>
        <v/>
      </c>
    </row>
    <row r="2525" spans="1:7" x14ac:dyDescent="0.3">
      <c r="A2525" s="17"/>
      <c r="B2525" s="18"/>
      <c r="C2525" s="18"/>
      <c r="D2525" s="18"/>
      <c r="E2525" s="10" t="str">
        <f>IF(B2525="","",IFERROR(INDEX(Harytlar!$C$5:$C$44,MATCH(B2525,Harytlar!$A$5:$A$44,0)),""))</f>
        <v/>
      </c>
      <c r="F2525" s="10" t="str">
        <f t="shared" si="39"/>
        <v/>
      </c>
      <c r="G2525" s="10" t="str">
        <f>IF(OR(C2525="",B2525=""),"",IFERROR(C2525*INDEX(Harytlar!$D$5:$D$44,MATCH(B2525,Harytlar!$A$5:$A$44,0)),""))</f>
        <v/>
      </c>
    </row>
    <row r="2526" spans="1:7" x14ac:dyDescent="0.3">
      <c r="A2526" s="17"/>
      <c r="B2526" s="18"/>
      <c r="C2526" s="18"/>
      <c r="D2526" s="18"/>
      <c r="E2526" s="10" t="str">
        <f>IF(B2526="","",IFERROR(INDEX(Harytlar!$C$5:$C$44,MATCH(B2526,Harytlar!$A$5:$A$44,0)),""))</f>
        <v/>
      </c>
      <c r="F2526" s="10" t="str">
        <f t="shared" si="39"/>
        <v/>
      </c>
      <c r="G2526" s="10" t="str">
        <f>IF(OR(C2526="",B2526=""),"",IFERROR(C2526*INDEX(Harytlar!$D$5:$D$44,MATCH(B2526,Harytlar!$A$5:$A$44,0)),""))</f>
        <v/>
      </c>
    </row>
    <row r="2527" spans="1:7" x14ac:dyDescent="0.3">
      <c r="A2527" s="17"/>
      <c r="B2527" s="18"/>
      <c r="C2527" s="18"/>
      <c r="D2527" s="18"/>
      <c r="E2527" s="10" t="str">
        <f>IF(B2527="","",IFERROR(INDEX(Harytlar!$C$5:$C$44,MATCH(B2527,Harytlar!$A$5:$A$44,0)),""))</f>
        <v/>
      </c>
      <c r="F2527" s="10" t="str">
        <f t="shared" si="39"/>
        <v/>
      </c>
      <c r="G2527" s="10" t="str">
        <f>IF(OR(C2527="",B2527=""),"",IFERROR(C2527*INDEX(Harytlar!$D$5:$D$44,MATCH(B2527,Harytlar!$A$5:$A$44,0)),""))</f>
        <v/>
      </c>
    </row>
    <row r="2528" spans="1:7" x14ac:dyDescent="0.3">
      <c r="A2528" s="17"/>
      <c r="B2528" s="18"/>
      <c r="C2528" s="18"/>
      <c r="D2528" s="18"/>
      <c r="E2528" s="10" t="str">
        <f>IF(B2528="","",IFERROR(INDEX(Harytlar!$C$5:$C$44,MATCH(B2528,Harytlar!$A$5:$A$44,0)),""))</f>
        <v/>
      </c>
      <c r="F2528" s="10" t="str">
        <f t="shared" si="39"/>
        <v/>
      </c>
      <c r="G2528" s="10" t="str">
        <f>IF(OR(C2528="",B2528=""),"",IFERROR(C2528*INDEX(Harytlar!$D$5:$D$44,MATCH(B2528,Harytlar!$A$5:$A$44,0)),""))</f>
        <v/>
      </c>
    </row>
    <row r="2529" spans="1:7" x14ac:dyDescent="0.3">
      <c r="A2529" s="17"/>
      <c r="B2529" s="18"/>
      <c r="C2529" s="18"/>
      <c r="D2529" s="18"/>
      <c r="E2529" s="10" t="str">
        <f>IF(B2529="","",IFERROR(INDEX(Harytlar!$C$5:$C$44,MATCH(B2529,Harytlar!$A$5:$A$44,0)),""))</f>
        <v/>
      </c>
      <c r="F2529" s="10" t="str">
        <f t="shared" si="39"/>
        <v/>
      </c>
      <c r="G2529" s="10" t="str">
        <f>IF(OR(C2529="",B2529=""),"",IFERROR(C2529*INDEX(Harytlar!$D$5:$D$44,MATCH(B2529,Harytlar!$A$5:$A$44,0)),""))</f>
        <v/>
      </c>
    </row>
    <row r="2530" spans="1:7" x14ac:dyDescent="0.3">
      <c r="A2530" s="17"/>
      <c r="B2530" s="18"/>
      <c r="C2530" s="18"/>
      <c r="D2530" s="18"/>
      <c r="E2530" s="10" t="str">
        <f>IF(B2530="","",IFERROR(INDEX(Harytlar!$C$5:$C$44,MATCH(B2530,Harytlar!$A$5:$A$44,0)),""))</f>
        <v/>
      </c>
      <c r="F2530" s="10" t="str">
        <f t="shared" si="39"/>
        <v/>
      </c>
      <c r="G2530" s="10" t="str">
        <f>IF(OR(C2530="",B2530=""),"",IFERROR(C2530*INDEX(Harytlar!$D$5:$D$44,MATCH(B2530,Harytlar!$A$5:$A$44,0)),""))</f>
        <v/>
      </c>
    </row>
    <row r="2531" spans="1:7" x14ac:dyDescent="0.3">
      <c r="A2531" s="17"/>
      <c r="B2531" s="18"/>
      <c r="C2531" s="18"/>
      <c r="D2531" s="18"/>
      <c r="E2531" s="10" t="str">
        <f>IF(B2531="","",IFERROR(INDEX(Harytlar!$C$5:$C$44,MATCH(B2531,Harytlar!$A$5:$A$44,0)),""))</f>
        <v/>
      </c>
      <c r="F2531" s="10" t="str">
        <f t="shared" si="39"/>
        <v/>
      </c>
      <c r="G2531" s="10" t="str">
        <f>IF(OR(C2531="",B2531=""),"",IFERROR(C2531*INDEX(Harytlar!$D$5:$D$44,MATCH(B2531,Harytlar!$A$5:$A$44,0)),""))</f>
        <v/>
      </c>
    </row>
    <row r="2532" spans="1:7" x14ac:dyDescent="0.3">
      <c r="A2532" s="17"/>
      <c r="B2532" s="18"/>
      <c r="C2532" s="18"/>
      <c r="D2532" s="18"/>
      <c r="E2532" s="10" t="str">
        <f>IF(B2532="","",IFERROR(INDEX(Harytlar!$C$5:$C$44,MATCH(B2532,Harytlar!$A$5:$A$44,0)),""))</f>
        <v/>
      </c>
      <c r="F2532" s="10" t="str">
        <f t="shared" si="39"/>
        <v/>
      </c>
      <c r="G2532" s="10" t="str">
        <f>IF(OR(C2532="",B2532=""),"",IFERROR(C2532*INDEX(Harytlar!$D$5:$D$44,MATCH(B2532,Harytlar!$A$5:$A$44,0)),""))</f>
        <v/>
      </c>
    </row>
    <row r="2533" spans="1:7" x14ac:dyDescent="0.3">
      <c r="A2533" s="17"/>
      <c r="B2533" s="18"/>
      <c r="C2533" s="18"/>
      <c r="D2533" s="18"/>
      <c r="E2533" s="10" t="str">
        <f>IF(B2533="","",IFERROR(INDEX(Harytlar!$C$5:$C$44,MATCH(B2533,Harytlar!$A$5:$A$44,0)),""))</f>
        <v/>
      </c>
      <c r="F2533" s="10" t="str">
        <f t="shared" si="39"/>
        <v/>
      </c>
      <c r="G2533" s="10" t="str">
        <f>IF(OR(C2533="",B2533=""),"",IFERROR(C2533*INDEX(Harytlar!$D$5:$D$44,MATCH(B2533,Harytlar!$A$5:$A$44,0)),""))</f>
        <v/>
      </c>
    </row>
    <row r="2534" spans="1:7" x14ac:dyDescent="0.3">
      <c r="A2534" s="17"/>
      <c r="B2534" s="18"/>
      <c r="C2534" s="18"/>
      <c r="D2534" s="18"/>
      <c r="E2534" s="10" t="str">
        <f>IF(B2534="","",IFERROR(INDEX(Harytlar!$C$5:$C$44,MATCH(B2534,Harytlar!$A$5:$A$44,0)),""))</f>
        <v/>
      </c>
      <c r="F2534" s="10" t="str">
        <f t="shared" si="39"/>
        <v/>
      </c>
      <c r="G2534" s="10" t="str">
        <f>IF(OR(C2534="",B2534=""),"",IFERROR(C2534*INDEX(Harytlar!$D$5:$D$44,MATCH(B2534,Harytlar!$A$5:$A$44,0)),""))</f>
        <v/>
      </c>
    </row>
    <row r="2535" spans="1:7" x14ac:dyDescent="0.3">
      <c r="A2535" s="17"/>
      <c r="B2535" s="18"/>
      <c r="C2535" s="18"/>
      <c r="D2535" s="18"/>
      <c r="E2535" s="10" t="str">
        <f>IF(B2535="","",IFERROR(INDEX(Harytlar!$C$5:$C$44,MATCH(B2535,Harytlar!$A$5:$A$44,0)),""))</f>
        <v/>
      </c>
      <c r="F2535" s="10" t="str">
        <f t="shared" si="39"/>
        <v/>
      </c>
      <c r="G2535" s="10" t="str">
        <f>IF(OR(C2535="",B2535=""),"",IFERROR(C2535*INDEX(Harytlar!$D$5:$D$44,MATCH(B2535,Harytlar!$A$5:$A$44,0)),""))</f>
        <v/>
      </c>
    </row>
    <row r="2536" spans="1:7" x14ac:dyDescent="0.3">
      <c r="A2536" s="17"/>
      <c r="B2536" s="18"/>
      <c r="C2536" s="18"/>
      <c r="D2536" s="18"/>
      <c r="E2536" s="10" t="str">
        <f>IF(B2536="","",IFERROR(INDEX(Harytlar!$C$5:$C$44,MATCH(B2536,Harytlar!$A$5:$A$44,0)),""))</f>
        <v/>
      </c>
      <c r="F2536" s="10" t="str">
        <f t="shared" si="39"/>
        <v/>
      </c>
      <c r="G2536" s="10" t="str">
        <f>IF(OR(C2536="",B2536=""),"",IFERROR(C2536*INDEX(Harytlar!$D$5:$D$44,MATCH(B2536,Harytlar!$A$5:$A$44,0)),""))</f>
        <v/>
      </c>
    </row>
    <row r="2537" spans="1:7" x14ac:dyDescent="0.3">
      <c r="A2537" s="17"/>
      <c r="B2537" s="18"/>
      <c r="C2537" s="18"/>
      <c r="D2537" s="18"/>
      <c r="E2537" s="10" t="str">
        <f>IF(B2537="","",IFERROR(INDEX(Harytlar!$C$5:$C$44,MATCH(B2537,Harytlar!$A$5:$A$44,0)),""))</f>
        <v/>
      </c>
      <c r="F2537" s="10" t="str">
        <f t="shared" si="39"/>
        <v/>
      </c>
      <c r="G2537" s="10" t="str">
        <f>IF(OR(C2537="",B2537=""),"",IFERROR(C2537*INDEX(Harytlar!$D$5:$D$44,MATCH(B2537,Harytlar!$A$5:$A$44,0)),""))</f>
        <v/>
      </c>
    </row>
    <row r="2538" spans="1:7" x14ac:dyDescent="0.3">
      <c r="A2538" s="17"/>
      <c r="B2538" s="18"/>
      <c r="C2538" s="18"/>
      <c r="D2538" s="18"/>
      <c r="E2538" s="10" t="str">
        <f>IF(B2538="","",IFERROR(INDEX(Harytlar!$C$5:$C$44,MATCH(B2538,Harytlar!$A$5:$A$44,0)),""))</f>
        <v/>
      </c>
      <c r="F2538" s="10" t="str">
        <f t="shared" si="39"/>
        <v/>
      </c>
      <c r="G2538" s="10" t="str">
        <f>IF(OR(C2538="",B2538=""),"",IFERROR(C2538*INDEX(Harytlar!$D$5:$D$44,MATCH(B2538,Harytlar!$A$5:$A$44,0)),""))</f>
        <v/>
      </c>
    </row>
    <row r="2539" spans="1:7" x14ac:dyDescent="0.3">
      <c r="A2539" s="17"/>
      <c r="B2539" s="18"/>
      <c r="C2539" s="18"/>
      <c r="D2539" s="18"/>
      <c r="E2539" s="10" t="str">
        <f>IF(B2539="","",IFERROR(INDEX(Harytlar!$C$5:$C$44,MATCH(B2539,Harytlar!$A$5:$A$44,0)),""))</f>
        <v/>
      </c>
      <c r="F2539" s="10" t="str">
        <f t="shared" si="39"/>
        <v/>
      </c>
      <c r="G2539" s="10" t="str">
        <f>IF(OR(C2539="",B2539=""),"",IFERROR(C2539*INDEX(Harytlar!$D$5:$D$44,MATCH(B2539,Harytlar!$A$5:$A$44,0)),""))</f>
        <v/>
      </c>
    </row>
    <row r="2540" spans="1:7" x14ac:dyDescent="0.3">
      <c r="A2540" s="17"/>
      <c r="B2540" s="18"/>
      <c r="C2540" s="18"/>
      <c r="D2540" s="18"/>
      <c r="E2540" s="10" t="str">
        <f>IF(B2540="","",IFERROR(INDEX(Harytlar!$C$5:$C$44,MATCH(B2540,Harytlar!$A$5:$A$44,0)),""))</f>
        <v/>
      </c>
      <c r="F2540" s="10" t="str">
        <f t="shared" si="39"/>
        <v/>
      </c>
      <c r="G2540" s="10" t="str">
        <f>IF(OR(C2540="",B2540=""),"",IFERROR(C2540*INDEX(Harytlar!$D$5:$D$44,MATCH(B2540,Harytlar!$A$5:$A$44,0)),""))</f>
        <v/>
      </c>
    </row>
    <row r="2541" spans="1:7" x14ac:dyDescent="0.3">
      <c r="A2541" s="17"/>
      <c r="B2541" s="18"/>
      <c r="C2541" s="18"/>
      <c r="D2541" s="18"/>
      <c r="E2541" s="10" t="str">
        <f>IF(B2541="","",IFERROR(INDEX(Harytlar!$C$5:$C$44,MATCH(B2541,Harytlar!$A$5:$A$44,0)),""))</f>
        <v/>
      </c>
      <c r="F2541" s="10" t="str">
        <f t="shared" si="39"/>
        <v/>
      </c>
      <c r="G2541" s="10" t="str">
        <f>IF(OR(C2541="",B2541=""),"",IFERROR(C2541*INDEX(Harytlar!$D$5:$D$44,MATCH(B2541,Harytlar!$A$5:$A$44,0)),""))</f>
        <v/>
      </c>
    </row>
    <row r="2542" spans="1:7" x14ac:dyDescent="0.3">
      <c r="A2542" s="17"/>
      <c r="B2542" s="18"/>
      <c r="C2542" s="18"/>
      <c r="D2542" s="18"/>
      <c r="E2542" s="10" t="str">
        <f>IF(B2542="","",IFERROR(INDEX(Harytlar!$C$5:$C$44,MATCH(B2542,Harytlar!$A$5:$A$44,0)),""))</f>
        <v/>
      </c>
      <c r="F2542" s="10" t="str">
        <f t="shared" si="39"/>
        <v/>
      </c>
      <c r="G2542" s="10" t="str">
        <f>IF(OR(C2542="",B2542=""),"",IFERROR(C2542*INDEX(Harytlar!$D$5:$D$44,MATCH(B2542,Harytlar!$A$5:$A$44,0)),""))</f>
        <v/>
      </c>
    </row>
    <row r="2543" spans="1:7" x14ac:dyDescent="0.3">
      <c r="A2543" s="17"/>
      <c r="B2543" s="18"/>
      <c r="C2543" s="18"/>
      <c r="D2543" s="18"/>
      <c r="E2543" s="10" t="str">
        <f>IF(B2543="","",IFERROR(INDEX(Harytlar!$C$5:$C$44,MATCH(B2543,Harytlar!$A$5:$A$44,0)),""))</f>
        <v/>
      </c>
      <c r="F2543" s="10" t="str">
        <f t="shared" si="39"/>
        <v/>
      </c>
      <c r="G2543" s="10" t="str">
        <f>IF(OR(C2543="",B2543=""),"",IFERROR(C2543*INDEX(Harytlar!$D$5:$D$44,MATCH(B2543,Harytlar!$A$5:$A$44,0)),""))</f>
        <v/>
      </c>
    </row>
    <row r="2544" spans="1:7" x14ac:dyDescent="0.3">
      <c r="A2544" s="17"/>
      <c r="B2544" s="18"/>
      <c r="C2544" s="18"/>
      <c r="D2544" s="18"/>
      <c r="E2544" s="10" t="str">
        <f>IF(B2544="","",IFERROR(INDEX(Harytlar!$C$5:$C$44,MATCH(B2544,Harytlar!$A$5:$A$44,0)),""))</f>
        <v/>
      </c>
      <c r="F2544" s="10" t="str">
        <f t="shared" si="39"/>
        <v/>
      </c>
      <c r="G2544" s="10" t="str">
        <f>IF(OR(C2544="",B2544=""),"",IFERROR(C2544*INDEX(Harytlar!$D$5:$D$44,MATCH(B2544,Harytlar!$A$5:$A$44,0)),""))</f>
        <v/>
      </c>
    </row>
    <row r="2545" spans="1:7" x14ac:dyDescent="0.3">
      <c r="A2545" s="17"/>
      <c r="B2545" s="18"/>
      <c r="C2545" s="18"/>
      <c r="D2545" s="18"/>
      <c r="E2545" s="10" t="str">
        <f>IF(B2545="","",IFERROR(INDEX(Harytlar!$C$5:$C$44,MATCH(B2545,Harytlar!$A$5:$A$44,0)),""))</f>
        <v/>
      </c>
      <c r="F2545" s="10" t="str">
        <f t="shared" si="39"/>
        <v/>
      </c>
      <c r="G2545" s="10" t="str">
        <f>IF(OR(C2545="",B2545=""),"",IFERROR(C2545*INDEX(Harytlar!$D$5:$D$44,MATCH(B2545,Harytlar!$A$5:$A$44,0)),""))</f>
        <v/>
      </c>
    </row>
    <row r="2546" spans="1:7" x14ac:dyDescent="0.3">
      <c r="A2546" s="17"/>
      <c r="B2546" s="18"/>
      <c r="C2546" s="18"/>
      <c r="D2546" s="18"/>
      <c r="E2546" s="10" t="str">
        <f>IF(B2546="","",IFERROR(INDEX(Harytlar!$C$5:$C$44,MATCH(B2546,Harytlar!$A$5:$A$44,0)),""))</f>
        <v/>
      </c>
      <c r="F2546" s="10" t="str">
        <f t="shared" si="39"/>
        <v/>
      </c>
      <c r="G2546" s="10" t="str">
        <f>IF(OR(C2546="",B2546=""),"",IFERROR(C2546*INDEX(Harytlar!$D$5:$D$44,MATCH(B2546,Harytlar!$A$5:$A$44,0)),""))</f>
        <v/>
      </c>
    </row>
    <row r="2547" spans="1:7" x14ac:dyDescent="0.3">
      <c r="A2547" s="17"/>
      <c r="B2547" s="18"/>
      <c r="C2547" s="18"/>
      <c r="D2547" s="18"/>
      <c r="E2547" s="10" t="str">
        <f>IF(B2547="","",IFERROR(INDEX(Harytlar!$C$5:$C$44,MATCH(B2547,Harytlar!$A$5:$A$44,0)),""))</f>
        <v/>
      </c>
      <c r="F2547" s="10" t="str">
        <f t="shared" si="39"/>
        <v/>
      </c>
      <c r="G2547" s="10" t="str">
        <f>IF(OR(C2547="",B2547=""),"",IFERROR(C2547*INDEX(Harytlar!$D$5:$D$44,MATCH(B2547,Harytlar!$A$5:$A$44,0)),""))</f>
        <v/>
      </c>
    </row>
    <row r="2548" spans="1:7" x14ac:dyDescent="0.3">
      <c r="A2548" s="17"/>
      <c r="B2548" s="18"/>
      <c r="C2548" s="18"/>
      <c r="D2548" s="18"/>
      <c r="E2548" s="10" t="str">
        <f>IF(B2548="","",IFERROR(INDEX(Harytlar!$C$5:$C$44,MATCH(B2548,Harytlar!$A$5:$A$44,0)),""))</f>
        <v/>
      </c>
      <c r="F2548" s="10" t="str">
        <f t="shared" si="39"/>
        <v/>
      </c>
      <c r="G2548" s="10" t="str">
        <f>IF(OR(C2548="",B2548=""),"",IFERROR(C2548*INDEX(Harytlar!$D$5:$D$44,MATCH(B2548,Harytlar!$A$5:$A$44,0)),""))</f>
        <v/>
      </c>
    </row>
    <row r="2549" spans="1:7" x14ac:dyDescent="0.3">
      <c r="A2549" s="17"/>
      <c r="B2549" s="18"/>
      <c r="C2549" s="18"/>
      <c r="D2549" s="18"/>
      <c r="E2549" s="10" t="str">
        <f>IF(B2549="","",IFERROR(INDEX(Harytlar!$C$5:$C$44,MATCH(B2549,Harytlar!$A$5:$A$44,0)),""))</f>
        <v/>
      </c>
      <c r="F2549" s="10" t="str">
        <f t="shared" si="39"/>
        <v/>
      </c>
      <c r="G2549" s="10" t="str">
        <f>IF(OR(C2549="",B2549=""),"",IFERROR(C2549*INDEX(Harytlar!$D$5:$D$44,MATCH(B2549,Harytlar!$A$5:$A$44,0)),""))</f>
        <v/>
      </c>
    </row>
    <row r="2550" spans="1:7" x14ac:dyDescent="0.3">
      <c r="A2550" s="17"/>
      <c r="B2550" s="18"/>
      <c r="C2550" s="18"/>
      <c r="D2550" s="18"/>
      <c r="E2550" s="10" t="str">
        <f>IF(B2550="","",IFERROR(INDEX(Harytlar!$C$5:$C$44,MATCH(B2550,Harytlar!$A$5:$A$44,0)),""))</f>
        <v/>
      </c>
      <c r="F2550" s="10" t="str">
        <f t="shared" si="39"/>
        <v/>
      </c>
      <c r="G2550" s="10" t="str">
        <f>IF(OR(C2550="",B2550=""),"",IFERROR(C2550*INDEX(Harytlar!$D$5:$D$44,MATCH(B2550,Harytlar!$A$5:$A$44,0)),""))</f>
        <v/>
      </c>
    </row>
    <row r="2551" spans="1:7" x14ac:dyDescent="0.3">
      <c r="A2551" s="17"/>
      <c r="B2551" s="18"/>
      <c r="C2551" s="18"/>
      <c r="D2551" s="18"/>
      <c r="E2551" s="10" t="str">
        <f>IF(B2551="","",IFERROR(INDEX(Harytlar!$C$5:$C$44,MATCH(B2551,Harytlar!$A$5:$A$44,0)),""))</f>
        <v/>
      </c>
      <c r="F2551" s="10" t="str">
        <f t="shared" si="39"/>
        <v/>
      </c>
      <c r="G2551" s="10" t="str">
        <f>IF(OR(C2551="",B2551=""),"",IFERROR(C2551*INDEX(Harytlar!$D$5:$D$44,MATCH(B2551,Harytlar!$A$5:$A$44,0)),""))</f>
        <v/>
      </c>
    </row>
    <row r="2552" spans="1:7" x14ac:dyDescent="0.3">
      <c r="A2552" s="17"/>
      <c r="B2552" s="18"/>
      <c r="C2552" s="18"/>
      <c r="D2552" s="18"/>
      <c r="E2552" s="10" t="str">
        <f>IF(B2552="","",IFERROR(INDEX(Harytlar!$C$5:$C$44,MATCH(B2552,Harytlar!$A$5:$A$44,0)),""))</f>
        <v/>
      </c>
      <c r="F2552" s="10" t="str">
        <f t="shared" si="39"/>
        <v/>
      </c>
      <c r="G2552" s="10" t="str">
        <f>IF(OR(C2552="",B2552=""),"",IFERROR(C2552*INDEX(Harytlar!$D$5:$D$44,MATCH(B2552,Harytlar!$A$5:$A$44,0)),""))</f>
        <v/>
      </c>
    </row>
    <row r="2553" spans="1:7" x14ac:dyDescent="0.3">
      <c r="A2553" s="17"/>
      <c r="B2553" s="18"/>
      <c r="C2553" s="18"/>
      <c r="D2553" s="18"/>
      <c r="E2553" s="10" t="str">
        <f>IF(B2553="","",IFERROR(INDEX(Harytlar!$C$5:$C$44,MATCH(B2553,Harytlar!$A$5:$A$44,0)),""))</f>
        <v/>
      </c>
      <c r="F2553" s="10" t="str">
        <f t="shared" si="39"/>
        <v/>
      </c>
      <c r="G2553" s="10" t="str">
        <f>IF(OR(C2553="",B2553=""),"",IFERROR(C2553*INDEX(Harytlar!$D$5:$D$44,MATCH(B2553,Harytlar!$A$5:$A$44,0)),""))</f>
        <v/>
      </c>
    </row>
    <row r="2554" spans="1:7" x14ac:dyDescent="0.3">
      <c r="A2554" s="17"/>
      <c r="B2554" s="18"/>
      <c r="C2554" s="18"/>
      <c r="D2554" s="18"/>
      <c r="E2554" s="10" t="str">
        <f>IF(B2554="","",IFERROR(INDEX(Harytlar!$C$5:$C$44,MATCH(B2554,Harytlar!$A$5:$A$44,0)),""))</f>
        <v/>
      </c>
      <c r="F2554" s="10" t="str">
        <f t="shared" si="39"/>
        <v/>
      </c>
      <c r="G2554" s="10" t="str">
        <f>IF(OR(C2554="",B2554=""),"",IFERROR(C2554*INDEX(Harytlar!$D$5:$D$44,MATCH(B2554,Harytlar!$A$5:$A$44,0)),""))</f>
        <v/>
      </c>
    </row>
    <row r="2555" spans="1:7" x14ac:dyDescent="0.3">
      <c r="A2555" s="17"/>
      <c r="B2555" s="18"/>
      <c r="C2555" s="18"/>
      <c r="D2555" s="18"/>
      <c r="E2555" s="10" t="str">
        <f>IF(B2555="","",IFERROR(INDEX(Harytlar!$C$5:$C$44,MATCH(B2555,Harytlar!$A$5:$A$44,0)),""))</f>
        <v/>
      </c>
      <c r="F2555" s="10" t="str">
        <f t="shared" si="39"/>
        <v/>
      </c>
      <c r="G2555" s="10" t="str">
        <f>IF(OR(C2555="",B2555=""),"",IFERROR(C2555*INDEX(Harytlar!$D$5:$D$44,MATCH(B2555,Harytlar!$A$5:$A$44,0)),""))</f>
        <v/>
      </c>
    </row>
    <row r="2556" spans="1:7" x14ac:dyDescent="0.3">
      <c r="A2556" s="17"/>
      <c r="B2556" s="18"/>
      <c r="C2556" s="18"/>
      <c r="D2556" s="18"/>
      <c r="E2556" s="10" t="str">
        <f>IF(B2556="","",IFERROR(INDEX(Harytlar!$C$5:$C$44,MATCH(B2556,Harytlar!$A$5:$A$44,0)),""))</f>
        <v/>
      </c>
      <c r="F2556" s="10" t="str">
        <f t="shared" si="39"/>
        <v/>
      </c>
      <c r="G2556" s="10" t="str">
        <f>IF(OR(C2556="",B2556=""),"",IFERROR(C2556*INDEX(Harytlar!$D$5:$D$44,MATCH(B2556,Harytlar!$A$5:$A$44,0)),""))</f>
        <v/>
      </c>
    </row>
    <row r="2557" spans="1:7" x14ac:dyDescent="0.3">
      <c r="A2557" s="17"/>
      <c r="B2557" s="18"/>
      <c r="C2557" s="18"/>
      <c r="D2557" s="18"/>
      <c r="E2557" s="10" t="str">
        <f>IF(B2557="","",IFERROR(INDEX(Harytlar!$C$5:$C$44,MATCH(B2557,Harytlar!$A$5:$A$44,0)),""))</f>
        <v/>
      </c>
      <c r="F2557" s="10" t="str">
        <f t="shared" si="39"/>
        <v/>
      </c>
      <c r="G2557" s="10" t="str">
        <f>IF(OR(C2557="",B2557=""),"",IFERROR(C2557*INDEX(Harytlar!$D$5:$D$44,MATCH(B2557,Harytlar!$A$5:$A$44,0)),""))</f>
        <v/>
      </c>
    </row>
    <row r="2558" spans="1:7" x14ac:dyDescent="0.3">
      <c r="A2558" s="17"/>
      <c r="B2558" s="18"/>
      <c r="C2558" s="18"/>
      <c r="D2558" s="18"/>
      <c r="E2558" s="10" t="str">
        <f>IF(B2558="","",IFERROR(INDEX(Harytlar!$C$5:$C$44,MATCH(B2558,Harytlar!$A$5:$A$44,0)),""))</f>
        <v/>
      </c>
      <c r="F2558" s="10" t="str">
        <f t="shared" si="39"/>
        <v/>
      </c>
      <c r="G2558" s="10" t="str">
        <f>IF(OR(C2558="",B2558=""),"",IFERROR(C2558*INDEX(Harytlar!$D$5:$D$44,MATCH(B2558,Harytlar!$A$5:$A$44,0)),""))</f>
        <v/>
      </c>
    </row>
    <row r="2559" spans="1:7" x14ac:dyDescent="0.3">
      <c r="A2559" s="17"/>
      <c r="B2559" s="18"/>
      <c r="C2559" s="18"/>
      <c r="D2559" s="18"/>
      <c r="E2559" s="10" t="str">
        <f>IF(B2559="","",IFERROR(INDEX(Harytlar!$C$5:$C$44,MATCH(B2559,Harytlar!$A$5:$A$44,0)),""))</f>
        <v/>
      </c>
      <c r="F2559" s="10" t="str">
        <f t="shared" si="39"/>
        <v/>
      </c>
      <c r="G2559" s="10" t="str">
        <f>IF(OR(C2559="",B2559=""),"",IFERROR(C2559*INDEX(Harytlar!$D$5:$D$44,MATCH(B2559,Harytlar!$A$5:$A$44,0)),""))</f>
        <v/>
      </c>
    </row>
    <row r="2560" spans="1:7" x14ac:dyDescent="0.3">
      <c r="A2560" s="17"/>
      <c r="B2560" s="18"/>
      <c r="C2560" s="18"/>
      <c r="D2560" s="18"/>
      <c r="E2560" s="10" t="str">
        <f>IF(B2560="","",IFERROR(INDEX(Harytlar!$C$5:$C$44,MATCH(B2560,Harytlar!$A$5:$A$44,0)),""))</f>
        <v/>
      </c>
      <c r="F2560" s="10" t="str">
        <f t="shared" si="39"/>
        <v/>
      </c>
      <c r="G2560" s="10" t="str">
        <f>IF(OR(C2560="",B2560=""),"",IFERROR(C2560*INDEX(Harytlar!$D$5:$D$44,MATCH(B2560,Harytlar!$A$5:$A$44,0)),""))</f>
        <v/>
      </c>
    </row>
    <row r="2561" spans="1:7" x14ac:dyDescent="0.3">
      <c r="A2561" s="17"/>
      <c r="B2561" s="18"/>
      <c r="C2561" s="18"/>
      <c r="D2561" s="18"/>
      <c r="E2561" s="10" t="str">
        <f>IF(B2561="","",IFERROR(INDEX(Harytlar!$C$5:$C$44,MATCH(B2561,Harytlar!$A$5:$A$44,0)),""))</f>
        <v/>
      </c>
      <c r="F2561" s="10" t="str">
        <f t="shared" si="39"/>
        <v/>
      </c>
      <c r="G2561" s="10" t="str">
        <f>IF(OR(C2561="",B2561=""),"",IFERROR(C2561*INDEX(Harytlar!$D$5:$D$44,MATCH(B2561,Harytlar!$A$5:$A$44,0)),""))</f>
        <v/>
      </c>
    </row>
    <row r="2562" spans="1:7" x14ac:dyDescent="0.3">
      <c r="A2562" s="17"/>
      <c r="B2562" s="18"/>
      <c r="C2562" s="18"/>
      <c r="D2562" s="18"/>
      <c r="E2562" s="10" t="str">
        <f>IF(B2562="","",IFERROR(INDEX(Harytlar!$C$5:$C$44,MATCH(B2562,Harytlar!$A$5:$A$44,0)),""))</f>
        <v/>
      </c>
      <c r="F2562" s="10" t="str">
        <f t="shared" si="39"/>
        <v/>
      </c>
      <c r="G2562" s="10" t="str">
        <f>IF(OR(C2562="",B2562=""),"",IFERROR(C2562*INDEX(Harytlar!$D$5:$D$44,MATCH(B2562,Harytlar!$A$5:$A$44,0)),""))</f>
        <v/>
      </c>
    </row>
    <row r="2563" spans="1:7" x14ac:dyDescent="0.3">
      <c r="A2563" s="17"/>
      <c r="B2563" s="18"/>
      <c r="C2563" s="18"/>
      <c r="D2563" s="18"/>
      <c r="E2563" s="10" t="str">
        <f>IF(B2563="","",IFERROR(INDEX(Harytlar!$C$5:$C$44,MATCH(B2563,Harytlar!$A$5:$A$44,0)),""))</f>
        <v/>
      </c>
      <c r="F2563" s="10" t="str">
        <f t="shared" si="39"/>
        <v/>
      </c>
      <c r="G2563" s="10" t="str">
        <f>IF(OR(C2563="",B2563=""),"",IFERROR(C2563*INDEX(Harytlar!$D$5:$D$44,MATCH(B2563,Harytlar!$A$5:$A$44,0)),""))</f>
        <v/>
      </c>
    </row>
    <row r="2564" spans="1:7" x14ac:dyDescent="0.3">
      <c r="A2564" s="17"/>
      <c r="B2564" s="18"/>
      <c r="C2564" s="18"/>
      <c r="D2564" s="18"/>
      <c r="E2564" s="10" t="str">
        <f>IF(B2564="","",IFERROR(INDEX(Harytlar!$C$5:$C$44,MATCH(B2564,Harytlar!$A$5:$A$44,0)),""))</f>
        <v/>
      </c>
      <c r="F2564" s="10" t="str">
        <f t="shared" si="39"/>
        <v/>
      </c>
      <c r="G2564" s="10" t="str">
        <f>IF(OR(C2564="",B2564=""),"",IFERROR(C2564*INDEX(Harytlar!$D$5:$D$44,MATCH(B2564,Harytlar!$A$5:$A$44,0)),""))</f>
        <v/>
      </c>
    </row>
    <row r="2565" spans="1:7" x14ac:dyDescent="0.3">
      <c r="A2565" s="17"/>
      <c r="B2565" s="18"/>
      <c r="C2565" s="18"/>
      <c r="D2565" s="18"/>
      <c r="E2565" s="10" t="str">
        <f>IF(B2565="","",IFERROR(INDEX(Harytlar!$C$5:$C$44,MATCH(B2565,Harytlar!$A$5:$A$44,0)),""))</f>
        <v/>
      </c>
      <c r="F2565" s="10" t="str">
        <f t="shared" si="39"/>
        <v/>
      </c>
      <c r="G2565" s="10" t="str">
        <f>IF(OR(C2565="",B2565=""),"",IFERROR(C2565*INDEX(Harytlar!$D$5:$D$44,MATCH(B2565,Harytlar!$A$5:$A$44,0)),""))</f>
        <v/>
      </c>
    </row>
    <row r="2566" spans="1:7" x14ac:dyDescent="0.3">
      <c r="A2566" s="17"/>
      <c r="B2566" s="18"/>
      <c r="C2566" s="18"/>
      <c r="D2566" s="18"/>
      <c r="E2566" s="10" t="str">
        <f>IF(B2566="","",IFERROR(INDEX(Harytlar!$C$5:$C$44,MATCH(B2566,Harytlar!$A$5:$A$44,0)),""))</f>
        <v/>
      </c>
      <c r="F2566" s="10" t="str">
        <f t="shared" ref="F2566:F2629" si="40">IF(OR(C2566="",E2566=""),"",C2566*E2566)</f>
        <v/>
      </c>
      <c r="G2566" s="10" t="str">
        <f>IF(OR(C2566="",B2566=""),"",IFERROR(C2566*INDEX(Harytlar!$D$5:$D$44,MATCH(B2566,Harytlar!$A$5:$A$44,0)),""))</f>
        <v/>
      </c>
    </row>
    <row r="2567" spans="1:7" x14ac:dyDescent="0.3">
      <c r="A2567" s="17"/>
      <c r="B2567" s="18"/>
      <c r="C2567" s="18"/>
      <c r="D2567" s="18"/>
      <c r="E2567" s="10" t="str">
        <f>IF(B2567="","",IFERROR(INDEX(Harytlar!$C$5:$C$44,MATCH(B2567,Harytlar!$A$5:$A$44,0)),""))</f>
        <v/>
      </c>
      <c r="F2567" s="10" t="str">
        <f t="shared" si="40"/>
        <v/>
      </c>
      <c r="G2567" s="10" t="str">
        <f>IF(OR(C2567="",B2567=""),"",IFERROR(C2567*INDEX(Harytlar!$D$5:$D$44,MATCH(B2567,Harytlar!$A$5:$A$44,0)),""))</f>
        <v/>
      </c>
    </row>
    <row r="2568" spans="1:7" x14ac:dyDescent="0.3">
      <c r="A2568" s="17"/>
      <c r="B2568" s="18"/>
      <c r="C2568" s="18"/>
      <c r="D2568" s="18"/>
      <c r="E2568" s="10" t="str">
        <f>IF(B2568="","",IFERROR(INDEX(Harytlar!$C$5:$C$44,MATCH(B2568,Harytlar!$A$5:$A$44,0)),""))</f>
        <v/>
      </c>
      <c r="F2568" s="10" t="str">
        <f t="shared" si="40"/>
        <v/>
      </c>
      <c r="G2568" s="10" t="str">
        <f>IF(OR(C2568="",B2568=""),"",IFERROR(C2568*INDEX(Harytlar!$D$5:$D$44,MATCH(B2568,Harytlar!$A$5:$A$44,0)),""))</f>
        <v/>
      </c>
    </row>
    <row r="2569" spans="1:7" x14ac:dyDescent="0.3">
      <c r="A2569" s="17"/>
      <c r="B2569" s="18"/>
      <c r="C2569" s="18"/>
      <c r="D2569" s="18"/>
      <c r="E2569" s="10" t="str">
        <f>IF(B2569="","",IFERROR(INDEX(Harytlar!$C$5:$C$44,MATCH(B2569,Harytlar!$A$5:$A$44,0)),""))</f>
        <v/>
      </c>
      <c r="F2569" s="10" t="str">
        <f t="shared" si="40"/>
        <v/>
      </c>
      <c r="G2569" s="10" t="str">
        <f>IF(OR(C2569="",B2569=""),"",IFERROR(C2569*INDEX(Harytlar!$D$5:$D$44,MATCH(B2569,Harytlar!$A$5:$A$44,0)),""))</f>
        <v/>
      </c>
    </row>
    <row r="2570" spans="1:7" x14ac:dyDescent="0.3">
      <c r="A2570" s="17"/>
      <c r="B2570" s="18"/>
      <c r="C2570" s="18"/>
      <c r="D2570" s="18"/>
      <c r="E2570" s="10" t="str">
        <f>IF(B2570="","",IFERROR(INDEX(Harytlar!$C$5:$C$44,MATCH(B2570,Harytlar!$A$5:$A$44,0)),""))</f>
        <v/>
      </c>
      <c r="F2570" s="10" t="str">
        <f t="shared" si="40"/>
        <v/>
      </c>
      <c r="G2570" s="10" t="str">
        <f>IF(OR(C2570="",B2570=""),"",IFERROR(C2570*INDEX(Harytlar!$D$5:$D$44,MATCH(B2570,Harytlar!$A$5:$A$44,0)),""))</f>
        <v/>
      </c>
    </row>
    <row r="2571" spans="1:7" x14ac:dyDescent="0.3">
      <c r="A2571" s="17"/>
      <c r="B2571" s="18"/>
      <c r="C2571" s="18"/>
      <c r="D2571" s="18"/>
      <c r="E2571" s="10" t="str">
        <f>IF(B2571="","",IFERROR(INDEX(Harytlar!$C$5:$C$44,MATCH(B2571,Harytlar!$A$5:$A$44,0)),""))</f>
        <v/>
      </c>
      <c r="F2571" s="10" t="str">
        <f t="shared" si="40"/>
        <v/>
      </c>
      <c r="G2571" s="10" t="str">
        <f>IF(OR(C2571="",B2571=""),"",IFERROR(C2571*INDEX(Harytlar!$D$5:$D$44,MATCH(B2571,Harytlar!$A$5:$A$44,0)),""))</f>
        <v/>
      </c>
    </row>
    <row r="2572" spans="1:7" x14ac:dyDescent="0.3">
      <c r="A2572" s="17"/>
      <c r="B2572" s="18"/>
      <c r="C2572" s="18"/>
      <c r="D2572" s="18"/>
      <c r="E2572" s="10" t="str">
        <f>IF(B2572="","",IFERROR(INDEX(Harytlar!$C$5:$C$44,MATCH(B2572,Harytlar!$A$5:$A$44,0)),""))</f>
        <v/>
      </c>
      <c r="F2572" s="10" t="str">
        <f t="shared" si="40"/>
        <v/>
      </c>
      <c r="G2572" s="10" t="str">
        <f>IF(OR(C2572="",B2572=""),"",IFERROR(C2572*INDEX(Harytlar!$D$5:$D$44,MATCH(B2572,Harytlar!$A$5:$A$44,0)),""))</f>
        <v/>
      </c>
    </row>
    <row r="2573" spans="1:7" x14ac:dyDescent="0.3">
      <c r="A2573" s="17"/>
      <c r="B2573" s="18"/>
      <c r="C2573" s="18"/>
      <c r="D2573" s="18"/>
      <c r="E2573" s="10" t="str">
        <f>IF(B2573="","",IFERROR(INDEX(Harytlar!$C$5:$C$44,MATCH(B2573,Harytlar!$A$5:$A$44,0)),""))</f>
        <v/>
      </c>
      <c r="F2573" s="10" t="str">
        <f t="shared" si="40"/>
        <v/>
      </c>
      <c r="G2573" s="10" t="str">
        <f>IF(OR(C2573="",B2573=""),"",IFERROR(C2573*INDEX(Harytlar!$D$5:$D$44,MATCH(B2573,Harytlar!$A$5:$A$44,0)),""))</f>
        <v/>
      </c>
    </row>
    <row r="2574" spans="1:7" x14ac:dyDescent="0.3">
      <c r="A2574" s="17"/>
      <c r="B2574" s="18"/>
      <c r="C2574" s="18"/>
      <c r="D2574" s="18"/>
      <c r="E2574" s="10" t="str">
        <f>IF(B2574="","",IFERROR(INDEX(Harytlar!$C$5:$C$44,MATCH(B2574,Harytlar!$A$5:$A$44,0)),""))</f>
        <v/>
      </c>
      <c r="F2574" s="10" t="str">
        <f t="shared" si="40"/>
        <v/>
      </c>
      <c r="G2574" s="10" t="str">
        <f>IF(OR(C2574="",B2574=""),"",IFERROR(C2574*INDEX(Harytlar!$D$5:$D$44,MATCH(B2574,Harytlar!$A$5:$A$44,0)),""))</f>
        <v/>
      </c>
    </row>
    <row r="2575" spans="1:7" x14ac:dyDescent="0.3">
      <c r="A2575" s="17"/>
      <c r="B2575" s="18"/>
      <c r="C2575" s="18"/>
      <c r="D2575" s="18"/>
      <c r="E2575" s="10" t="str">
        <f>IF(B2575="","",IFERROR(INDEX(Harytlar!$C$5:$C$44,MATCH(B2575,Harytlar!$A$5:$A$44,0)),""))</f>
        <v/>
      </c>
      <c r="F2575" s="10" t="str">
        <f t="shared" si="40"/>
        <v/>
      </c>
      <c r="G2575" s="10" t="str">
        <f>IF(OR(C2575="",B2575=""),"",IFERROR(C2575*INDEX(Harytlar!$D$5:$D$44,MATCH(B2575,Harytlar!$A$5:$A$44,0)),""))</f>
        <v/>
      </c>
    </row>
    <row r="2576" spans="1:7" x14ac:dyDescent="0.3">
      <c r="A2576" s="17"/>
      <c r="B2576" s="18"/>
      <c r="C2576" s="18"/>
      <c r="D2576" s="18"/>
      <c r="E2576" s="10" t="str">
        <f>IF(B2576="","",IFERROR(INDEX(Harytlar!$C$5:$C$44,MATCH(B2576,Harytlar!$A$5:$A$44,0)),""))</f>
        <v/>
      </c>
      <c r="F2576" s="10" t="str">
        <f t="shared" si="40"/>
        <v/>
      </c>
      <c r="G2576" s="10" t="str">
        <f>IF(OR(C2576="",B2576=""),"",IFERROR(C2576*INDEX(Harytlar!$D$5:$D$44,MATCH(B2576,Harytlar!$A$5:$A$44,0)),""))</f>
        <v/>
      </c>
    </row>
    <row r="2577" spans="1:7" x14ac:dyDescent="0.3">
      <c r="A2577" s="17"/>
      <c r="B2577" s="18"/>
      <c r="C2577" s="18"/>
      <c r="D2577" s="18"/>
      <c r="E2577" s="10" t="str">
        <f>IF(B2577="","",IFERROR(INDEX(Harytlar!$C$5:$C$44,MATCH(B2577,Harytlar!$A$5:$A$44,0)),""))</f>
        <v/>
      </c>
      <c r="F2577" s="10" t="str">
        <f t="shared" si="40"/>
        <v/>
      </c>
      <c r="G2577" s="10" t="str">
        <f>IF(OR(C2577="",B2577=""),"",IFERROR(C2577*INDEX(Harytlar!$D$5:$D$44,MATCH(B2577,Harytlar!$A$5:$A$44,0)),""))</f>
        <v/>
      </c>
    </row>
    <row r="2578" spans="1:7" x14ac:dyDescent="0.3">
      <c r="A2578" s="17"/>
      <c r="B2578" s="18"/>
      <c r="C2578" s="18"/>
      <c r="D2578" s="18"/>
      <c r="E2578" s="10" t="str">
        <f>IF(B2578="","",IFERROR(INDEX(Harytlar!$C$5:$C$44,MATCH(B2578,Harytlar!$A$5:$A$44,0)),""))</f>
        <v/>
      </c>
      <c r="F2578" s="10" t="str">
        <f t="shared" si="40"/>
        <v/>
      </c>
      <c r="G2578" s="10" t="str">
        <f>IF(OR(C2578="",B2578=""),"",IFERROR(C2578*INDEX(Harytlar!$D$5:$D$44,MATCH(B2578,Harytlar!$A$5:$A$44,0)),""))</f>
        <v/>
      </c>
    </row>
    <row r="2579" spans="1:7" x14ac:dyDescent="0.3">
      <c r="A2579" s="17"/>
      <c r="B2579" s="18"/>
      <c r="C2579" s="18"/>
      <c r="D2579" s="18"/>
      <c r="E2579" s="10" t="str">
        <f>IF(B2579="","",IFERROR(INDEX(Harytlar!$C$5:$C$44,MATCH(B2579,Harytlar!$A$5:$A$44,0)),""))</f>
        <v/>
      </c>
      <c r="F2579" s="10" t="str">
        <f t="shared" si="40"/>
        <v/>
      </c>
      <c r="G2579" s="10" t="str">
        <f>IF(OR(C2579="",B2579=""),"",IFERROR(C2579*INDEX(Harytlar!$D$5:$D$44,MATCH(B2579,Harytlar!$A$5:$A$44,0)),""))</f>
        <v/>
      </c>
    </row>
    <row r="2580" spans="1:7" x14ac:dyDescent="0.3">
      <c r="A2580" s="17"/>
      <c r="B2580" s="18"/>
      <c r="C2580" s="18"/>
      <c r="D2580" s="18"/>
      <c r="E2580" s="10" t="str">
        <f>IF(B2580="","",IFERROR(INDEX(Harytlar!$C$5:$C$44,MATCH(B2580,Harytlar!$A$5:$A$44,0)),""))</f>
        <v/>
      </c>
      <c r="F2580" s="10" t="str">
        <f t="shared" si="40"/>
        <v/>
      </c>
      <c r="G2580" s="10" t="str">
        <f>IF(OR(C2580="",B2580=""),"",IFERROR(C2580*INDEX(Harytlar!$D$5:$D$44,MATCH(B2580,Harytlar!$A$5:$A$44,0)),""))</f>
        <v/>
      </c>
    </row>
    <row r="2581" spans="1:7" x14ac:dyDescent="0.3">
      <c r="A2581" s="17"/>
      <c r="B2581" s="18"/>
      <c r="C2581" s="18"/>
      <c r="D2581" s="18"/>
      <c r="E2581" s="10" t="str">
        <f>IF(B2581="","",IFERROR(INDEX(Harytlar!$C$5:$C$44,MATCH(B2581,Harytlar!$A$5:$A$44,0)),""))</f>
        <v/>
      </c>
      <c r="F2581" s="10" t="str">
        <f t="shared" si="40"/>
        <v/>
      </c>
      <c r="G2581" s="10" t="str">
        <f>IF(OR(C2581="",B2581=""),"",IFERROR(C2581*INDEX(Harytlar!$D$5:$D$44,MATCH(B2581,Harytlar!$A$5:$A$44,0)),""))</f>
        <v/>
      </c>
    </row>
    <row r="2582" spans="1:7" x14ac:dyDescent="0.3">
      <c r="A2582" s="17"/>
      <c r="B2582" s="18"/>
      <c r="C2582" s="18"/>
      <c r="D2582" s="18"/>
      <c r="E2582" s="10" t="str">
        <f>IF(B2582="","",IFERROR(INDEX(Harytlar!$C$5:$C$44,MATCH(B2582,Harytlar!$A$5:$A$44,0)),""))</f>
        <v/>
      </c>
      <c r="F2582" s="10" t="str">
        <f t="shared" si="40"/>
        <v/>
      </c>
      <c r="G2582" s="10" t="str">
        <f>IF(OR(C2582="",B2582=""),"",IFERROR(C2582*INDEX(Harytlar!$D$5:$D$44,MATCH(B2582,Harytlar!$A$5:$A$44,0)),""))</f>
        <v/>
      </c>
    </row>
    <row r="2583" spans="1:7" x14ac:dyDescent="0.3">
      <c r="A2583" s="17"/>
      <c r="B2583" s="18"/>
      <c r="C2583" s="18"/>
      <c r="D2583" s="18"/>
      <c r="E2583" s="10" t="str">
        <f>IF(B2583="","",IFERROR(INDEX(Harytlar!$C$5:$C$44,MATCH(B2583,Harytlar!$A$5:$A$44,0)),""))</f>
        <v/>
      </c>
      <c r="F2583" s="10" t="str">
        <f t="shared" si="40"/>
        <v/>
      </c>
      <c r="G2583" s="10" t="str">
        <f>IF(OR(C2583="",B2583=""),"",IFERROR(C2583*INDEX(Harytlar!$D$5:$D$44,MATCH(B2583,Harytlar!$A$5:$A$44,0)),""))</f>
        <v/>
      </c>
    </row>
    <row r="2584" spans="1:7" x14ac:dyDescent="0.3">
      <c r="A2584" s="17"/>
      <c r="B2584" s="18"/>
      <c r="C2584" s="18"/>
      <c r="D2584" s="18"/>
      <c r="E2584" s="10" t="str">
        <f>IF(B2584="","",IFERROR(INDEX(Harytlar!$C$5:$C$44,MATCH(B2584,Harytlar!$A$5:$A$44,0)),""))</f>
        <v/>
      </c>
      <c r="F2584" s="10" t="str">
        <f t="shared" si="40"/>
        <v/>
      </c>
      <c r="G2584" s="10" t="str">
        <f>IF(OR(C2584="",B2584=""),"",IFERROR(C2584*INDEX(Harytlar!$D$5:$D$44,MATCH(B2584,Harytlar!$A$5:$A$44,0)),""))</f>
        <v/>
      </c>
    </row>
    <row r="2585" spans="1:7" x14ac:dyDescent="0.3">
      <c r="A2585" s="17"/>
      <c r="B2585" s="18"/>
      <c r="C2585" s="18"/>
      <c r="D2585" s="18"/>
      <c r="E2585" s="10" t="str">
        <f>IF(B2585="","",IFERROR(INDEX(Harytlar!$C$5:$C$44,MATCH(B2585,Harytlar!$A$5:$A$44,0)),""))</f>
        <v/>
      </c>
      <c r="F2585" s="10" t="str">
        <f t="shared" si="40"/>
        <v/>
      </c>
      <c r="G2585" s="10" t="str">
        <f>IF(OR(C2585="",B2585=""),"",IFERROR(C2585*INDEX(Harytlar!$D$5:$D$44,MATCH(B2585,Harytlar!$A$5:$A$44,0)),""))</f>
        <v/>
      </c>
    </row>
    <row r="2586" spans="1:7" x14ac:dyDescent="0.3">
      <c r="A2586" s="17"/>
      <c r="B2586" s="18"/>
      <c r="C2586" s="18"/>
      <c r="D2586" s="18"/>
      <c r="E2586" s="10" t="str">
        <f>IF(B2586="","",IFERROR(INDEX(Harytlar!$C$5:$C$44,MATCH(B2586,Harytlar!$A$5:$A$44,0)),""))</f>
        <v/>
      </c>
      <c r="F2586" s="10" t="str">
        <f t="shared" si="40"/>
        <v/>
      </c>
      <c r="G2586" s="10" t="str">
        <f>IF(OR(C2586="",B2586=""),"",IFERROR(C2586*INDEX(Harytlar!$D$5:$D$44,MATCH(B2586,Harytlar!$A$5:$A$44,0)),""))</f>
        <v/>
      </c>
    </row>
    <row r="2587" spans="1:7" x14ac:dyDescent="0.3">
      <c r="A2587" s="17"/>
      <c r="B2587" s="18"/>
      <c r="C2587" s="18"/>
      <c r="D2587" s="18"/>
      <c r="E2587" s="10" t="str">
        <f>IF(B2587="","",IFERROR(INDEX(Harytlar!$C$5:$C$44,MATCH(B2587,Harytlar!$A$5:$A$44,0)),""))</f>
        <v/>
      </c>
      <c r="F2587" s="10" t="str">
        <f t="shared" si="40"/>
        <v/>
      </c>
      <c r="G2587" s="10" t="str">
        <f>IF(OR(C2587="",B2587=""),"",IFERROR(C2587*INDEX(Harytlar!$D$5:$D$44,MATCH(B2587,Harytlar!$A$5:$A$44,0)),""))</f>
        <v/>
      </c>
    </row>
    <row r="2588" spans="1:7" x14ac:dyDescent="0.3">
      <c r="A2588" s="17"/>
      <c r="B2588" s="18"/>
      <c r="C2588" s="18"/>
      <c r="D2588" s="18"/>
      <c r="E2588" s="10" t="str">
        <f>IF(B2588="","",IFERROR(INDEX(Harytlar!$C$5:$C$44,MATCH(B2588,Harytlar!$A$5:$A$44,0)),""))</f>
        <v/>
      </c>
      <c r="F2588" s="10" t="str">
        <f t="shared" si="40"/>
        <v/>
      </c>
      <c r="G2588" s="10" t="str">
        <f>IF(OR(C2588="",B2588=""),"",IFERROR(C2588*INDEX(Harytlar!$D$5:$D$44,MATCH(B2588,Harytlar!$A$5:$A$44,0)),""))</f>
        <v/>
      </c>
    </row>
    <row r="2589" spans="1:7" x14ac:dyDescent="0.3">
      <c r="A2589" s="17"/>
      <c r="B2589" s="18"/>
      <c r="C2589" s="18"/>
      <c r="D2589" s="18"/>
      <c r="E2589" s="10" t="str">
        <f>IF(B2589="","",IFERROR(INDEX(Harytlar!$C$5:$C$44,MATCH(B2589,Harytlar!$A$5:$A$44,0)),""))</f>
        <v/>
      </c>
      <c r="F2589" s="10" t="str">
        <f t="shared" si="40"/>
        <v/>
      </c>
      <c r="G2589" s="10" t="str">
        <f>IF(OR(C2589="",B2589=""),"",IFERROR(C2589*INDEX(Harytlar!$D$5:$D$44,MATCH(B2589,Harytlar!$A$5:$A$44,0)),""))</f>
        <v/>
      </c>
    </row>
    <row r="2590" spans="1:7" x14ac:dyDescent="0.3">
      <c r="A2590" s="17"/>
      <c r="B2590" s="18"/>
      <c r="C2590" s="18"/>
      <c r="D2590" s="18"/>
      <c r="E2590" s="10" t="str">
        <f>IF(B2590="","",IFERROR(INDEX(Harytlar!$C$5:$C$44,MATCH(B2590,Harytlar!$A$5:$A$44,0)),""))</f>
        <v/>
      </c>
      <c r="F2590" s="10" t="str">
        <f t="shared" si="40"/>
        <v/>
      </c>
      <c r="G2590" s="10" t="str">
        <f>IF(OR(C2590="",B2590=""),"",IFERROR(C2590*INDEX(Harytlar!$D$5:$D$44,MATCH(B2590,Harytlar!$A$5:$A$44,0)),""))</f>
        <v/>
      </c>
    </row>
    <row r="2591" spans="1:7" x14ac:dyDescent="0.3">
      <c r="A2591" s="17"/>
      <c r="B2591" s="18"/>
      <c r="C2591" s="18"/>
      <c r="D2591" s="18"/>
      <c r="E2591" s="10" t="str">
        <f>IF(B2591="","",IFERROR(INDEX(Harytlar!$C$5:$C$44,MATCH(B2591,Harytlar!$A$5:$A$44,0)),""))</f>
        <v/>
      </c>
      <c r="F2591" s="10" t="str">
        <f t="shared" si="40"/>
        <v/>
      </c>
      <c r="G2591" s="10" t="str">
        <f>IF(OR(C2591="",B2591=""),"",IFERROR(C2591*INDEX(Harytlar!$D$5:$D$44,MATCH(B2591,Harytlar!$A$5:$A$44,0)),""))</f>
        <v/>
      </c>
    </row>
    <row r="2592" spans="1:7" x14ac:dyDescent="0.3">
      <c r="A2592" s="17"/>
      <c r="B2592" s="18"/>
      <c r="C2592" s="18"/>
      <c r="D2592" s="18"/>
      <c r="E2592" s="10" t="str">
        <f>IF(B2592="","",IFERROR(INDEX(Harytlar!$C$5:$C$44,MATCH(B2592,Harytlar!$A$5:$A$44,0)),""))</f>
        <v/>
      </c>
      <c r="F2592" s="10" t="str">
        <f t="shared" si="40"/>
        <v/>
      </c>
      <c r="G2592" s="10" t="str">
        <f>IF(OR(C2592="",B2592=""),"",IFERROR(C2592*INDEX(Harytlar!$D$5:$D$44,MATCH(B2592,Harytlar!$A$5:$A$44,0)),""))</f>
        <v/>
      </c>
    </row>
    <row r="2593" spans="1:7" x14ac:dyDescent="0.3">
      <c r="A2593" s="17"/>
      <c r="B2593" s="18"/>
      <c r="C2593" s="18"/>
      <c r="D2593" s="18"/>
      <c r="E2593" s="10" t="str">
        <f>IF(B2593="","",IFERROR(INDEX(Harytlar!$C$5:$C$44,MATCH(B2593,Harytlar!$A$5:$A$44,0)),""))</f>
        <v/>
      </c>
      <c r="F2593" s="10" t="str">
        <f t="shared" si="40"/>
        <v/>
      </c>
      <c r="G2593" s="10" t="str">
        <f>IF(OR(C2593="",B2593=""),"",IFERROR(C2593*INDEX(Harytlar!$D$5:$D$44,MATCH(B2593,Harytlar!$A$5:$A$44,0)),""))</f>
        <v/>
      </c>
    </row>
    <row r="2594" spans="1:7" x14ac:dyDescent="0.3">
      <c r="A2594" s="17"/>
      <c r="B2594" s="18"/>
      <c r="C2594" s="18"/>
      <c r="D2594" s="18"/>
      <c r="E2594" s="10" t="str">
        <f>IF(B2594="","",IFERROR(INDEX(Harytlar!$C$5:$C$44,MATCH(B2594,Harytlar!$A$5:$A$44,0)),""))</f>
        <v/>
      </c>
      <c r="F2594" s="10" t="str">
        <f t="shared" si="40"/>
        <v/>
      </c>
      <c r="G2594" s="10" t="str">
        <f>IF(OR(C2594="",B2594=""),"",IFERROR(C2594*INDEX(Harytlar!$D$5:$D$44,MATCH(B2594,Harytlar!$A$5:$A$44,0)),""))</f>
        <v/>
      </c>
    </row>
    <row r="2595" spans="1:7" x14ac:dyDescent="0.3">
      <c r="A2595" s="17"/>
      <c r="B2595" s="18"/>
      <c r="C2595" s="18"/>
      <c r="D2595" s="18"/>
      <c r="E2595" s="10" t="str">
        <f>IF(B2595="","",IFERROR(INDEX(Harytlar!$C$5:$C$44,MATCH(B2595,Harytlar!$A$5:$A$44,0)),""))</f>
        <v/>
      </c>
      <c r="F2595" s="10" t="str">
        <f t="shared" si="40"/>
        <v/>
      </c>
      <c r="G2595" s="10" t="str">
        <f>IF(OR(C2595="",B2595=""),"",IFERROR(C2595*INDEX(Harytlar!$D$5:$D$44,MATCH(B2595,Harytlar!$A$5:$A$44,0)),""))</f>
        <v/>
      </c>
    </row>
    <row r="2596" spans="1:7" x14ac:dyDescent="0.3">
      <c r="A2596" s="17"/>
      <c r="B2596" s="18"/>
      <c r="C2596" s="18"/>
      <c r="D2596" s="18"/>
      <c r="E2596" s="10" t="str">
        <f>IF(B2596="","",IFERROR(INDEX(Harytlar!$C$5:$C$44,MATCH(B2596,Harytlar!$A$5:$A$44,0)),""))</f>
        <v/>
      </c>
      <c r="F2596" s="10" t="str">
        <f t="shared" si="40"/>
        <v/>
      </c>
      <c r="G2596" s="10" t="str">
        <f>IF(OR(C2596="",B2596=""),"",IFERROR(C2596*INDEX(Harytlar!$D$5:$D$44,MATCH(B2596,Harytlar!$A$5:$A$44,0)),""))</f>
        <v/>
      </c>
    </row>
    <row r="2597" spans="1:7" x14ac:dyDescent="0.3">
      <c r="A2597" s="17"/>
      <c r="B2597" s="18"/>
      <c r="C2597" s="18"/>
      <c r="D2597" s="18"/>
      <c r="E2597" s="10" t="str">
        <f>IF(B2597="","",IFERROR(INDEX(Harytlar!$C$5:$C$44,MATCH(B2597,Harytlar!$A$5:$A$44,0)),""))</f>
        <v/>
      </c>
      <c r="F2597" s="10" t="str">
        <f t="shared" si="40"/>
        <v/>
      </c>
      <c r="G2597" s="10" t="str">
        <f>IF(OR(C2597="",B2597=""),"",IFERROR(C2597*INDEX(Harytlar!$D$5:$D$44,MATCH(B2597,Harytlar!$A$5:$A$44,0)),""))</f>
        <v/>
      </c>
    </row>
    <row r="2598" spans="1:7" x14ac:dyDescent="0.3">
      <c r="A2598" s="17"/>
      <c r="B2598" s="18"/>
      <c r="C2598" s="18"/>
      <c r="D2598" s="18"/>
      <c r="E2598" s="10" t="str">
        <f>IF(B2598="","",IFERROR(INDEX(Harytlar!$C$5:$C$44,MATCH(B2598,Harytlar!$A$5:$A$44,0)),""))</f>
        <v/>
      </c>
      <c r="F2598" s="10" t="str">
        <f t="shared" si="40"/>
        <v/>
      </c>
      <c r="G2598" s="10" t="str">
        <f>IF(OR(C2598="",B2598=""),"",IFERROR(C2598*INDEX(Harytlar!$D$5:$D$44,MATCH(B2598,Harytlar!$A$5:$A$44,0)),""))</f>
        <v/>
      </c>
    </row>
    <row r="2599" spans="1:7" x14ac:dyDescent="0.3">
      <c r="A2599" s="17"/>
      <c r="B2599" s="18"/>
      <c r="C2599" s="18"/>
      <c r="D2599" s="18"/>
      <c r="E2599" s="10" t="str">
        <f>IF(B2599="","",IFERROR(INDEX(Harytlar!$C$5:$C$44,MATCH(B2599,Harytlar!$A$5:$A$44,0)),""))</f>
        <v/>
      </c>
      <c r="F2599" s="10" t="str">
        <f t="shared" si="40"/>
        <v/>
      </c>
      <c r="G2599" s="10" t="str">
        <f>IF(OR(C2599="",B2599=""),"",IFERROR(C2599*INDEX(Harytlar!$D$5:$D$44,MATCH(B2599,Harytlar!$A$5:$A$44,0)),""))</f>
        <v/>
      </c>
    </row>
    <row r="2600" spans="1:7" x14ac:dyDescent="0.3">
      <c r="A2600" s="17"/>
      <c r="B2600" s="18"/>
      <c r="C2600" s="18"/>
      <c r="D2600" s="18"/>
      <c r="E2600" s="10" t="str">
        <f>IF(B2600="","",IFERROR(INDEX(Harytlar!$C$5:$C$44,MATCH(B2600,Harytlar!$A$5:$A$44,0)),""))</f>
        <v/>
      </c>
      <c r="F2600" s="10" t="str">
        <f t="shared" si="40"/>
        <v/>
      </c>
      <c r="G2600" s="10" t="str">
        <f>IF(OR(C2600="",B2600=""),"",IFERROR(C2600*INDEX(Harytlar!$D$5:$D$44,MATCH(B2600,Harytlar!$A$5:$A$44,0)),""))</f>
        <v/>
      </c>
    </row>
    <row r="2601" spans="1:7" x14ac:dyDescent="0.3">
      <c r="A2601" s="17"/>
      <c r="B2601" s="18"/>
      <c r="C2601" s="18"/>
      <c r="D2601" s="18"/>
      <c r="E2601" s="10" t="str">
        <f>IF(B2601="","",IFERROR(INDEX(Harytlar!$C$5:$C$44,MATCH(B2601,Harytlar!$A$5:$A$44,0)),""))</f>
        <v/>
      </c>
      <c r="F2601" s="10" t="str">
        <f t="shared" si="40"/>
        <v/>
      </c>
      <c r="G2601" s="10" t="str">
        <f>IF(OR(C2601="",B2601=""),"",IFERROR(C2601*INDEX(Harytlar!$D$5:$D$44,MATCH(B2601,Harytlar!$A$5:$A$44,0)),""))</f>
        <v/>
      </c>
    </row>
    <row r="2602" spans="1:7" x14ac:dyDescent="0.3">
      <c r="A2602" s="17"/>
      <c r="B2602" s="18"/>
      <c r="C2602" s="18"/>
      <c r="D2602" s="18"/>
      <c r="E2602" s="10" t="str">
        <f>IF(B2602="","",IFERROR(INDEX(Harytlar!$C$5:$C$44,MATCH(B2602,Harytlar!$A$5:$A$44,0)),""))</f>
        <v/>
      </c>
      <c r="F2602" s="10" t="str">
        <f t="shared" si="40"/>
        <v/>
      </c>
      <c r="G2602" s="10" t="str">
        <f>IF(OR(C2602="",B2602=""),"",IFERROR(C2602*INDEX(Harytlar!$D$5:$D$44,MATCH(B2602,Harytlar!$A$5:$A$44,0)),""))</f>
        <v/>
      </c>
    </row>
    <row r="2603" spans="1:7" x14ac:dyDescent="0.3">
      <c r="A2603" s="17"/>
      <c r="B2603" s="18"/>
      <c r="C2603" s="18"/>
      <c r="D2603" s="18"/>
      <c r="E2603" s="10" t="str">
        <f>IF(B2603="","",IFERROR(INDEX(Harytlar!$C$5:$C$44,MATCH(B2603,Harytlar!$A$5:$A$44,0)),""))</f>
        <v/>
      </c>
      <c r="F2603" s="10" t="str">
        <f t="shared" si="40"/>
        <v/>
      </c>
      <c r="G2603" s="10" t="str">
        <f>IF(OR(C2603="",B2603=""),"",IFERROR(C2603*INDEX(Harytlar!$D$5:$D$44,MATCH(B2603,Harytlar!$A$5:$A$44,0)),""))</f>
        <v/>
      </c>
    </row>
    <row r="2604" spans="1:7" x14ac:dyDescent="0.3">
      <c r="A2604" s="17"/>
      <c r="B2604" s="18"/>
      <c r="C2604" s="18"/>
      <c r="D2604" s="18"/>
      <c r="E2604" s="10" t="str">
        <f>IF(B2604="","",IFERROR(INDEX(Harytlar!$C$5:$C$44,MATCH(B2604,Harytlar!$A$5:$A$44,0)),""))</f>
        <v/>
      </c>
      <c r="F2604" s="10" t="str">
        <f t="shared" si="40"/>
        <v/>
      </c>
      <c r="G2604" s="10" t="str">
        <f>IF(OR(C2604="",B2604=""),"",IFERROR(C2604*INDEX(Harytlar!$D$5:$D$44,MATCH(B2604,Harytlar!$A$5:$A$44,0)),""))</f>
        <v/>
      </c>
    </row>
    <row r="2605" spans="1:7" x14ac:dyDescent="0.3">
      <c r="A2605" s="17"/>
      <c r="B2605" s="18"/>
      <c r="C2605" s="18"/>
      <c r="D2605" s="18"/>
      <c r="E2605" s="10" t="str">
        <f>IF(B2605="","",IFERROR(INDEX(Harytlar!$C$5:$C$44,MATCH(B2605,Harytlar!$A$5:$A$44,0)),""))</f>
        <v/>
      </c>
      <c r="F2605" s="10" t="str">
        <f t="shared" si="40"/>
        <v/>
      </c>
      <c r="G2605" s="10" t="str">
        <f>IF(OR(C2605="",B2605=""),"",IFERROR(C2605*INDEX(Harytlar!$D$5:$D$44,MATCH(B2605,Harytlar!$A$5:$A$44,0)),""))</f>
        <v/>
      </c>
    </row>
    <row r="2606" spans="1:7" x14ac:dyDescent="0.3">
      <c r="A2606" s="17"/>
      <c r="B2606" s="18"/>
      <c r="C2606" s="18"/>
      <c r="D2606" s="18"/>
      <c r="E2606" s="10" t="str">
        <f>IF(B2606="","",IFERROR(INDEX(Harytlar!$C$5:$C$44,MATCH(B2606,Harytlar!$A$5:$A$44,0)),""))</f>
        <v/>
      </c>
      <c r="F2606" s="10" t="str">
        <f t="shared" si="40"/>
        <v/>
      </c>
      <c r="G2606" s="10" t="str">
        <f>IF(OR(C2606="",B2606=""),"",IFERROR(C2606*INDEX(Harytlar!$D$5:$D$44,MATCH(B2606,Harytlar!$A$5:$A$44,0)),""))</f>
        <v/>
      </c>
    </row>
    <row r="2607" spans="1:7" x14ac:dyDescent="0.3">
      <c r="A2607" s="17"/>
      <c r="B2607" s="18"/>
      <c r="C2607" s="18"/>
      <c r="D2607" s="18"/>
      <c r="E2607" s="10" t="str">
        <f>IF(B2607="","",IFERROR(INDEX(Harytlar!$C$5:$C$44,MATCH(B2607,Harytlar!$A$5:$A$44,0)),""))</f>
        <v/>
      </c>
      <c r="F2607" s="10" t="str">
        <f t="shared" si="40"/>
        <v/>
      </c>
      <c r="G2607" s="10" t="str">
        <f>IF(OR(C2607="",B2607=""),"",IFERROR(C2607*INDEX(Harytlar!$D$5:$D$44,MATCH(B2607,Harytlar!$A$5:$A$44,0)),""))</f>
        <v/>
      </c>
    </row>
    <row r="2608" spans="1:7" x14ac:dyDescent="0.3">
      <c r="A2608" s="17"/>
      <c r="B2608" s="18"/>
      <c r="C2608" s="18"/>
      <c r="D2608" s="18"/>
      <c r="E2608" s="10" t="str">
        <f>IF(B2608="","",IFERROR(INDEX(Harytlar!$C$5:$C$44,MATCH(B2608,Harytlar!$A$5:$A$44,0)),""))</f>
        <v/>
      </c>
      <c r="F2608" s="10" t="str">
        <f t="shared" si="40"/>
        <v/>
      </c>
      <c r="G2608" s="10" t="str">
        <f>IF(OR(C2608="",B2608=""),"",IFERROR(C2608*INDEX(Harytlar!$D$5:$D$44,MATCH(B2608,Harytlar!$A$5:$A$44,0)),""))</f>
        <v/>
      </c>
    </row>
    <row r="2609" spans="1:7" x14ac:dyDescent="0.3">
      <c r="A2609" s="17"/>
      <c r="B2609" s="18"/>
      <c r="C2609" s="18"/>
      <c r="D2609" s="18"/>
      <c r="E2609" s="10" t="str">
        <f>IF(B2609="","",IFERROR(INDEX(Harytlar!$C$5:$C$44,MATCH(B2609,Harytlar!$A$5:$A$44,0)),""))</f>
        <v/>
      </c>
      <c r="F2609" s="10" t="str">
        <f t="shared" si="40"/>
        <v/>
      </c>
      <c r="G2609" s="10" t="str">
        <f>IF(OR(C2609="",B2609=""),"",IFERROR(C2609*INDEX(Harytlar!$D$5:$D$44,MATCH(B2609,Harytlar!$A$5:$A$44,0)),""))</f>
        <v/>
      </c>
    </row>
    <row r="2610" spans="1:7" x14ac:dyDescent="0.3">
      <c r="A2610" s="17"/>
      <c r="B2610" s="18"/>
      <c r="C2610" s="18"/>
      <c r="D2610" s="18"/>
      <c r="E2610" s="10" t="str">
        <f>IF(B2610="","",IFERROR(INDEX(Harytlar!$C$5:$C$44,MATCH(B2610,Harytlar!$A$5:$A$44,0)),""))</f>
        <v/>
      </c>
      <c r="F2610" s="10" t="str">
        <f t="shared" si="40"/>
        <v/>
      </c>
      <c r="G2610" s="10" t="str">
        <f>IF(OR(C2610="",B2610=""),"",IFERROR(C2610*INDEX(Harytlar!$D$5:$D$44,MATCH(B2610,Harytlar!$A$5:$A$44,0)),""))</f>
        <v/>
      </c>
    </row>
    <row r="2611" spans="1:7" x14ac:dyDescent="0.3">
      <c r="A2611" s="17"/>
      <c r="B2611" s="18"/>
      <c r="C2611" s="18"/>
      <c r="D2611" s="18"/>
      <c r="E2611" s="10" t="str">
        <f>IF(B2611="","",IFERROR(INDEX(Harytlar!$C$5:$C$44,MATCH(B2611,Harytlar!$A$5:$A$44,0)),""))</f>
        <v/>
      </c>
      <c r="F2611" s="10" t="str">
        <f t="shared" si="40"/>
        <v/>
      </c>
      <c r="G2611" s="10" t="str">
        <f>IF(OR(C2611="",B2611=""),"",IFERROR(C2611*INDEX(Harytlar!$D$5:$D$44,MATCH(B2611,Harytlar!$A$5:$A$44,0)),""))</f>
        <v/>
      </c>
    </row>
    <row r="2612" spans="1:7" x14ac:dyDescent="0.3">
      <c r="A2612" s="17"/>
      <c r="B2612" s="18"/>
      <c r="C2612" s="18"/>
      <c r="D2612" s="18"/>
      <c r="E2612" s="10" t="str">
        <f>IF(B2612="","",IFERROR(INDEX(Harytlar!$C$5:$C$44,MATCH(B2612,Harytlar!$A$5:$A$44,0)),""))</f>
        <v/>
      </c>
      <c r="F2612" s="10" t="str">
        <f t="shared" si="40"/>
        <v/>
      </c>
      <c r="G2612" s="10" t="str">
        <f>IF(OR(C2612="",B2612=""),"",IFERROR(C2612*INDEX(Harytlar!$D$5:$D$44,MATCH(B2612,Harytlar!$A$5:$A$44,0)),""))</f>
        <v/>
      </c>
    </row>
    <row r="2613" spans="1:7" x14ac:dyDescent="0.3">
      <c r="A2613" s="17"/>
      <c r="B2613" s="18"/>
      <c r="C2613" s="18"/>
      <c r="D2613" s="18"/>
      <c r="E2613" s="10" t="str">
        <f>IF(B2613="","",IFERROR(INDEX(Harytlar!$C$5:$C$44,MATCH(B2613,Harytlar!$A$5:$A$44,0)),""))</f>
        <v/>
      </c>
      <c r="F2613" s="10" t="str">
        <f t="shared" si="40"/>
        <v/>
      </c>
      <c r="G2613" s="10" t="str">
        <f>IF(OR(C2613="",B2613=""),"",IFERROR(C2613*INDEX(Harytlar!$D$5:$D$44,MATCH(B2613,Harytlar!$A$5:$A$44,0)),""))</f>
        <v/>
      </c>
    </row>
    <row r="2614" spans="1:7" x14ac:dyDescent="0.3">
      <c r="A2614" s="17"/>
      <c r="B2614" s="18"/>
      <c r="C2614" s="18"/>
      <c r="D2614" s="18"/>
      <c r="E2614" s="10" t="str">
        <f>IF(B2614="","",IFERROR(INDEX(Harytlar!$C$5:$C$44,MATCH(B2614,Harytlar!$A$5:$A$44,0)),""))</f>
        <v/>
      </c>
      <c r="F2614" s="10" t="str">
        <f t="shared" si="40"/>
        <v/>
      </c>
      <c r="G2614" s="10" t="str">
        <f>IF(OR(C2614="",B2614=""),"",IFERROR(C2614*INDEX(Harytlar!$D$5:$D$44,MATCH(B2614,Harytlar!$A$5:$A$44,0)),""))</f>
        <v/>
      </c>
    </row>
    <row r="2615" spans="1:7" x14ac:dyDescent="0.3">
      <c r="A2615" s="17"/>
      <c r="B2615" s="18"/>
      <c r="C2615" s="18"/>
      <c r="D2615" s="18"/>
      <c r="E2615" s="10" t="str">
        <f>IF(B2615="","",IFERROR(INDEX(Harytlar!$C$5:$C$44,MATCH(B2615,Harytlar!$A$5:$A$44,0)),""))</f>
        <v/>
      </c>
      <c r="F2615" s="10" t="str">
        <f t="shared" si="40"/>
        <v/>
      </c>
      <c r="G2615" s="10" t="str">
        <f>IF(OR(C2615="",B2615=""),"",IFERROR(C2615*INDEX(Harytlar!$D$5:$D$44,MATCH(B2615,Harytlar!$A$5:$A$44,0)),""))</f>
        <v/>
      </c>
    </row>
    <row r="2616" spans="1:7" x14ac:dyDescent="0.3">
      <c r="A2616" s="17"/>
      <c r="B2616" s="18"/>
      <c r="C2616" s="18"/>
      <c r="D2616" s="18"/>
      <c r="E2616" s="10" t="str">
        <f>IF(B2616="","",IFERROR(INDEX(Harytlar!$C$5:$C$44,MATCH(B2616,Harytlar!$A$5:$A$44,0)),""))</f>
        <v/>
      </c>
      <c r="F2616" s="10" t="str">
        <f t="shared" si="40"/>
        <v/>
      </c>
      <c r="G2616" s="10" t="str">
        <f>IF(OR(C2616="",B2616=""),"",IFERROR(C2616*INDEX(Harytlar!$D$5:$D$44,MATCH(B2616,Harytlar!$A$5:$A$44,0)),""))</f>
        <v/>
      </c>
    </row>
    <row r="2617" spans="1:7" x14ac:dyDescent="0.3">
      <c r="A2617" s="17"/>
      <c r="B2617" s="18"/>
      <c r="C2617" s="18"/>
      <c r="D2617" s="18"/>
      <c r="E2617" s="10" t="str">
        <f>IF(B2617="","",IFERROR(INDEX(Harytlar!$C$5:$C$44,MATCH(B2617,Harytlar!$A$5:$A$44,0)),""))</f>
        <v/>
      </c>
      <c r="F2617" s="10" t="str">
        <f t="shared" si="40"/>
        <v/>
      </c>
      <c r="G2617" s="10" t="str">
        <f>IF(OR(C2617="",B2617=""),"",IFERROR(C2617*INDEX(Harytlar!$D$5:$D$44,MATCH(B2617,Harytlar!$A$5:$A$44,0)),""))</f>
        <v/>
      </c>
    </row>
    <row r="2618" spans="1:7" x14ac:dyDescent="0.3">
      <c r="A2618" s="17"/>
      <c r="B2618" s="18"/>
      <c r="C2618" s="18"/>
      <c r="D2618" s="18"/>
      <c r="E2618" s="10" t="str">
        <f>IF(B2618="","",IFERROR(INDEX(Harytlar!$C$5:$C$44,MATCH(B2618,Harytlar!$A$5:$A$44,0)),""))</f>
        <v/>
      </c>
      <c r="F2618" s="10" t="str">
        <f t="shared" si="40"/>
        <v/>
      </c>
      <c r="G2618" s="10" t="str">
        <f>IF(OR(C2618="",B2618=""),"",IFERROR(C2618*INDEX(Harytlar!$D$5:$D$44,MATCH(B2618,Harytlar!$A$5:$A$44,0)),""))</f>
        <v/>
      </c>
    </row>
    <row r="2619" spans="1:7" x14ac:dyDescent="0.3">
      <c r="A2619" s="17"/>
      <c r="B2619" s="18"/>
      <c r="C2619" s="18"/>
      <c r="D2619" s="18"/>
      <c r="E2619" s="10" t="str">
        <f>IF(B2619="","",IFERROR(INDEX(Harytlar!$C$5:$C$44,MATCH(B2619,Harytlar!$A$5:$A$44,0)),""))</f>
        <v/>
      </c>
      <c r="F2619" s="10" t="str">
        <f t="shared" si="40"/>
        <v/>
      </c>
      <c r="G2619" s="10" t="str">
        <f>IF(OR(C2619="",B2619=""),"",IFERROR(C2619*INDEX(Harytlar!$D$5:$D$44,MATCH(B2619,Harytlar!$A$5:$A$44,0)),""))</f>
        <v/>
      </c>
    </row>
    <row r="2620" spans="1:7" x14ac:dyDescent="0.3">
      <c r="A2620" s="17"/>
      <c r="B2620" s="18"/>
      <c r="C2620" s="18"/>
      <c r="D2620" s="18"/>
      <c r="E2620" s="10" t="str">
        <f>IF(B2620="","",IFERROR(INDEX(Harytlar!$C$5:$C$44,MATCH(B2620,Harytlar!$A$5:$A$44,0)),""))</f>
        <v/>
      </c>
      <c r="F2620" s="10" t="str">
        <f t="shared" si="40"/>
        <v/>
      </c>
      <c r="G2620" s="10" t="str">
        <f>IF(OR(C2620="",B2620=""),"",IFERROR(C2620*INDEX(Harytlar!$D$5:$D$44,MATCH(B2620,Harytlar!$A$5:$A$44,0)),""))</f>
        <v/>
      </c>
    </row>
    <row r="2621" spans="1:7" x14ac:dyDescent="0.3">
      <c r="A2621" s="17"/>
      <c r="B2621" s="18"/>
      <c r="C2621" s="18"/>
      <c r="D2621" s="18"/>
      <c r="E2621" s="10" t="str">
        <f>IF(B2621="","",IFERROR(INDEX(Harytlar!$C$5:$C$44,MATCH(B2621,Harytlar!$A$5:$A$44,0)),""))</f>
        <v/>
      </c>
      <c r="F2621" s="10" t="str">
        <f t="shared" si="40"/>
        <v/>
      </c>
      <c r="G2621" s="10" t="str">
        <f>IF(OR(C2621="",B2621=""),"",IFERROR(C2621*INDEX(Harytlar!$D$5:$D$44,MATCH(B2621,Harytlar!$A$5:$A$44,0)),""))</f>
        <v/>
      </c>
    </row>
    <row r="2622" spans="1:7" x14ac:dyDescent="0.3">
      <c r="A2622" s="17"/>
      <c r="B2622" s="18"/>
      <c r="C2622" s="18"/>
      <c r="D2622" s="18"/>
      <c r="E2622" s="10" t="str">
        <f>IF(B2622="","",IFERROR(INDEX(Harytlar!$C$5:$C$44,MATCH(B2622,Harytlar!$A$5:$A$44,0)),""))</f>
        <v/>
      </c>
      <c r="F2622" s="10" t="str">
        <f t="shared" si="40"/>
        <v/>
      </c>
      <c r="G2622" s="10" t="str">
        <f>IF(OR(C2622="",B2622=""),"",IFERROR(C2622*INDEX(Harytlar!$D$5:$D$44,MATCH(B2622,Harytlar!$A$5:$A$44,0)),""))</f>
        <v/>
      </c>
    </row>
    <row r="2623" spans="1:7" x14ac:dyDescent="0.3">
      <c r="A2623" s="17"/>
      <c r="B2623" s="18"/>
      <c r="C2623" s="18"/>
      <c r="D2623" s="18"/>
      <c r="E2623" s="10" t="str">
        <f>IF(B2623="","",IFERROR(INDEX(Harytlar!$C$5:$C$44,MATCH(B2623,Harytlar!$A$5:$A$44,0)),""))</f>
        <v/>
      </c>
      <c r="F2623" s="10" t="str">
        <f t="shared" si="40"/>
        <v/>
      </c>
      <c r="G2623" s="10" t="str">
        <f>IF(OR(C2623="",B2623=""),"",IFERROR(C2623*INDEX(Harytlar!$D$5:$D$44,MATCH(B2623,Harytlar!$A$5:$A$44,0)),""))</f>
        <v/>
      </c>
    </row>
    <row r="2624" spans="1:7" x14ac:dyDescent="0.3">
      <c r="A2624" s="17"/>
      <c r="B2624" s="18"/>
      <c r="C2624" s="18"/>
      <c r="D2624" s="18"/>
      <c r="E2624" s="10" t="str">
        <f>IF(B2624="","",IFERROR(INDEX(Harytlar!$C$5:$C$44,MATCH(B2624,Harytlar!$A$5:$A$44,0)),""))</f>
        <v/>
      </c>
      <c r="F2624" s="10" t="str">
        <f t="shared" si="40"/>
        <v/>
      </c>
      <c r="G2624" s="10" t="str">
        <f>IF(OR(C2624="",B2624=""),"",IFERROR(C2624*INDEX(Harytlar!$D$5:$D$44,MATCH(B2624,Harytlar!$A$5:$A$44,0)),""))</f>
        <v/>
      </c>
    </row>
    <row r="2625" spans="1:7" x14ac:dyDescent="0.3">
      <c r="A2625" s="17"/>
      <c r="B2625" s="18"/>
      <c r="C2625" s="18"/>
      <c r="D2625" s="18"/>
      <c r="E2625" s="10" t="str">
        <f>IF(B2625="","",IFERROR(INDEX(Harytlar!$C$5:$C$44,MATCH(B2625,Harytlar!$A$5:$A$44,0)),""))</f>
        <v/>
      </c>
      <c r="F2625" s="10" t="str">
        <f t="shared" si="40"/>
        <v/>
      </c>
      <c r="G2625" s="10" t="str">
        <f>IF(OR(C2625="",B2625=""),"",IFERROR(C2625*INDEX(Harytlar!$D$5:$D$44,MATCH(B2625,Harytlar!$A$5:$A$44,0)),""))</f>
        <v/>
      </c>
    </row>
    <row r="2626" spans="1:7" x14ac:dyDescent="0.3">
      <c r="A2626" s="17"/>
      <c r="B2626" s="18"/>
      <c r="C2626" s="18"/>
      <c r="D2626" s="18"/>
      <c r="E2626" s="10" t="str">
        <f>IF(B2626="","",IFERROR(INDEX(Harytlar!$C$5:$C$44,MATCH(B2626,Harytlar!$A$5:$A$44,0)),""))</f>
        <v/>
      </c>
      <c r="F2626" s="10" t="str">
        <f t="shared" si="40"/>
        <v/>
      </c>
      <c r="G2626" s="10" t="str">
        <f>IF(OR(C2626="",B2626=""),"",IFERROR(C2626*INDEX(Harytlar!$D$5:$D$44,MATCH(B2626,Harytlar!$A$5:$A$44,0)),""))</f>
        <v/>
      </c>
    </row>
    <row r="2627" spans="1:7" x14ac:dyDescent="0.3">
      <c r="A2627" s="17"/>
      <c r="B2627" s="18"/>
      <c r="C2627" s="18"/>
      <c r="D2627" s="18"/>
      <c r="E2627" s="10" t="str">
        <f>IF(B2627="","",IFERROR(INDEX(Harytlar!$C$5:$C$44,MATCH(B2627,Harytlar!$A$5:$A$44,0)),""))</f>
        <v/>
      </c>
      <c r="F2627" s="10" t="str">
        <f t="shared" si="40"/>
        <v/>
      </c>
      <c r="G2627" s="10" t="str">
        <f>IF(OR(C2627="",B2627=""),"",IFERROR(C2627*INDEX(Harytlar!$D$5:$D$44,MATCH(B2627,Harytlar!$A$5:$A$44,0)),""))</f>
        <v/>
      </c>
    </row>
    <row r="2628" spans="1:7" x14ac:dyDescent="0.3">
      <c r="A2628" s="17"/>
      <c r="B2628" s="18"/>
      <c r="C2628" s="18"/>
      <c r="D2628" s="18"/>
      <c r="E2628" s="10" t="str">
        <f>IF(B2628="","",IFERROR(INDEX(Harytlar!$C$5:$C$44,MATCH(B2628,Harytlar!$A$5:$A$44,0)),""))</f>
        <v/>
      </c>
      <c r="F2628" s="10" t="str">
        <f t="shared" si="40"/>
        <v/>
      </c>
      <c r="G2628" s="10" t="str">
        <f>IF(OR(C2628="",B2628=""),"",IFERROR(C2628*INDEX(Harytlar!$D$5:$D$44,MATCH(B2628,Harytlar!$A$5:$A$44,0)),""))</f>
        <v/>
      </c>
    </row>
    <row r="2629" spans="1:7" x14ac:dyDescent="0.3">
      <c r="A2629" s="17"/>
      <c r="B2629" s="18"/>
      <c r="C2629" s="18"/>
      <c r="D2629" s="18"/>
      <c r="E2629" s="10" t="str">
        <f>IF(B2629="","",IFERROR(INDEX(Harytlar!$C$5:$C$44,MATCH(B2629,Harytlar!$A$5:$A$44,0)),""))</f>
        <v/>
      </c>
      <c r="F2629" s="10" t="str">
        <f t="shared" si="40"/>
        <v/>
      </c>
      <c r="G2629" s="10" t="str">
        <f>IF(OR(C2629="",B2629=""),"",IFERROR(C2629*INDEX(Harytlar!$D$5:$D$44,MATCH(B2629,Harytlar!$A$5:$A$44,0)),""))</f>
        <v/>
      </c>
    </row>
    <row r="2630" spans="1:7" x14ac:dyDescent="0.3">
      <c r="A2630" s="17"/>
      <c r="B2630" s="18"/>
      <c r="C2630" s="18"/>
      <c r="D2630" s="18"/>
      <c r="E2630" s="10" t="str">
        <f>IF(B2630="","",IFERROR(INDEX(Harytlar!$C$5:$C$44,MATCH(B2630,Harytlar!$A$5:$A$44,0)),""))</f>
        <v/>
      </c>
      <c r="F2630" s="10" t="str">
        <f t="shared" ref="F2630:F2693" si="41">IF(OR(C2630="",E2630=""),"",C2630*E2630)</f>
        <v/>
      </c>
      <c r="G2630" s="10" t="str">
        <f>IF(OR(C2630="",B2630=""),"",IFERROR(C2630*INDEX(Harytlar!$D$5:$D$44,MATCH(B2630,Harytlar!$A$5:$A$44,0)),""))</f>
        <v/>
      </c>
    </row>
    <row r="2631" spans="1:7" x14ac:dyDescent="0.3">
      <c r="A2631" s="17"/>
      <c r="B2631" s="18"/>
      <c r="C2631" s="18"/>
      <c r="D2631" s="18"/>
      <c r="E2631" s="10" t="str">
        <f>IF(B2631="","",IFERROR(INDEX(Harytlar!$C$5:$C$44,MATCH(B2631,Harytlar!$A$5:$A$44,0)),""))</f>
        <v/>
      </c>
      <c r="F2631" s="10" t="str">
        <f t="shared" si="41"/>
        <v/>
      </c>
      <c r="G2631" s="10" t="str">
        <f>IF(OR(C2631="",B2631=""),"",IFERROR(C2631*INDEX(Harytlar!$D$5:$D$44,MATCH(B2631,Harytlar!$A$5:$A$44,0)),""))</f>
        <v/>
      </c>
    </row>
    <row r="2632" spans="1:7" x14ac:dyDescent="0.3">
      <c r="A2632" s="17"/>
      <c r="B2632" s="18"/>
      <c r="C2632" s="18"/>
      <c r="D2632" s="18"/>
      <c r="E2632" s="10" t="str">
        <f>IF(B2632="","",IFERROR(INDEX(Harytlar!$C$5:$C$44,MATCH(B2632,Harytlar!$A$5:$A$44,0)),""))</f>
        <v/>
      </c>
      <c r="F2632" s="10" t="str">
        <f t="shared" si="41"/>
        <v/>
      </c>
      <c r="G2632" s="10" t="str">
        <f>IF(OR(C2632="",B2632=""),"",IFERROR(C2632*INDEX(Harytlar!$D$5:$D$44,MATCH(B2632,Harytlar!$A$5:$A$44,0)),""))</f>
        <v/>
      </c>
    </row>
    <row r="2633" spans="1:7" x14ac:dyDescent="0.3">
      <c r="A2633" s="17"/>
      <c r="B2633" s="18"/>
      <c r="C2633" s="18"/>
      <c r="D2633" s="18"/>
      <c r="E2633" s="10" t="str">
        <f>IF(B2633="","",IFERROR(INDEX(Harytlar!$C$5:$C$44,MATCH(B2633,Harytlar!$A$5:$A$44,0)),""))</f>
        <v/>
      </c>
      <c r="F2633" s="10" t="str">
        <f t="shared" si="41"/>
        <v/>
      </c>
      <c r="G2633" s="10" t="str">
        <f>IF(OR(C2633="",B2633=""),"",IFERROR(C2633*INDEX(Harytlar!$D$5:$D$44,MATCH(B2633,Harytlar!$A$5:$A$44,0)),""))</f>
        <v/>
      </c>
    </row>
    <row r="2634" spans="1:7" x14ac:dyDescent="0.3">
      <c r="A2634" s="17"/>
      <c r="B2634" s="18"/>
      <c r="C2634" s="18"/>
      <c r="D2634" s="18"/>
      <c r="E2634" s="10" t="str">
        <f>IF(B2634="","",IFERROR(INDEX(Harytlar!$C$5:$C$44,MATCH(B2634,Harytlar!$A$5:$A$44,0)),""))</f>
        <v/>
      </c>
      <c r="F2634" s="10" t="str">
        <f t="shared" si="41"/>
        <v/>
      </c>
      <c r="G2634" s="10" t="str">
        <f>IF(OR(C2634="",B2634=""),"",IFERROR(C2634*INDEX(Harytlar!$D$5:$D$44,MATCH(B2634,Harytlar!$A$5:$A$44,0)),""))</f>
        <v/>
      </c>
    </row>
    <row r="2635" spans="1:7" x14ac:dyDescent="0.3">
      <c r="A2635" s="17"/>
      <c r="B2635" s="18"/>
      <c r="C2635" s="18"/>
      <c r="D2635" s="18"/>
      <c r="E2635" s="10" t="str">
        <f>IF(B2635="","",IFERROR(INDEX(Harytlar!$C$5:$C$44,MATCH(B2635,Harytlar!$A$5:$A$44,0)),""))</f>
        <v/>
      </c>
      <c r="F2635" s="10" t="str">
        <f t="shared" si="41"/>
        <v/>
      </c>
      <c r="G2635" s="10" t="str">
        <f>IF(OR(C2635="",B2635=""),"",IFERROR(C2635*INDEX(Harytlar!$D$5:$D$44,MATCH(B2635,Harytlar!$A$5:$A$44,0)),""))</f>
        <v/>
      </c>
    </row>
    <row r="2636" spans="1:7" x14ac:dyDescent="0.3">
      <c r="A2636" s="17"/>
      <c r="B2636" s="18"/>
      <c r="C2636" s="18"/>
      <c r="D2636" s="18"/>
      <c r="E2636" s="10" t="str">
        <f>IF(B2636="","",IFERROR(INDEX(Harytlar!$C$5:$C$44,MATCH(B2636,Harytlar!$A$5:$A$44,0)),""))</f>
        <v/>
      </c>
      <c r="F2636" s="10" t="str">
        <f t="shared" si="41"/>
        <v/>
      </c>
      <c r="G2636" s="10" t="str">
        <f>IF(OR(C2636="",B2636=""),"",IFERROR(C2636*INDEX(Harytlar!$D$5:$D$44,MATCH(B2636,Harytlar!$A$5:$A$44,0)),""))</f>
        <v/>
      </c>
    </row>
    <row r="2637" spans="1:7" x14ac:dyDescent="0.3">
      <c r="A2637" s="17"/>
      <c r="B2637" s="18"/>
      <c r="C2637" s="18"/>
      <c r="D2637" s="18"/>
      <c r="E2637" s="10" t="str">
        <f>IF(B2637="","",IFERROR(INDEX(Harytlar!$C$5:$C$44,MATCH(B2637,Harytlar!$A$5:$A$44,0)),""))</f>
        <v/>
      </c>
      <c r="F2637" s="10" t="str">
        <f t="shared" si="41"/>
        <v/>
      </c>
      <c r="G2637" s="10" t="str">
        <f>IF(OR(C2637="",B2637=""),"",IFERROR(C2637*INDEX(Harytlar!$D$5:$D$44,MATCH(B2637,Harytlar!$A$5:$A$44,0)),""))</f>
        <v/>
      </c>
    </row>
    <row r="2638" spans="1:7" x14ac:dyDescent="0.3">
      <c r="A2638" s="17"/>
      <c r="B2638" s="18"/>
      <c r="C2638" s="18"/>
      <c r="D2638" s="18"/>
      <c r="E2638" s="10" t="str">
        <f>IF(B2638="","",IFERROR(INDEX(Harytlar!$C$5:$C$44,MATCH(B2638,Harytlar!$A$5:$A$44,0)),""))</f>
        <v/>
      </c>
      <c r="F2638" s="10" t="str">
        <f t="shared" si="41"/>
        <v/>
      </c>
      <c r="G2638" s="10" t="str">
        <f>IF(OR(C2638="",B2638=""),"",IFERROR(C2638*INDEX(Harytlar!$D$5:$D$44,MATCH(B2638,Harytlar!$A$5:$A$44,0)),""))</f>
        <v/>
      </c>
    </row>
    <row r="2639" spans="1:7" x14ac:dyDescent="0.3">
      <c r="A2639" s="17"/>
      <c r="B2639" s="18"/>
      <c r="C2639" s="18"/>
      <c r="D2639" s="18"/>
      <c r="E2639" s="10" t="str">
        <f>IF(B2639="","",IFERROR(INDEX(Harytlar!$C$5:$C$44,MATCH(B2639,Harytlar!$A$5:$A$44,0)),""))</f>
        <v/>
      </c>
      <c r="F2639" s="10" t="str">
        <f t="shared" si="41"/>
        <v/>
      </c>
      <c r="G2639" s="10" t="str">
        <f>IF(OR(C2639="",B2639=""),"",IFERROR(C2639*INDEX(Harytlar!$D$5:$D$44,MATCH(B2639,Harytlar!$A$5:$A$44,0)),""))</f>
        <v/>
      </c>
    </row>
    <row r="2640" spans="1:7" x14ac:dyDescent="0.3">
      <c r="A2640" s="17"/>
      <c r="B2640" s="18"/>
      <c r="C2640" s="18"/>
      <c r="D2640" s="18"/>
      <c r="E2640" s="10" t="str">
        <f>IF(B2640="","",IFERROR(INDEX(Harytlar!$C$5:$C$44,MATCH(B2640,Harytlar!$A$5:$A$44,0)),""))</f>
        <v/>
      </c>
      <c r="F2640" s="10" t="str">
        <f t="shared" si="41"/>
        <v/>
      </c>
      <c r="G2640" s="10" t="str">
        <f>IF(OR(C2640="",B2640=""),"",IFERROR(C2640*INDEX(Harytlar!$D$5:$D$44,MATCH(B2640,Harytlar!$A$5:$A$44,0)),""))</f>
        <v/>
      </c>
    </row>
    <row r="2641" spans="1:7" x14ac:dyDescent="0.3">
      <c r="A2641" s="17"/>
      <c r="B2641" s="18"/>
      <c r="C2641" s="18"/>
      <c r="D2641" s="18"/>
      <c r="E2641" s="10" t="str">
        <f>IF(B2641="","",IFERROR(INDEX(Harytlar!$C$5:$C$44,MATCH(B2641,Harytlar!$A$5:$A$44,0)),""))</f>
        <v/>
      </c>
      <c r="F2641" s="10" t="str">
        <f t="shared" si="41"/>
        <v/>
      </c>
      <c r="G2641" s="10" t="str">
        <f>IF(OR(C2641="",B2641=""),"",IFERROR(C2641*INDEX(Harytlar!$D$5:$D$44,MATCH(B2641,Harytlar!$A$5:$A$44,0)),""))</f>
        <v/>
      </c>
    </row>
    <row r="2642" spans="1:7" x14ac:dyDescent="0.3">
      <c r="A2642" s="17"/>
      <c r="B2642" s="18"/>
      <c r="C2642" s="18"/>
      <c r="D2642" s="18"/>
      <c r="E2642" s="10" t="str">
        <f>IF(B2642="","",IFERROR(INDEX(Harytlar!$C$5:$C$44,MATCH(B2642,Harytlar!$A$5:$A$44,0)),""))</f>
        <v/>
      </c>
      <c r="F2642" s="10" t="str">
        <f t="shared" si="41"/>
        <v/>
      </c>
      <c r="G2642" s="10" t="str">
        <f>IF(OR(C2642="",B2642=""),"",IFERROR(C2642*INDEX(Harytlar!$D$5:$D$44,MATCH(B2642,Harytlar!$A$5:$A$44,0)),""))</f>
        <v/>
      </c>
    </row>
    <row r="2643" spans="1:7" x14ac:dyDescent="0.3">
      <c r="A2643" s="17"/>
      <c r="B2643" s="18"/>
      <c r="C2643" s="18"/>
      <c r="D2643" s="18"/>
      <c r="E2643" s="10" t="str">
        <f>IF(B2643="","",IFERROR(INDEX(Harytlar!$C$5:$C$44,MATCH(B2643,Harytlar!$A$5:$A$44,0)),""))</f>
        <v/>
      </c>
      <c r="F2643" s="10" t="str">
        <f t="shared" si="41"/>
        <v/>
      </c>
      <c r="G2643" s="10" t="str">
        <f>IF(OR(C2643="",B2643=""),"",IFERROR(C2643*INDEX(Harytlar!$D$5:$D$44,MATCH(B2643,Harytlar!$A$5:$A$44,0)),""))</f>
        <v/>
      </c>
    </row>
    <row r="2644" spans="1:7" x14ac:dyDescent="0.3">
      <c r="A2644" s="17"/>
      <c r="B2644" s="18"/>
      <c r="C2644" s="18"/>
      <c r="D2644" s="18"/>
      <c r="E2644" s="10" t="str">
        <f>IF(B2644="","",IFERROR(INDEX(Harytlar!$C$5:$C$44,MATCH(B2644,Harytlar!$A$5:$A$44,0)),""))</f>
        <v/>
      </c>
      <c r="F2644" s="10" t="str">
        <f t="shared" si="41"/>
        <v/>
      </c>
      <c r="G2644" s="10" t="str">
        <f>IF(OR(C2644="",B2644=""),"",IFERROR(C2644*INDEX(Harytlar!$D$5:$D$44,MATCH(B2644,Harytlar!$A$5:$A$44,0)),""))</f>
        <v/>
      </c>
    </row>
    <row r="2645" spans="1:7" x14ac:dyDescent="0.3">
      <c r="A2645" s="17"/>
      <c r="B2645" s="18"/>
      <c r="C2645" s="18"/>
      <c r="D2645" s="18"/>
      <c r="E2645" s="10" t="str">
        <f>IF(B2645="","",IFERROR(INDEX(Harytlar!$C$5:$C$44,MATCH(B2645,Harytlar!$A$5:$A$44,0)),""))</f>
        <v/>
      </c>
      <c r="F2645" s="10" t="str">
        <f t="shared" si="41"/>
        <v/>
      </c>
      <c r="G2645" s="10" t="str">
        <f>IF(OR(C2645="",B2645=""),"",IFERROR(C2645*INDEX(Harytlar!$D$5:$D$44,MATCH(B2645,Harytlar!$A$5:$A$44,0)),""))</f>
        <v/>
      </c>
    </row>
    <row r="2646" spans="1:7" x14ac:dyDescent="0.3">
      <c r="A2646" s="17"/>
      <c r="B2646" s="18"/>
      <c r="C2646" s="18"/>
      <c r="D2646" s="18"/>
      <c r="E2646" s="10" t="str">
        <f>IF(B2646="","",IFERROR(INDEX(Harytlar!$C$5:$C$44,MATCH(B2646,Harytlar!$A$5:$A$44,0)),""))</f>
        <v/>
      </c>
      <c r="F2646" s="10" t="str">
        <f t="shared" si="41"/>
        <v/>
      </c>
      <c r="G2646" s="10" t="str">
        <f>IF(OR(C2646="",B2646=""),"",IFERROR(C2646*INDEX(Harytlar!$D$5:$D$44,MATCH(B2646,Harytlar!$A$5:$A$44,0)),""))</f>
        <v/>
      </c>
    </row>
    <row r="2647" spans="1:7" x14ac:dyDescent="0.3">
      <c r="A2647" s="17"/>
      <c r="B2647" s="18"/>
      <c r="C2647" s="18"/>
      <c r="D2647" s="18"/>
      <c r="E2647" s="10" t="str">
        <f>IF(B2647="","",IFERROR(INDEX(Harytlar!$C$5:$C$44,MATCH(B2647,Harytlar!$A$5:$A$44,0)),""))</f>
        <v/>
      </c>
      <c r="F2647" s="10" t="str">
        <f t="shared" si="41"/>
        <v/>
      </c>
      <c r="G2647" s="10" t="str">
        <f>IF(OR(C2647="",B2647=""),"",IFERROR(C2647*INDEX(Harytlar!$D$5:$D$44,MATCH(B2647,Harytlar!$A$5:$A$44,0)),""))</f>
        <v/>
      </c>
    </row>
    <row r="2648" spans="1:7" x14ac:dyDescent="0.3">
      <c r="A2648" s="17"/>
      <c r="B2648" s="18"/>
      <c r="C2648" s="18"/>
      <c r="D2648" s="18"/>
      <c r="E2648" s="10" t="str">
        <f>IF(B2648="","",IFERROR(INDEX(Harytlar!$C$5:$C$44,MATCH(B2648,Harytlar!$A$5:$A$44,0)),""))</f>
        <v/>
      </c>
      <c r="F2648" s="10" t="str">
        <f t="shared" si="41"/>
        <v/>
      </c>
      <c r="G2648" s="10" t="str">
        <f>IF(OR(C2648="",B2648=""),"",IFERROR(C2648*INDEX(Harytlar!$D$5:$D$44,MATCH(B2648,Harytlar!$A$5:$A$44,0)),""))</f>
        <v/>
      </c>
    </row>
    <row r="2649" spans="1:7" x14ac:dyDescent="0.3">
      <c r="A2649" s="17"/>
      <c r="B2649" s="18"/>
      <c r="C2649" s="18"/>
      <c r="D2649" s="18"/>
      <c r="E2649" s="10" t="str">
        <f>IF(B2649="","",IFERROR(INDEX(Harytlar!$C$5:$C$44,MATCH(B2649,Harytlar!$A$5:$A$44,0)),""))</f>
        <v/>
      </c>
      <c r="F2649" s="10" t="str">
        <f t="shared" si="41"/>
        <v/>
      </c>
      <c r="G2649" s="10" t="str">
        <f>IF(OR(C2649="",B2649=""),"",IFERROR(C2649*INDEX(Harytlar!$D$5:$D$44,MATCH(B2649,Harytlar!$A$5:$A$44,0)),""))</f>
        <v/>
      </c>
    </row>
    <row r="2650" spans="1:7" x14ac:dyDescent="0.3">
      <c r="A2650" s="17"/>
      <c r="B2650" s="18"/>
      <c r="C2650" s="18"/>
      <c r="D2650" s="18"/>
      <c r="E2650" s="10" t="str">
        <f>IF(B2650="","",IFERROR(INDEX(Harytlar!$C$5:$C$44,MATCH(B2650,Harytlar!$A$5:$A$44,0)),""))</f>
        <v/>
      </c>
      <c r="F2650" s="10" t="str">
        <f t="shared" si="41"/>
        <v/>
      </c>
      <c r="G2650" s="10" t="str">
        <f>IF(OR(C2650="",B2650=""),"",IFERROR(C2650*INDEX(Harytlar!$D$5:$D$44,MATCH(B2650,Harytlar!$A$5:$A$44,0)),""))</f>
        <v/>
      </c>
    </row>
    <row r="2651" spans="1:7" x14ac:dyDescent="0.3">
      <c r="A2651" s="17"/>
      <c r="B2651" s="18"/>
      <c r="C2651" s="18"/>
      <c r="D2651" s="18"/>
      <c r="E2651" s="10" t="str">
        <f>IF(B2651="","",IFERROR(INDEX(Harytlar!$C$5:$C$44,MATCH(B2651,Harytlar!$A$5:$A$44,0)),""))</f>
        <v/>
      </c>
      <c r="F2651" s="10" t="str">
        <f t="shared" si="41"/>
        <v/>
      </c>
      <c r="G2651" s="10" t="str">
        <f>IF(OR(C2651="",B2651=""),"",IFERROR(C2651*INDEX(Harytlar!$D$5:$D$44,MATCH(B2651,Harytlar!$A$5:$A$44,0)),""))</f>
        <v/>
      </c>
    </row>
    <row r="2652" spans="1:7" x14ac:dyDescent="0.3">
      <c r="A2652" s="17"/>
      <c r="B2652" s="18"/>
      <c r="C2652" s="18"/>
      <c r="D2652" s="18"/>
      <c r="E2652" s="10" t="str">
        <f>IF(B2652="","",IFERROR(INDEX(Harytlar!$C$5:$C$44,MATCH(B2652,Harytlar!$A$5:$A$44,0)),""))</f>
        <v/>
      </c>
      <c r="F2652" s="10" t="str">
        <f t="shared" si="41"/>
        <v/>
      </c>
      <c r="G2652" s="10" t="str">
        <f>IF(OR(C2652="",B2652=""),"",IFERROR(C2652*INDEX(Harytlar!$D$5:$D$44,MATCH(B2652,Harytlar!$A$5:$A$44,0)),""))</f>
        <v/>
      </c>
    </row>
    <row r="2653" spans="1:7" x14ac:dyDescent="0.3">
      <c r="A2653" s="17"/>
      <c r="B2653" s="18"/>
      <c r="C2653" s="18"/>
      <c r="D2653" s="18"/>
      <c r="E2653" s="10" t="str">
        <f>IF(B2653="","",IFERROR(INDEX(Harytlar!$C$5:$C$44,MATCH(B2653,Harytlar!$A$5:$A$44,0)),""))</f>
        <v/>
      </c>
      <c r="F2653" s="10" t="str">
        <f t="shared" si="41"/>
        <v/>
      </c>
      <c r="G2653" s="10" t="str">
        <f>IF(OR(C2653="",B2653=""),"",IFERROR(C2653*INDEX(Harytlar!$D$5:$D$44,MATCH(B2653,Harytlar!$A$5:$A$44,0)),""))</f>
        <v/>
      </c>
    </row>
    <row r="2654" spans="1:7" x14ac:dyDescent="0.3">
      <c r="A2654" s="17"/>
      <c r="B2654" s="18"/>
      <c r="C2654" s="18"/>
      <c r="D2654" s="18"/>
      <c r="E2654" s="10" t="str">
        <f>IF(B2654="","",IFERROR(INDEX(Harytlar!$C$5:$C$44,MATCH(B2654,Harytlar!$A$5:$A$44,0)),""))</f>
        <v/>
      </c>
      <c r="F2654" s="10" t="str">
        <f t="shared" si="41"/>
        <v/>
      </c>
      <c r="G2654" s="10" t="str">
        <f>IF(OR(C2654="",B2654=""),"",IFERROR(C2654*INDEX(Harytlar!$D$5:$D$44,MATCH(B2654,Harytlar!$A$5:$A$44,0)),""))</f>
        <v/>
      </c>
    </row>
    <row r="2655" spans="1:7" x14ac:dyDescent="0.3">
      <c r="A2655" s="17"/>
      <c r="B2655" s="18"/>
      <c r="C2655" s="18"/>
      <c r="D2655" s="18"/>
      <c r="E2655" s="10" t="str">
        <f>IF(B2655="","",IFERROR(INDEX(Harytlar!$C$5:$C$44,MATCH(B2655,Harytlar!$A$5:$A$44,0)),""))</f>
        <v/>
      </c>
      <c r="F2655" s="10" t="str">
        <f t="shared" si="41"/>
        <v/>
      </c>
      <c r="G2655" s="10" t="str">
        <f>IF(OR(C2655="",B2655=""),"",IFERROR(C2655*INDEX(Harytlar!$D$5:$D$44,MATCH(B2655,Harytlar!$A$5:$A$44,0)),""))</f>
        <v/>
      </c>
    </row>
    <row r="2656" spans="1:7" x14ac:dyDescent="0.3">
      <c r="A2656" s="17"/>
      <c r="B2656" s="18"/>
      <c r="C2656" s="18"/>
      <c r="D2656" s="18"/>
      <c r="E2656" s="10" t="str">
        <f>IF(B2656="","",IFERROR(INDEX(Harytlar!$C$5:$C$44,MATCH(B2656,Harytlar!$A$5:$A$44,0)),""))</f>
        <v/>
      </c>
      <c r="F2656" s="10" t="str">
        <f t="shared" si="41"/>
        <v/>
      </c>
      <c r="G2656" s="10" t="str">
        <f>IF(OR(C2656="",B2656=""),"",IFERROR(C2656*INDEX(Harytlar!$D$5:$D$44,MATCH(B2656,Harytlar!$A$5:$A$44,0)),""))</f>
        <v/>
      </c>
    </row>
    <row r="2657" spans="1:7" x14ac:dyDescent="0.3">
      <c r="A2657" s="17"/>
      <c r="B2657" s="18"/>
      <c r="C2657" s="18"/>
      <c r="D2657" s="18"/>
      <c r="E2657" s="10" t="str">
        <f>IF(B2657="","",IFERROR(INDEX(Harytlar!$C$5:$C$44,MATCH(B2657,Harytlar!$A$5:$A$44,0)),""))</f>
        <v/>
      </c>
      <c r="F2657" s="10" t="str">
        <f t="shared" si="41"/>
        <v/>
      </c>
      <c r="G2657" s="10" t="str">
        <f>IF(OR(C2657="",B2657=""),"",IFERROR(C2657*INDEX(Harytlar!$D$5:$D$44,MATCH(B2657,Harytlar!$A$5:$A$44,0)),""))</f>
        <v/>
      </c>
    </row>
    <row r="2658" spans="1:7" x14ac:dyDescent="0.3">
      <c r="A2658" s="17"/>
      <c r="B2658" s="18"/>
      <c r="C2658" s="18"/>
      <c r="D2658" s="18"/>
      <c r="E2658" s="10" t="str">
        <f>IF(B2658="","",IFERROR(INDEX(Harytlar!$C$5:$C$44,MATCH(B2658,Harytlar!$A$5:$A$44,0)),""))</f>
        <v/>
      </c>
      <c r="F2658" s="10" t="str">
        <f t="shared" si="41"/>
        <v/>
      </c>
      <c r="G2658" s="10" t="str">
        <f>IF(OR(C2658="",B2658=""),"",IFERROR(C2658*INDEX(Harytlar!$D$5:$D$44,MATCH(B2658,Harytlar!$A$5:$A$44,0)),""))</f>
        <v/>
      </c>
    </row>
    <row r="2659" spans="1:7" x14ac:dyDescent="0.3">
      <c r="A2659" s="17"/>
      <c r="B2659" s="18"/>
      <c r="C2659" s="18"/>
      <c r="D2659" s="18"/>
      <c r="E2659" s="10" t="str">
        <f>IF(B2659="","",IFERROR(INDEX(Harytlar!$C$5:$C$44,MATCH(B2659,Harytlar!$A$5:$A$44,0)),""))</f>
        <v/>
      </c>
      <c r="F2659" s="10" t="str">
        <f t="shared" si="41"/>
        <v/>
      </c>
      <c r="G2659" s="10" t="str">
        <f>IF(OR(C2659="",B2659=""),"",IFERROR(C2659*INDEX(Harytlar!$D$5:$D$44,MATCH(B2659,Harytlar!$A$5:$A$44,0)),""))</f>
        <v/>
      </c>
    </row>
    <row r="2660" spans="1:7" x14ac:dyDescent="0.3">
      <c r="A2660" s="17"/>
      <c r="B2660" s="18"/>
      <c r="C2660" s="18"/>
      <c r="D2660" s="18"/>
      <c r="E2660" s="10" t="str">
        <f>IF(B2660="","",IFERROR(INDEX(Harytlar!$C$5:$C$44,MATCH(B2660,Harytlar!$A$5:$A$44,0)),""))</f>
        <v/>
      </c>
      <c r="F2660" s="10" t="str">
        <f t="shared" si="41"/>
        <v/>
      </c>
      <c r="G2660" s="10" t="str">
        <f>IF(OR(C2660="",B2660=""),"",IFERROR(C2660*INDEX(Harytlar!$D$5:$D$44,MATCH(B2660,Harytlar!$A$5:$A$44,0)),""))</f>
        <v/>
      </c>
    </row>
    <row r="2661" spans="1:7" x14ac:dyDescent="0.3">
      <c r="A2661" s="17"/>
      <c r="B2661" s="18"/>
      <c r="C2661" s="18"/>
      <c r="D2661" s="18"/>
      <c r="E2661" s="10" t="str">
        <f>IF(B2661="","",IFERROR(INDEX(Harytlar!$C$5:$C$44,MATCH(B2661,Harytlar!$A$5:$A$44,0)),""))</f>
        <v/>
      </c>
      <c r="F2661" s="10" t="str">
        <f t="shared" si="41"/>
        <v/>
      </c>
      <c r="G2661" s="10" t="str">
        <f>IF(OR(C2661="",B2661=""),"",IFERROR(C2661*INDEX(Harytlar!$D$5:$D$44,MATCH(B2661,Harytlar!$A$5:$A$44,0)),""))</f>
        <v/>
      </c>
    </row>
    <row r="2662" spans="1:7" x14ac:dyDescent="0.3">
      <c r="A2662" s="17"/>
      <c r="B2662" s="18"/>
      <c r="C2662" s="18"/>
      <c r="D2662" s="18"/>
      <c r="E2662" s="10" t="str">
        <f>IF(B2662="","",IFERROR(INDEX(Harytlar!$C$5:$C$44,MATCH(B2662,Harytlar!$A$5:$A$44,0)),""))</f>
        <v/>
      </c>
      <c r="F2662" s="10" t="str">
        <f t="shared" si="41"/>
        <v/>
      </c>
      <c r="G2662" s="10" t="str">
        <f>IF(OR(C2662="",B2662=""),"",IFERROR(C2662*INDEX(Harytlar!$D$5:$D$44,MATCH(B2662,Harytlar!$A$5:$A$44,0)),""))</f>
        <v/>
      </c>
    </row>
    <row r="2663" spans="1:7" x14ac:dyDescent="0.3">
      <c r="A2663" s="17"/>
      <c r="B2663" s="18"/>
      <c r="C2663" s="18"/>
      <c r="D2663" s="18"/>
      <c r="E2663" s="10" t="str">
        <f>IF(B2663="","",IFERROR(INDEX(Harytlar!$C$5:$C$44,MATCH(B2663,Harytlar!$A$5:$A$44,0)),""))</f>
        <v/>
      </c>
      <c r="F2663" s="10" t="str">
        <f t="shared" si="41"/>
        <v/>
      </c>
      <c r="G2663" s="10" t="str">
        <f>IF(OR(C2663="",B2663=""),"",IFERROR(C2663*INDEX(Harytlar!$D$5:$D$44,MATCH(B2663,Harytlar!$A$5:$A$44,0)),""))</f>
        <v/>
      </c>
    </row>
    <row r="2664" spans="1:7" x14ac:dyDescent="0.3">
      <c r="A2664" s="17"/>
      <c r="B2664" s="18"/>
      <c r="C2664" s="18"/>
      <c r="D2664" s="18"/>
      <c r="E2664" s="10" t="str">
        <f>IF(B2664="","",IFERROR(INDEX(Harytlar!$C$5:$C$44,MATCH(B2664,Harytlar!$A$5:$A$44,0)),""))</f>
        <v/>
      </c>
      <c r="F2664" s="10" t="str">
        <f t="shared" si="41"/>
        <v/>
      </c>
      <c r="G2664" s="10" t="str">
        <f>IF(OR(C2664="",B2664=""),"",IFERROR(C2664*INDEX(Harytlar!$D$5:$D$44,MATCH(B2664,Harytlar!$A$5:$A$44,0)),""))</f>
        <v/>
      </c>
    </row>
    <row r="2665" spans="1:7" x14ac:dyDescent="0.3">
      <c r="A2665" s="17"/>
      <c r="B2665" s="18"/>
      <c r="C2665" s="18"/>
      <c r="D2665" s="18"/>
      <c r="E2665" s="10" t="str">
        <f>IF(B2665="","",IFERROR(INDEX(Harytlar!$C$5:$C$44,MATCH(B2665,Harytlar!$A$5:$A$44,0)),""))</f>
        <v/>
      </c>
      <c r="F2665" s="10" t="str">
        <f t="shared" si="41"/>
        <v/>
      </c>
      <c r="G2665" s="10" t="str">
        <f>IF(OR(C2665="",B2665=""),"",IFERROR(C2665*INDEX(Harytlar!$D$5:$D$44,MATCH(B2665,Harytlar!$A$5:$A$44,0)),""))</f>
        <v/>
      </c>
    </row>
    <row r="2666" spans="1:7" x14ac:dyDescent="0.3">
      <c r="A2666" s="17"/>
      <c r="B2666" s="18"/>
      <c r="C2666" s="18"/>
      <c r="D2666" s="18"/>
      <c r="E2666" s="10" t="str">
        <f>IF(B2666="","",IFERROR(INDEX(Harytlar!$C$5:$C$44,MATCH(B2666,Harytlar!$A$5:$A$44,0)),""))</f>
        <v/>
      </c>
      <c r="F2666" s="10" t="str">
        <f t="shared" si="41"/>
        <v/>
      </c>
      <c r="G2666" s="10" t="str">
        <f>IF(OR(C2666="",B2666=""),"",IFERROR(C2666*INDEX(Harytlar!$D$5:$D$44,MATCH(B2666,Harytlar!$A$5:$A$44,0)),""))</f>
        <v/>
      </c>
    </row>
    <row r="2667" spans="1:7" x14ac:dyDescent="0.3">
      <c r="A2667" s="17"/>
      <c r="B2667" s="18"/>
      <c r="C2667" s="18"/>
      <c r="D2667" s="18"/>
      <c r="E2667" s="10" t="str">
        <f>IF(B2667="","",IFERROR(INDEX(Harytlar!$C$5:$C$44,MATCH(B2667,Harytlar!$A$5:$A$44,0)),""))</f>
        <v/>
      </c>
      <c r="F2667" s="10" t="str">
        <f t="shared" si="41"/>
        <v/>
      </c>
      <c r="G2667" s="10" t="str">
        <f>IF(OR(C2667="",B2667=""),"",IFERROR(C2667*INDEX(Harytlar!$D$5:$D$44,MATCH(B2667,Harytlar!$A$5:$A$44,0)),""))</f>
        <v/>
      </c>
    </row>
    <row r="2668" spans="1:7" x14ac:dyDescent="0.3">
      <c r="A2668" s="17"/>
      <c r="B2668" s="18"/>
      <c r="C2668" s="18"/>
      <c r="D2668" s="18"/>
      <c r="E2668" s="10" t="str">
        <f>IF(B2668="","",IFERROR(INDEX(Harytlar!$C$5:$C$44,MATCH(B2668,Harytlar!$A$5:$A$44,0)),""))</f>
        <v/>
      </c>
      <c r="F2668" s="10" t="str">
        <f t="shared" si="41"/>
        <v/>
      </c>
      <c r="G2668" s="10" t="str">
        <f>IF(OR(C2668="",B2668=""),"",IFERROR(C2668*INDEX(Harytlar!$D$5:$D$44,MATCH(B2668,Harytlar!$A$5:$A$44,0)),""))</f>
        <v/>
      </c>
    </row>
    <row r="2669" spans="1:7" x14ac:dyDescent="0.3">
      <c r="A2669" s="17"/>
      <c r="B2669" s="18"/>
      <c r="C2669" s="18"/>
      <c r="D2669" s="18"/>
      <c r="E2669" s="10" t="str">
        <f>IF(B2669="","",IFERROR(INDEX(Harytlar!$C$5:$C$44,MATCH(B2669,Harytlar!$A$5:$A$44,0)),""))</f>
        <v/>
      </c>
      <c r="F2669" s="10" t="str">
        <f t="shared" si="41"/>
        <v/>
      </c>
      <c r="G2669" s="10" t="str">
        <f>IF(OR(C2669="",B2669=""),"",IFERROR(C2669*INDEX(Harytlar!$D$5:$D$44,MATCH(B2669,Harytlar!$A$5:$A$44,0)),""))</f>
        <v/>
      </c>
    </row>
    <row r="2670" spans="1:7" x14ac:dyDescent="0.3">
      <c r="A2670" s="17"/>
      <c r="B2670" s="18"/>
      <c r="C2670" s="18"/>
      <c r="D2670" s="18"/>
      <c r="E2670" s="10" t="str">
        <f>IF(B2670="","",IFERROR(INDEX(Harytlar!$C$5:$C$44,MATCH(B2670,Harytlar!$A$5:$A$44,0)),""))</f>
        <v/>
      </c>
      <c r="F2670" s="10" t="str">
        <f t="shared" si="41"/>
        <v/>
      </c>
      <c r="G2670" s="10" t="str">
        <f>IF(OR(C2670="",B2670=""),"",IFERROR(C2670*INDEX(Harytlar!$D$5:$D$44,MATCH(B2670,Harytlar!$A$5:$A$44,0)),""))</f>
        <v/>
      </c>
    </row>
    <row r="2671" spans="1:7" x14ac:dyDescent="0.3">
      <c r="A2671" s="17"/>
      <c r="B2671" s="18"/>
      <c r="C2671" s="18"/>
      <c r="D2671" s="18"/>
      <c r="E2671" s="10" t="str">
        <f>IF(B2671="","",IFERROR(INDEX(Harytlar!$C$5:$C$44,MATCH(B2671,Harytlar!$A$5:$A$44,0)),""))</f>
        <v/>
      </c>
      <c r="F2671" s="10" t="str">
        <f t="shared" si="41"/>
        <v/>
      </c>
      <c r="G2671" s="10" t="str">
        <f>IF(OR(C2671="",B2671=""),"",IFERROR(C2671*INDEX(Harytlar!$D$5:$D$44,MATCH(B2671,Harytlar!$A$5:$A$44,0)),""))</f>
        <v/>
      </c>
    </row>
    <row r="2672" spans="1:7" x14ac:dyDescent="0.3">
      <c r="A2672" s="17"/>
      <c r="B2672" s="18"/>
      <c r="C2672" s="18"/>
      <c r="D2672" s="18"/>
      <c r="E2672" s="10" t="str">
        <f>IF(B2672="","",IFERROR(INDEX(Harytlar!$C$5:$C$44,MATCH(B2672,Harytlar!$A$5:$A$44,0)),""))</f>
        <v/>
      </c>
      <c r="F2672" s="10" t="str">
        <f t="shared" si="41"/>
        <v/>
      </c>
      <c r="G2672" s="10" t="str">
        <f>IF(OR(C2672="",B2672=""),"",IFERROR(C2672*INDEX(Harytlar!$D$5:$D$44,MATCH(B2672,Harytlar!$A$5:$A$44,0)),""))</f>
        <v/>
      </c>
    </row>
    <row r="2673" spans="1:7" x14ac:dyDescent="0.3">
      <c r="A2673" s="17"/>
      <c r="B2673" s="18"/>
      <c r="C2673" s="18"/>
      <c r="D2673" s="18"/>
      <c r="E2673" s="10" t="str">
        <f>IF(B2673="","",IFERROR(INDEX(Harytlar!$C$5:$C$44,MATCH(B2673,Harytlar!$A$5:$A$44,0)),""))</f>
        <v/>
      </c>
      <c r="F2673" s="10" t="str">
        <f t="shared" si="41"/>
        <v/>
      </c>
      <c r="G2673" s="10" t="str">
        <f>IF(OR(C2673="",B2673=""),"",IFERROR(C2673*INDEX(Harytlar!$D$5:$D$44,MATCH(B2673,Harytlar!$A$5:$A$44,0)),""))</f>
        <v/>
      </c>
    </row>
    <row r="2674" spans="1:7" x14ac:dyDescent="0.3">
      <c r="A2674" s="17"/>
      <c r="B2674" s="18"/>
      <c r="C2674" s="18"/>
      <c r="D2674" s="18"/>
      <c r="E2674" s="10" t="str">
        <f>IF(B2674="","",IFERROR(INDEX(Harytlar!$C$5:$C$44,MATCH(B2674,Harytlar!$A$5:$A$44,0)),""))</f>
        <v/>
      </c>
      <c r="F2674" s="10" t="str">
        <f t="shared" si="41"/>
        <v/>
      </c>
      <c r="G2674" s="10" t="str">
        <f>IF(OR(C2674="",B2674=""),"",IFERROR(C2674*INDEX(Harytlar!$D$5:$D$44,MATCH(B2674,Harytlar!$A$5:$A$44,0)),""))</f>
        <v/>
      </c>
    </row>
    <row r="2675" spans="1:7" x14ac:dyDescent="0.3">
      <c r="A2675" s="17"/>
      <c r="B2675" s="18"/>
      <c r="C2675" s="18"/>
      <c r="D2675" s="18"/>
      <c r="E2675" s="10" t="str">
        <f>IF(B2675="","",IFERROR(INDEX(Harytlar!$C$5:$C$44,MATCH(B2675,Harytlar!$A$5:$A$44,0)),""))</f>
        <v/>
      </c>
      <c r="F2675" s="10" t="str">
        <f t="shared" si="41"/>
        <v/>
      </c>
      <c r="G2675" s="10" t="str">
        <f>IF(OR(C2675="",B2675=""),"",IFERROR(C2675*INDEX(Harytlar!$D$5:$D$44,MATCH(B2675,Harytlar!$A$5:$A$44,0)),""))</f>
        <v/>
      </c>
    </row>
    <row r="2676" spans="1:7" x14ac:dyDescent="0.3">
      <c r="A2676" s="17"/>
      <c r="B2676" s="18"/>
      <c r="C2676" s="18"/>
      <c r="D2676" s="18"/>
      <c r="E2676" s="10" t="str">
        <f>IF(B2676="","",IFERROR(INDEX(Harytlar!$C$5:$C$44,MATCH(B2676,Harytlar!$A$5:$A$44,0)),""))</f>
        <v/>
      </c>
      <c r="F2676" s="10" t="str">
        <f t="shared" si="41"/>
        <v/>
      </c>
      <c r="G2676" s="10" t="str">
        <f>IF(OR(C2676="",B2676=""),"",IFERROR(C2676*INDEX(Harytlar!$D$5:$D$44,MATCH(B2676,Harytlar!$A$5:$A$44,0)),""))</f>
        <v/>
      </c>
    </row>
    <row r="2677" spans="1:7" x14ac:dyDescent="0.3">
      <c r="A2677" s="17"/>
      <c r="B2677" s="18"/>
      <c r="C2677" s="18"/>
      <c r="D2677" s="18"/>
      <c r="E2677" s="10" t="str">
        <f>IF(B2677="","",IFERROR(INDEX(Harytlar!$C$5:$C$44,MATCH(B2677,Harytlar!$A$5:$A$44,0)),""))</f>
        <v/>
      </c>
      <c r="F2677" s="10" t="str">
        <f t="shared" si="41"/>
        <v/>
      </c>
      <c r="G2677" s="10" t="str">
        <f>IF(OR(C2677="",B2677=""),"",IFERROR(C2677*INDEX(Harytlar!$D$5:$D$44,MATCH(B2677,Harytlar!$A$5:$A$44,0)),""))</f>
        <v/>
      </c>
    </row>
    <row r="2678" spans="1:7" x14ac:dyDescent="0.3">
      <c r="A2678" s="17"/>
      <c r="B2678" s="18"/>
      <c r="C2678" s="18"/>
      <c r="D2678" s="18"/>
      <c r="E2678" s="10" t="str">
        <f>IF(B2678="","",IFERROR(INDEX(Harytlar!$C$5:$C$44,MATCH(B2678,Harytlar!$A$5:$A$44,0)),""))</f>
        <v/>
      </c>
      <c r="F2678" s="10" t="str">
        <f t="shared" si="41"/>
        <v/>
      </c>
      <c r="G2678" s="10" t="str">
        <f>IF(OR(C2678="",B2678=""),"",IFERROR(C2678*INDEX(Harytlar!$D$5:$D$44,MATCH(B2678,Harytlar!$A$5:$A$44,0)),""))</f>
        <v/>
      </c>
    </row>
    <row r="2679" spans="1:7" x14ac:dyDescent="0.3">
      <c r="A2679" s="17"/>
      <c r="B2679" s="18"/>
      <c r="C2679" s="18"/>
      <c r="D2679" s="18"/>
      <c r="E2679" s="10" t="str">
        <f>IF(B2679="","",IFERROR(INDEX(Harytlar!$C$5:$C$44,MATCH(B2679,Harytlar!$A$5:$A$44,0)),""))</f>
        <v/>
      </c>
      <c r="F2679" s="10" t="str">
        <f t="shared" si="41"/>
        <v/>
      </c>
      <c r="G2679" s="10" t="str">
        <f>IF(OR(C2679="",B2679=""),"",IFERROR(C2679*INDEX(Harytlar!$D$5:$D$44,MATCH(B2679,Harytlar!$A$5:$A$44,0)),""))</f>
        <v/>
      </c>
    </row>
    <row r="2680" spans="1:7" x14ac:dyDescent="0.3">
      <c r="A2680" s="17"/>
      <c r="B2680" s="18"/>
      <c r="C2680" s="18"/>
      <c r="D2680" s="18"/>
      <c r="E2680" s="10" t="str">
        <f>IF(B2680="","",IFERROR(INDEX(Harytlar!$C$5:$C$44,MATCH(B2680,Harytlar!$A$5:$A$44,0)),""))</f>
        <v/>
      </c>
      <c r="F2680" s="10" t="str">
        <f t="shared" si="41"/>
        <v/>
      </c>
      <c r="G2680" s="10" t="str">
        <f>IF(OR(C2680="",B2680=""),"",IFERROR(C2680*INDEX(Harytlar!$D$5:$D$44,MATCH(B2680,Harytlar!$A$5:$A$44,0)),""))</f>
        <v/>
      </c>
    </row>
    <row r="2681" spans="1:7" x14ac:dyDescent="0.3">
      <c r="A2681" s="17"/>
      <c r="B2681" s="18"/>
      <c r="C2681" s="18"/>
      <c r="D2681" s="18"/>
      <c r="E2681" s="10" t="str">
        <f>IF(B2681="","",IFERROR(INDEX(Harytlar!$C$5:$C$44,MATCH(B2681,Harytlar!$A$5:$A$44,0)),""))</f>
        <v/>
      </c>
      <c r="F2681" s="10" t="str">
        <f t="shared" si="41"/>
        <v/>
      </c>
      <c r="G2681" s="10" t="str">
        <f>IF(OR(C2681="",B2681=""),"",IFERROR(C2681*INDEX(Harytlar!$D$5:$D$44,MATCH(B2681,Harytlar!$A$5:$A$44,0)),""))</f>
        <v/>
      </c>
    </row>
    <row r="2682" spans="1:7" x14ac:dyDescent="0.3">
      <c r="A2682" s="17"/>
      <c r="B2682" s="18"/>
      <c r="C2682" s="18"/>
      <c r="D2682" s="18"/>
      <c r="E2682" s="10" t="str">
        <f>IF(B2682="","",IFERROR(INDEX(Harytlar!$C$5:$C$44,MATCH(B2682,Harytlar!$A$5:$A$44,0)),""))</f>
        <v/>
      </c>
      <c r="F2682" s="10" t="str">
        <f t="shared" si="41"/>
        <v/>
      </c>
      <c r="G2682" s="10" t="str">
        <f>IF(OR(C2682="",B2682=""),"",IFERROR(C2682*INDEX(Harytlar!$D$5:$D$44,MATCH(B2682,Harytlar!$A$5:$A$44,0)),""))</f>
        <v/>
      </c>
    </row>
    <row r="2683" spans="1:7" x14ac:dyDescent="0.3">
      <c r="A2683" s="17"/>
      <c r="B2683" s="18"/>
      <c r="C2683" s="18"/>
      <c r="D2683" s="18"/>
      <c r="E2683" s="10" t="str">
        <f>IF(B2683="","",IFERROR(INDEX(Harytlar!$C$5:$C$44,MATCH(B2683,Harytlar!$A$5:$A$44,0)),""))</f>
        <v/>
      </c>
      <c r="F2683" s="10" t="str">
        <f t="shared" si="41"/>
        <v/>
      </c>
      <c r="G2683" s="10" t="str">
        <f>IF(OR(C2683="",B2683=""),"",IFERROR(C2683*INDEX(Harytlar!$D$5:$D$44,MATCH(B2683,Harytlar!$A$5:$A$44,0)),""))</f>
        <v/>
      </c>
    </row>
    <row r="2684" spans="1:7" x14ac:dyDescent="0.3">
      <c r="A2684" s="17"/>
      <c r="B2684" s="18"/>
      <c r="C2684" s="18"/>
      <c r="D2684" s="18"/>
      <c r="E2684" s="10" t="str">
        <f>IF(B2684="","",IFERROR(INDEX(Harytlar!$C$5:$C$44,MATCH(B2684,Harytlar!$A$5:$A$44,0)),""))</f>
        <v/>
      </c>
      <c r="F2684" s="10" t="str">
        <f t="shared" si="41"/>
        <v/>
      </c>
      <c r="G2684" s="10" t="str">
        <f>IF(OR(C2684="",B2684=""),"",IFERROR(C2684*INDEX(Harytlar!$D$5:$D$44,MATCH(B2684,Harytlar!$A$5:$A$44,0)),""))</f>
        <v/>
      </c>
    </row>
    <row r="2685" spans="1:7" x14ac:dyDescent="0.3">
      <c r="A2685" s="17"/>
      <c r="B2685" s="18"/>
      <c r="C2685" s="18"/>
      <c r="D2685" s="18"/>
      <c r="E2685" s="10" t="str">
        <f>IF(B2685="","",IFERROR(INDEX(Harytlar!$C$5:$C$44,MATCH(B2685,Harytlar!$A$5:$A$44,0)),""))</f>
        <v/>
      </c>
      <c r="F2685" s="10" t="str">
        <f t="shared" si="41"/>
        <v/>
      </c>
      <c r="G2685" s="10" t="str">
        <f>IF(OR(C2685="",B2685=""),"",IFERROR(C2685*INDEX(Harytlar!$D$5:$D$44,MATCH(B2685,Harytlar!$A$5:$A$44,0)),""))</f>
        <v/>
      </c>
    </row>
    <row r="2686" spans="1:7" x14ac:dyDescent="0.3">
      <c r="A2686" s="17"/>
      <c r="B2686" s="18"/>
      <c r="C2686" s="18"/>
      <c r="D2686" s="18"/>
      <c r="E2686" s="10" t="str">
        <f>IF(B2686="","",IFERROR(INDEX(Harytlar!$C$5:$C$44,MATCH(B2686,Harytlar!$A$5:$A$44,0)),""))</f>
        <v/>
      </c>
      <c r="F2686" s="10" t="str">
        <f t="shared" si="41"/>
        <v/>
      </c>
      <c r="G2686" s="10" t="str">
        <f>IF(OR(C2686="",B2686=""),"",IFERROR(C2686*INDEX(Harytlar!$D$5:$D$44,MATCH(B2686,Harytlar!$A$5:$A$44,0)),""))</f>
        <v/>
      </c>
    </row>
    <row r="2687" spans="1:7" x14ac:dyDescent="0.3">
      <c r="A2687" s="17"/>
      <c r="B2687" s="18"/>
      <c r="C2687" s="18"/>
      <c r="D2687" s="18"/>
      <c r="E2687" s="10" t="str">
        <f>IF(B2687="","",IFERROR(INDEX(Harytlar!$C$5:$C$44,MATCH(B2687,Harytlar!$A$5:$A$44,0)),""))</f>
        <v/>
      </c>
      <c r="F2687" s="10" t="str">
        <f t="shared" si="41"/>
        <v/>
      </c>
      <c r="G2687" s="10" t="str">
        <f>IF(OR(C2687="",B2687=""),"",IFERROR(C2687*INDEX(Harytlar!$D$5:$D$44,MATCH(B2687,Harytlar!$A$5:$A$44,0)),""))</f>
        <v/>
      </c>
    </row>
    <row r="2688" spans="1:7" x14ac:dyDescent="0.3">
      <c r="A2688" s="17"/>
      <c r="B2688" s="18"/>
      <c r="C2688" s="18"/>
      <c r="D2688" s="18"/>
      <c r="E2688" s="10" t="str">
        <f>IF(B2688="","",IFERROR(INDEX(Harytlar!$C$5:$C$44,MATCH(B2688,Harytlar!$A$5:$A$44,0)),""))</f>
        <v/>
      </c>
      <c r="F2688" s="10" t="str">
        <f t="shared" si="41"/>
        <v/>
      </c>
      <c r="G2688" s="10" t="str">
        <f>IF(OR(C2688="",B2688=""),"",IFERROR(C2688*INDEX(Harytlar!$D$5:$D$44,MATCH(B2688,Harytlar!$A$5:$A$44,0)),""))</f>
        <v/>
      </c>
    </row>
    <row r="2689" spans="1:7" x14ac:dyDescent="0.3">
      <c r="A2689" s="17"/>
      <c r="B2689" s="18"/>
      <c r="C2689" s="18"/>
      <c r="D2689" s="18"/>
      <c r="E2689" s="10" t="str">
        <f>IF(B2689="","",IFERROR(INDEX(Harytlar!$C$5:$C$44,MATCH(B2689,Harytlar!$A$5:$A$44,0)),""))</f>
        <v/>
      </c>
      <c r="F2689" s="10" t="str">
        <f t="shared" si="41"/>
        <v/>
      </c>
      <c r="G2689" s="10" t="str">
        <f>IF(OR(C2689="",B2689=""),"",IFERROR(C2689*INDEX(Harytlar!$D$5:$D$44,MATCH(B2689,Harytlar!$A$5:$A$44,0)),""))</f>
        <v/>
      </c>
    </row>
    <row r="2690" spans="1:7" x14ac:dyDescent="0.3">
      <c r="A2690" s="17"/>
      <c r="B2690" s="18"/>
      <c r="C2690" s="18"/>
      <c r="D2690" s="18"/>
      <c r="E2690" s="10" t="str">
        <f>IF(B2690="","",IFERROR(INDEX(Harytlar!$C$5:$C$44,MATCH(B2690,Harytlar!$A$5:$A$44,0)),""))</f>
        <v/>
      </c>
      <c r="F2690" s="10" t="str">
        <f t="shared" si="41"/>
        <v/>
      </c>
      <c r="G2690" s="10" t="str">
        <f>IF(OR(C2690="",B2690=""),"",IFERROR(C2690*INDEX(Harytlar!$D$5:$D$44,MATCH(B2690,Harytlar!$A$5:$A$44,0)),""))</f>
        <v/>
      </c>
    </row>
    <row r="2691" spans="1:7" x14ac:dyDescent="0.3">
      <c r="A2691" s="17"/>
      <c r="B2691" s="18"/>
      <c r="C2691" s="18"/>
      <c r="D2691" s="18"/>
      <c r="E2691" s="10" t="str">
        <f>IF(B2691="","",IFERROR(INDEX(Harytlar!$C$5:$C$44,MATCH(B2691,Harytlar!$A$5:$A$44,0)),""))</f>
        <v/>
      </c>
      <c r="F2691" s="10" t="str">
        <f t="shared" si="41"/>
        <v/>
      </c>
      <c r="G2691" s="10" t="str">
        <f>IF(OR(C2691="",B2691=""),"",IFERROR(C2691*INDEX(Harytlar!$D$5:$D$44,MATCH(B2691,Harytlar!$A$5:$A$44,0)),""))</f>
        <v/>
      </c>
    </row>
    <row r="2692" spans="1:7" x14ac:dyDescent="0.3">
      <c r="A2692" s="17"/>
      <c r="B2692" s="18"/>
      <c r="C2692" s="18"/>
      <c r="D2692" s="18"/>
      <c r="E2692" s="10" t="str">
        <f>IF(B2692="","",IFERROR(INDEX(Harytlar!$C$5:$C$44,MATCH(B2692,Harytlar!$A$5:$A$44,0)),""))</f>
        <v/>
      </c>
      <c r="F2692" s="10" t="str">
        <f t="shared" si="41"/>
        <v/>
      </c>
      <c r="G2692" s="10" t="str">
        <f>IF(OR(C2692="",B2692=""),"",IFERROR(C2692*INDEX(Harytlar!$D$5:$D$44,MATCH(B2692,Harytlar!$A$5:$A$44,0)),""))</f>
        <v/>
      </c>
    </row>
    <row r="2693" spans="1:7" x14ac:dyDescent="0.3">
      <c r="A2693" s="17"/>
      <c r="B2693" s="18"/>
      <c r="C2693" s="18"/>
      <c r="D2693" s="18"/>
      <c r="E2693" s="10" t="str">
        <f>IF(B2693="","",IFERROR(INDEX(Harytlar!$C$5:$C$44,MATCH(B2693,Harytlar!$A$5:$A$44,0)),""))</f>
        <v/>
      </c>
      <c r="F2693" s="10" t="str">
        <f t="shared" si="41"/>
        <v/>
      </c>
      <c r="G2693" s="10" t="str">
        <f>IF(OR(C2693="",B2693=""),"",IFERROR(C2693*INDEX(Harytlar!$D$5:$D$44,MATCH(B2693,Harytlar!$A$5:$A$44,0)),""))</f>
        <v/>
      </c>
    </row>
    <row r="2694" spans="1:7" x14ac:dyDescent="0.3">
      <c r="A2694" s="17"/>
      <c r="B2694" s="18"/>
      <c r="C2694" s="18"/>
      <c r="D2694" s="18"/>
      <c r="E2694" s="10" t="str">
        <f>IF(B2694="","",IFERROR(INDEX(Harytlar!$C$5:$C$44,MATCH(B2694,Harytlar!$A$5:$A$44,0)),""))</f>
        <v/>
      </c>
      <c r="F2694" s="10" t="str">
        <f t="shared" ref="F2694:F2757" si="42">IF(OR(C2694="",E2694=""),"",C2694*E2694)</f>
        <v/>
      </c>
      <c r="G2694" s="10" t="str">
        <f>IF(OR(C2694="",B2694=""),"",IFERROR(C2694*INDEX(Harytlar!$D$5:$D$44,MATCH(B2694,Harytlar!$A$5:$A$44,0)),""))</f>
        <v/>
      </c>
    </row>
    <row r="2695" spans="1:7" x14ac:dyDescent="0.3">
      <c r="A2695" s="17"/>
      <c r="B2695" s="18"/>
      <c r="C2695" s="18"/>
      <c r="D2695" s="18"/>
      <c r="E2695" s="10" t="str">
        <f>IF(B2695="","",IFERROR(INDEX(Harytlar!$C$5:$C$44,MATCH(B2695,Harytlar!$A$5:$A$44,0)),""))</f>
        <v/>
      </c>
      <c r="F2695" s="10" t="str">
        <f t="shared" si="42"/>
        <v/>
      </c>
      <c r="G2695" s="10" t="str">
        <f>IF(OR(C2695="",B2695=""),"",IFERROR(C2695*INDEX(Harytlar!$D$5:$D$44,MATCH(B2695,Harytlar!$A$5:$A$44,0)),""))</f>
        <v/>
      </c>
    </row>
    <row r="2696" spans="1:7" x14ac:dyDescent="0.3">
      <c r="A2696" s="17"/>
      <c r="B2696" s="18"/>
      <c r="C2696" s="18"/>
      <c r="D2696" s="18"/>
      <c r="E2696" s="10" t="str">
        <f>IF(B2696="","",IFERROR(INDEX(Harytlar!$C$5:$C$44,MATCH(B2696,Harytlar!$A$5:$A$44,0)),""))</f>
        <v/>
      </c>
      <c r="F2696" s="10" t="str">
        <f t="shared" si="42"/>
        <v/>
      </c>
      <c r="G2696" s="10" t="str">
        <f>IF(OR(C2696="",B2696=""),"",IFERROR(C2696*INDEX(Harytlar!$D$5:$D$44,MATCH(B2696,Harytlar!$A$5:$A$44,0)),""))</f>
        <v/>
      </c>
    </row>
    <row r="2697" spans="1:7" x14ac:dyDescent="0.3">
      <c r="A2697" s="17"/>
      <c r="B2697" s="18"/>
      <c r="C2697" s="18"/>
      <c r="D2697" s="18"/>
      <c r="E2697" s="10" t="str">
        <f>IF(B2697="","",IFERROR(INDEX(Harytlar!$C$5:$C$44,MATCH(B2697,Harytlar!$A$5:$A$44,0)),""))</f>
        <v/>
      </c>
      <c r="F2697" s="10" t="str">
        <f t="shared" si="42"/>
        <v/>
      </c>
      <c r="G2697" s="10" t="str">
        <f>IF(OR(C2697="",B2697=""),"",IFERROR(C2697*INDEX(Harytlar!$D$5:$D$44,MATCH(B2697,Harytlar!$A$5:$A$44,0)),""))</f>
        <v/>
      </c>
    </row>
    <row r="2698" spans="1:7" x14ac:dyDescent="0.3">
      <c r="A2698" s="17"/>
      <c r="B2698" s="18"/>
      <c r="C2698" s="18"/>
      <c r="D2698" s="18"/>
      <c r="E2698" s="10" t="str">
        <f>IF(B2698="","",IFERROR(INDEX(Harytlar!$C$5:$C$44,MATCH(B2698,Harytlar!$A$5:$A$44,0)),""))</f>
        <v/>
      </c>
      <c r="F2698" s="10" t="str">
        <f t="shared" si="42"/>
        <v/>
      </c>
      <c r="G2698" s="10" t="str">
        <f>IF(OR(C2698="",B2698=""),"",IFERROR(C2698*INDEX(Harytlar!$D$5:$D$44,MATCH(B2698,Harytlar!$A$5:$A$44,0)),""))</f>
        <v/>
      </c>
    </row>
    <row r="2699" spans="1:7" x14ac:dyDescent="0.3">
      <c r="A2699" s="17"/>
      <c r="B2699" s="18"/>
      <c r="C2699" s="18"/>
      <c r="D2699" s="18"/>
      <c r="E2699" s="10" t="str">
        <f>IF(B2699="","",IFERROR(INDEX(Harytlar!$C$5:$C$44,MATCH(B2699,Harytlar!$A$5:$A$44,0)),""))</f>
        <v/>
      </c>
      <c r="F2699" s="10" t="str">
        <f t="shared" si="42"/>
        <v/>
      </c>
      <c r="G2699" s="10" t="str">
        <f>IF(OR(C2699="",B2699=""),"",IFERROR(C2699*INDEX(Harytlar!$D$5:$D$44,MATCH(B2699,Harytlar!$A$5:$A$44,0)),""))</f>
        <v/>
      </c>
    </row>
    <row r="2700" spans="1:7" x14ac:dyDescent="0.3">
      <c r="A2700" s="17"/>
      <c r="B2700" s="18"/>
      <c r="C2700" s="18"/>
      <c r="D2700" s="18"/>
      <c r="E2700" s="10" t="str">
        <f>IF(B2700="","",IFERROR(INDEX(Harytlar!$C$5:$C$44,MATCH(B2700,Harytlar!$A$5:$A$44,0)),""))</f>
        <v/>
      </c>
      <c r="F2700" s="10" t="str">
        <f t="shared" si="42"/>
        <v/>
      </c>
      <c r="G2700" s="10" t="str">
        <f>IF(OR(C2700="",B2700=""),"",IFERROR(C2700*INDEX(Harytlar!$D$5:$D$44,MATCH(B2700,Harytlar!$A$5:$A$44,0)),""))</f>
        <v/>
      </c>
    </row>
    <row r="2701" spans="1:7" x14ac:dyDescent="0.3">
      <c r="A2701" s="17"/>
      <c r="B2701" s="18"/>
      <c r="C2701" s="18"/>
      <c r="D2701" s="18"/>
      <c r="E2701" s="10" t="str">
        <f>IF(B2701="","",IFERROR(INDEX(Harytlar!$C$5:$C$44,MATCH(B2701,Harytlar!$A$5:$A$44,0)),""))</f>
        <v/>
      </c>
      <c r="F2701" s="10" t="str">
        <f t="shared" si="42"/>
        <v/>
      </c>
      <c r="G2701" s="10" t="str">
        <f>IF(OR(C2701="",B2701=""),"",IFERROR(C2701*INDEX(Harytlar!$D$5:$D$44,MATCH(B2701,Harytlar!$A$5:$A$44,0)),""))</f>
        <v/>
      </c>
    </row>
    <row r="2702" spans="1:7" x14ac:dyDescent="0.3">
      <c r="A2702" s="17"/>
      <c r="B2702" s="18"/>
      <c r="C2702" s="18"/>
      <c r="D2702" s="18"/>
      <c r="E2702" s="10" t="str">
        <f>IF(B2702="","",IFERROR(INDEX(Harytlar!$C$5:$C$44,MATCH(B2702,Harytlar!$A$5:$A$44,0)),""))</f>
        <v/>
      </c>
      <c r="F2702" s="10" t="str">
        <f t="shared" si="42"/>
        <v/>
      </c>
      <c r="G2702" s="10" t="str">
        <f>IF(OR(C2702="",B2702=""),"",IFERROR(C2702*INDEX(Harytlar!$D$5:$D$44,MATCH(B2702,Harytlar!$A$5:$A$44,0)),""))</f>
        <v/>
      </c>
    </row>
    <row r="2703" spans="1:7" x14ac:dyDescent="0.3">
      <c r="A2703" s="17"/>
      <c r="B2703" s="18"/>
      <c r="C2703" s="18"/>
      <c r="D2703" s="18"/>
      <c r="E2703" s="10" t="str">
        <f>IF(B2703="","",IFERROR(INDEX(Harytlar!$C$5:$C$44,MATCH(B2703,Harytlar!$A$5:$A$44,0)),""))</f>
        <v/>
      </c>
      <c r="F2703" s="10" t="str">
        <f t="shared" si="42"/>
        <v/>
      </c>
      <c r="G2703" s="10" t="str">
        <f>IF(OR(C2703="",B2703=""),"",IFERROR(C2703*INDEX(Harytlar!$D$5:$D$44,MATCH(B2703,Harytlar!$A$5:$A$44,0)),""))</f>
        <v/>
      </c>
    </row>
    <row r="2704" spans="1:7" x14ac:dyDescent="0.3">
      <c r="A2704" s="17"/>
      <c r="B2704" s="18"/>
      <c r="C2704" s="18"/>
      <c r="D2704" s="18"/>
      <c r="E2704" s="10" t="str">
        <f>IF(B2704="","",IFERROR(INDEX(Harytlar!$C$5:$C$44,MATCH(B2704,Harytlar!$A$5:$A$44,0)),""))</f>
        <v/>
      </c>
      <c r="F2704" s="10" t="str">
        <f t="shared" si="42"/>
        <v/>
      </c>
      <c r="G2704" s="10" t="str">
        <f>IF(OR(C2704="",B2704=""),"",IFERROR(C2704*INDEX(Harytlar!$D$5:$D$44,MATCH(B2704,Harytlar!$A$5:$A$44,0)),""))</f>
        <v/>
      </c>
    </row>
    <row r="2705" spans="1:7" x14ac:dyDescent="0.3">
      <c r="A2705" s="17"/>
      <c r="B2705" s="18"/>
      <c r="C2705" s="18"/>
      <c r="D2705" s="18"/>
      <c r="E2705" s="10" t="str">
        <f>IF(B2705="","",IFERROR(INDEX(Harytlar!$C$5:$C$44,MATCH(B2705,Harytlar!$A$5:$A$44,0)),""))</f>
        <v/>
      </c>
      <c r="F2705" s="10" t="str">
        <f t="shared" si="42"/>
        <v/>
      </c>
      <c r="G2705" s="10" t="str">
        <f>IF(OR(C2705="",B2705=""),"",IFERROR(C2705*INDEX(Harytlar!$D$5:$D$44,MATCH(B2705,Harytlar!$A$5:$A$44,0)),""))</f>
        <v/>
      </c>
    </row>
    <row r="2706" spans="1:7" x14ac:dyDescent="0.3">
      <c r="A2706" s="17"/>
      <c r="B2706" s="18"/>
      <c r="C2706" s="18"/>
      <c r="D2706" s="18"/>
      <c r="E2706" s="10" t="str">
        <f>IF(B2706="","",IFERROR(INDEX(Harytlar!$C$5:$C$44,MATCH(B2706,Harytlar!$A$5:$A$44,0)),""))</f>
        <v/>
      </c>
      <c r="F2706" s="10" t="str">
        <f t="shared" si="42"/>
        <v/>
      </c>
      <c r="G2706" s="10" t="str">
        <f>IF(OR(C2706="",B2706=""),"",IFERROR(C2706*INDEX(Harytlar!$D$5:$D$44,MATCH(B2706,Harytlar!$A$5:$A$44,0)),""))</f>
        <v/>
      </c>
    </row>
    <row r="2707" spans="1:7" x14ac:dyDescent="0.3">
      <c r="A2707" s="17"/>
      <c r="B2707" s="18"/>
      <c r="C2707" s="18"/>
      <c r="D2707" s="18"/>
      <c r="E2707" s="10" t="str">
        <f>IF(B2707="","",IFERROR(INDEX(Harytlar!$C$5:$C$44,MATCH(B2707,Harytlar!$A$5:$A$44,0)),""))</f>
        <v/>
      </c>
      <c r="F2707" s="10" t="str">
        <f t="shared" si="42"/>
        <v/>
      </c>
      <c r="G2707" s="10" t="str">
        <f>IF(OR(C2707="",B2707=""),"",IFERROR(C2707*INDEX(Harytlar!$D$5:$D$44,MATCH(B2707,Harytlar!$A$5:$A$44,0)),""))</f>
        <v/>
      </c>
    </row>
    <row r="2708" spans="1:7" x14ac:dyDescent="0.3">
      <c r="A2708" s="17"/>
      <c r="B2708" s="18"/>
      <c r="C2708" s="18"/>
      <c r="D2708" s="18"/>
      <c r="E2708" s="10" t="str">
        <f>IF(B2708="","",IFERROR(INDEX(Harytlar!$C$5:$C$44,MATCH(B2708,Harytlar!$A$5:$A$44,0)),""))</f>
        <v/>
      </c>
      <c r="F2708" s="10" t="str">
        <f t="shared" si="42"/>
        <v/>
      </c>
      <c r="G2708" s="10" t="str">
        <f>IF(OR(C2708="",B2708=""),"",IFERROR(C2708*INDEX(Harytlar!$D$5:$D$44,MATCH(B2708,Harytlar!$A$5:$A$44,0)),""))</f>
        <v/>
      </c>
    </row>
    <row r="2709" spans="1:7" x14ac:dyDescent="0.3">
      <c r="A2709" s="17"/>
      <c r="B2709" s="18"/>
      <c r="C2709" s="18"/>
      <c r="D2709" s="18"/>
      <c r="E2709" s="10" t="str">
        <f>IF(B2709="","",IFERROR(INDEX(Harytlar!$C$5:$C$44,MATCH(B2709,Harytlar!$A$5:$A$44,0)),""))</f>
        <v/>
      </c>
      <c r="F2709" s="10" t="str">
        <f t="shared" si="42"/>
        <v/>
      </c>
      <c r="G2709" s="10" t="str">
        <f>IF(OR(C2709="",B2709=""),"",IFERROR(C2709*INDEX(Harytlar!$D$5:$D$44,MATCH(B2709,Harytlar!$A$5:$A$44,0)),""))</f>
        <v/>
      </c>
    </row>
    <row r="2710" spans="1:7" x14ac:dyDescent="0.3">
      <c r="A2710" s="17"/>
      <c r="B2710" s="18"/>
      <c r="C2710" s="18"/>
      <c r="D2710" s="18"/>
      <c r="E2710" s="10" t="str">
        <f>IF(B2710="","",IFERROR(INDEX(Harytlar!$C$5:$C$44,MATCH(B2710,Harytlar!$A$5:$A$44,0)),""))</f>
        <v/>
      </c>
      <c r="F2710" s="10" t="str">
        <f t="shared" si="42"/>
        <v/>
      </c>
      <c r="G2710" s="10" t="str">
        <f>IF(OR(C2710="",B2710=""),"",IFERROR(C2710*INDEX(Harytlar!$D$5:$D$44,MATCH(B2710,Harytlar!$A$5:$A$44,0)),""))</f>
        <v/>
      </c>
    </row>
    <row r="2711" spans="1:7" x14ac:dyDescent="0.3">
      <c r="A2711" s="17"/>
      <c r="B2711" s="18"/>
      <c r="C2711" s="18"/>
      <c r="D2711" s="18"/>
      <c r="E2711" s="10" t="str">
        <f>IF(B2711="","",IFERROR(INDEX(Harytlar!$C$5:$C$44,MATCH(B2711,Harytlar!$A$5:$A$44,0)),""))</f>
        <v/>
      </c>
      <c r="F2711" s="10" t="str">
        <f t="shared" si="42"/>
        <v/>
      </c>
      <c r="G2711" s="10" t="str">
        <f>IF(OR(C2711="",B2711=""),"",IFERROR(C2711*INDEX(Harytlar!$D$5:$D$44,MATCH(B2711,Harytlar!$A$5:$A$44,0)),""))</f>
        <v/>
      </c>
    </row>
    <row r="2712" spans="1:7" x14ac:dyDescent="0.3">
      <c r="A2712" s="17"/>
      <c r="B2712" s="18"/>
      <c r="C2712" s="18"/>
      <c r="D2712" s="18"/>
      <c r="E2712" s="10" t="str">
        <f>IF(B2712="","",IFERROR(INDEX(Harytlar!$C$5:$C$44,MATCH(B2712,Harytlar!$A$5:$A$44,0)),""))</f>
        <v/>
      </c>
      <c r="F2712" s="10" t="str">
        <f t="shared" si="42"/>
        <v/>
      </c>
      <c r="G2712" s="10" t="str">
        <f>IF(OR(C2712="",B2712=""),"",IFERROR(C2712*INDEX(Harytlar!$D$5:$D$44,MATCH(B2712,Harytlar!$A$5:$A$44,0)),""))</f>
        <v/>
      </c>
    </row>
    <row r="2713" spans="1:7" x14ac:dyDescent="0.3">
      <c r="A2713" s="17"/>
      <c r="B2713" s="18"/>
      <c r="C2713" s="18"/>
      <c r="D2713" s="18"/>
      <c r="E2713" s="10" t="str">
        <f>IF(B2713="","",IFERROR(INDEX(Harytlar!$C$5:$C$44,MATCH(B2713,Harytlar!$A$5:$A$44,0)),""))</f>
        <v/>
      </c>
      <c r="F2713" s="10" t="str">
        <f t="shared" si="42"/>
        <v/>
      </c>
      <c r="G2713" s="10" t="str">
        <f>IF(OR(C2713="",B2713=""),"",IFERROR(C2713*INDEX(Harytlar!$D$5:$D$44,MATCH(B2713,Harytlar!$A$5:$A$44,0)),""))</f>
        <v/>
      </c>
    </row>
    <row r="2714" spans="1:7" x14ac:dyDescent="0.3">
      <c r="A2714" s="17"/>
      <c r="B2714" s="18"/>
      <c r="C2714" s="18"/>
      <c r="D2714" s="18"/>
      <c r="E2714" s="10" t="str">
        <f>IF(B2714="","",IFERROR(INDEX(Harytlar!$C$5:$C$44,MATCH(B2714,Harytlar!$A$5:$A$44,0)),""))</f>
        <v/>
      </c>
      <c r="F2714" s="10" t="str">
        <f t="shared" si="42"/>
        <v/>
      </c>
      <c r="G2714" s="10" t="str">
        <f>IF(OR(C2714="",B2714=""),"",IFERROR(C2714*INDEX(Harytlar!$D$5:$D$44,MATCH(B2714,Harytlar!$A$5:$A$44,0)),""))</f>
        <v/>
      </c>
    </row>
    <row r="2715" spans="1:7" x14ac:dyDescent="0.3">
      <c r="A2715" s="17"/>
      <c r="B2715" s="18"/>
      <c r="C2715" s="18"/>
      <c r="D2715" s="18"/>
      <c r="E2715" s="10" t="str">
        <f>IF(B2715="","",IFERROR(INDEX(Harytlar!$C$5:$C$44,MATCH(B2715,Harytlar!$A$5:$A$44,0)),""))</f>
        <v/>
      </c>
      <c r="F2715" s="10" t="str">
        <f t="shared" si="42"/>
        <v/>
      </c>
      <c r="G2715" s="10" t="str">
        <f>IF(OR(C2715="",B2715=""),"",IFERROR(C2715*INDEX(Harytlar!$D$5:$D$44,MATCH(B2715,Harytlar!$A$5:$A$44,0)),""))</f>
        <v/>
      </c>
    </row>
    <row r="2716" spans="1:7" x14ac:dyDescent="0.3">
      <c r="A2716" s="17"/>
      <c r="B2716" s="18"/>
      <c r="C2716" s="18"/>
      <c r="D2716" s="18"/>
      <c r="E2716" s="10" t="str">
        <f>IF(B2716="","",IFERROR(INDEX(Harytlar!$C$5:$C$44,MATCH(B2716,Harytlar!$A$5:$A$44,0)),""))</f>
        <v/>
      </c>
      <c r="F2716" s="10" t="str">
        <f t="shared" si="42"/>
        <v/>
      </c>
      <c r="G2716" s="10" t="str">
        <f>IF(OR(C2716="",B2716=""),"",IFERROR(C2716*INDEX(Harytlar!$D$5:$D$44,MATCH(B2716,Harytlar!$A$5:$A$44,0)),""))</f>
        <v/>
      </c>
    </row>
    <row r="2717" spans="1:7" x14ac:dyDescent="0.3">
      <c r="A2717" s="17"/>
      <c r="B2717" s="18"/>
      <c r="C2717" s="18"/>
      <c r="D2717" s="18"/>
      <c r="E2717" s="10" t="str">
        <f>IF(B2717="","",IFERROR(INDEX(Harytlar!$C$5:$C$44,MATCH(B2717,Harytlar!$A$5:$A$44,0)),""))</f>
        <v/>
      </c>
      <c r="F2717" s="10" t="str">
        <f t="shared" si="42"/>
        <v/>
      </c>
      <c r="G2717" s="10" t="str">
        <f>IF(OR(C2717="",B2717=""),"",IFERROR(C2717*INDEX(Harytlar!$D$5:$D$44,MATCH(B2717,Harytlar!$A$5:$A$44,0)),""))</f>
        <v/>
      </c>
    </row>
    <row r="2718" spans="1:7" x14ac:dyDescent="0.3">
      <c r="A2718" s="17"/>
      <c r="B2718" s="18"/>
      <c r="C2718" s="18"/>
      <c r="D2718" s="18"/>
      <c r="E2718" s="10" t="str">
        <f>IF(B2718="","",IFERROR(INDEX(Harytlar!$C$5:$C$44,MATCH(B2718,Harytlar!$A$5:$A$44,0)),""))</f>
        <v/>
      </c>
      <c r="F2718" s="10" t="str">
        <f t="shared" si="42"/>
        <v/>
      </c>
      <c r="G2718" s="10" t="str">
        <f>IF(OR(C2718="",B2718=""),"",IFERROR(C2718*INDEX(Harytlar!$D$5:$D$44,MATCH(B2718,Harytlar!$A$5:$A$44,0)),""))</f>
        <v/>
      </c>
    </row>
    <row r="2719" spans="1:7" x14ac:dyDescent="0.3">
      <c r="A2719" s="17"/>
      <c r="B2719" s="18"/>
      <c r="C2719" s="18"/>
      <c r="D2719" s="18"/>
      <c r="E2719" s="10" t="str">
        <f>IF(B2719="","",IFERROR(INDEX(Harytlar!$C$5:$C$44,MATCH(B2719,Harytlar!$A$5:$A$44,0)),""))</f>
        <v/>
      </c>
      <c r="F2719" s="10" t="str">
        <f t="shared" si="42"/>
        <v/>
      </c>
      <c r="G2719" s="10" t="str">
        <f>IF(OR(C2719="",B2719=""),"",IFERROR(C2719*INDEX(Harytlar!$D$5:$D$44,MATCH(B2719,Harytlar!$A$5:$A$44,0)),""))</f>
        <v/>
      </c>
    </row>
    <row r="2720" spans="1:7" x14ac:dyDescent="0.3">
      <c r="A2720" s="17"/>
      <c r="B2720" s="18"/>
      <c r="C2720" s="18"/>
      <c r="D2720" s="18"/>
      <c r="E2720" s="10" t="str">
        <f>IF(B2720="","",IFERROR(INDEX(Harytlar!$C$5:$C$44,MATCH(B2720,Harytlar!$A$5:$A$44,0)),""))</f>
        <v/>
      </c>
      <c r="F2720" s="10" t="str">
        <f t="shared" si="42"/>
        <v/>
      </c>
      <c r="G2720" s="10" t="str">
        <f>IF(OR(C2720="",B2720=""),"",IFERROR(C2720*INDEX(Harytlar!$D$5:$D$44,MATCH(B2720,Harytlar!$A$5:$A$44,0)),""))</f>
        <v/>
      </c>
    </row>
    <row r="2721" spans="1:7" x14ac:dyDescent="0.3">
      <c r="A2721" s="17"/>
      <c r="B2721" s="18"/>
      <c r="C2721" s="18"/>
      <c r="D2721" s="18"/>
      <c r="E2721" s="10" t="str">
        <f>IF(B2721="","",IFERROR(INDEX(Harytlar!$C$5:$C$44,MATCH(B2721,Harytlar!$A$5:$A$44,0)),""))</f>
        <v/>
      </c>
      <c r="F2721" s="10" t="str">
        <f t="shared" si="42"/>
        <v/>
      </c>
      <c r="G2721" s="10" t="str">
        <f>IF(OR(C2721="",B2721=""),"",IFERROR(C2721*INDEX(Harytlar!$D$5:$D$44,MATCH(B2721,Harytlar!$A$5:$A$44,0)),""))</f>
        <v/>
      </c>
    </row>
    <row r="2722" spans="1:7" x14ac:dyDescent="0.3">
      <c r="A2722" s="17"/>
      <c r="B2722" s="18"/>
      <c r="C2722" s="18"/>
      <c r="D2722" s="18"/>
      <c r="E2722" s="10" t="str">
        <f>IF(B2722="","",IFERROR(INDEX(Harytlar!$C$5:$C$44,MATCH(B2722,Harytlar!$A$5:$A$44,0)),""))</f>
        <v/>
      </c>
      <c r="F2722" s="10" t="str">
        <f t="shared" si="42"/>
        <v/>
      </c>
      <c r="G2722" s="10" t="str">
        <f>IF(OR(C2722="",B2722=""),"",IFERROR(C2722*INDEX(Harytlar!$D$5:$D$44,MATCH(B2722,Harytlar!$A$5:$A$44,0)),""))</f>
        <v/>
      </c>
    </row>
    <row r="2723" spans="1:7" x14ac:dyDescent="0.3">
      <c r="A2723" s="17"/>
      <c r="B2723" s="18"/>
      <c r="C2723" s="18"/>
      <c r="D2723" s="18"/>
      <c r="E2723" s="10" t="str">
        <f>IF(B2723="","",IFERROR(INDEX(Harytlar!$C$5:$C$44,MATCH(B2723,Harytlar!$A$5:$A$44,0)),""))</f>
        <v/>
      </c>
      <c r="F2723" s="10" t="str">
        <f t="shared" si="42"/>
        <v/>
      </c>
      <c r="G2723" s="10" t="str">
        <f>IF(OR(C2723="",B2723=""),"",IFERROR(C2723*INDEX(Harytlar!$D$5:$D$44,MATCH(B2723,Harytlar!$A$5:$A$44,0)),""))</f>
        <v/>
      </c>
    </row>
    <row r="2724" spans="1:7" x14ac:dyDescent="0.3">
      <c r="A2724" s="17"/>
      <c r="B2724" s="18"/>
      <c r="C2724" s="18"/>
      <c r="D2724" s="18"/>
      <c r="E2724" s="10" t="str">
        <f>IF(B2724="","",IFERROR(INDEX(Harytlar!$C$5:$C$44,MATCH(B2724,Harytlar!$A$5:$A$44,0)),""))</f>
        <v/>
      </c>
      <c r="F2724" s="10" t="str">
        <f t="shared" si="42"/>
        <v/>
      </c>
      <c r="G2724" s="10" t="str">
        <f>IF(OR(C2724="",B2724=""),"",IFERROR(C2724*INDEX(Harytlar!$D$5:$D$44,MATCH(B2724,Harytlar!$A$5:$A$44,0)),""))</f>
        <v/>
      </c>
    </row>
    <row r="2725" spans="1:7" x14ac:dyDescent="0.3">
      <c r="A2725" s="17"/>
      <c r="B2725" s="18"/>
      <c r="C2725" s="18"/>
      <c r="D2725" s="18"/>
      <c r="E2725" s="10" t="str">
        <f>IF(B2725="","",IFERROR(INDEX(Harytlar!$C$5:$C$44,MATCH(B2725,Harytlar!$A$5:$A$44,0)),""))</f>
        <v/>
      </c>
      <c r="F2725" s="10" t="str">
        <f t="shared" si="42"/>
        <v/>
      </c>
      <c r="G2725" s="10" t="str">
        <f>IF(OR(C2725="",B2725=""),"",IFERROR(C2725*INDEX(Harytlar!$D$5:$D$44,MATCH(B2725,Harytlar!$A$5:$A$44,0)),""))</f>
        <v/>
      </c>
    </row>
    <row r="2726" spans="1:7" x14ac:dyDescent="0.3">
      <c r="A2726" s="17"/>
      <c r="B2726" s="18"/>
      <c r="C2726" s="18"/>
      <c r="D2726" s="18"/>
      <c r="E2726" s="10" t="str">
        <f>IF(B2726="","",IFERROR(INDEX(Harytlar!$C$5:$C$44,MATCH(B2726,Harytlar!$A$5:$A$44,0)),""))</f>
        <v/>
      </c>
      <c r="F2726" s="10" t="str">
        <f t="shared" si="42"/>
        <v/>
      </c>
      <c r="G2726" s="10" t="str">
        <f>IF(OR(C2726="",B2726=""),"",IFERROR(C2726*INDEX(Harytlar!$D$5:$D$44,MATCH(B2726,Harytlar!$A$5:$A$44,0)),""))</f>
        <v/>
      </c>
    </row>
    <row r="2727" spans="1:7" x14ac:dyDescent="0.3">
      <c r="A2727" s="17"/>
      <c r="B2727" s="18"/>
      <c r="C2727" s="18"/>
      <c r="D2727" s="18"/>
      <c r="E2727" s="10" t="str">
        <f>IF(B2727="","",IFERROR(INDEX(Harytlar!$C$5:$C$44,MATCH(B2727,Harytlar!$A$5:$A$44,0)),""))</f>
        <v/>
      </c>
      <c r="F2727" s="10" t="str">
        <f t="shared" si="42"/>
        <v/>
      </c>
      <c r="G2727" s="10" t="str">
        <f>IF(OR(C2727="",B2727=""),"",IFERROR(C2727*INDEX(Harytlar!$D$5:$D$44,MATCH(B2727,Harytlar!$A$5:$A$44,0)),""))</f>
        <v/>
      </c>
    </row>
    <row r="2728" spans="1:7" x14ac:dyDescent="0.3">
      <c r="A2728" s="17"/>
      <c r="B2728" s="18"/>
      <c r="C2728" s="18"/>
      <c r="D2728" s="18"/>
      <c r="E2728" s="10" t="str">
        <f>IF(B2728="","",IFERROR(INDEX(Harytlar!$C$5:$C$44,MATCH(B2728,Harytlar!$A$5:$A$44,0)),""))</f>
        <v/>
      </c>
      <c r="F2728" s="10" t="str">
        <f t="shared" si="42"/>
        <v/>
      </c>
      <c r="G2728" s="10" t="str">
        <f>IF(OR(C2728="",B2728=""),"",IFERROR(C2728*INDEX(Harytlar!$D$5:$D$44,MATCH(B2728,Harytlar!$A$5:$A$44,0)),""))</f>
        <v/>
      </c>
    </row>
    <row r="2729" spans="1:7" x14ac:dyDescent="0.3">
      <c r="A2729" s="17"/>
      <c r="B2729" s="18"/>
      <c r="C2729" s="18"/>
      <c r="D2729" s="18"/>
      <c r="E2729" s="10" t="str">
        <f>IF(B2729="","",IFERROR(INDEX(Harytlar!$C$5:$C$44,MATCH(B2729,Harytlar!$A$5:$A$44,0)),""))</f>
        <v/>
      </c>
      <c r="F2729" s="10" t="str">
        <f t="shared" si="42"/>
        <v/>
      </c>
      <c r="G2729" s="10" t="str">
        <f>IF(OR(C2729="",B2729=""),"",IFERROR(C2729*INDEX(Harytlar!$D$5:$D$44,MATCH(B2729,Harytlar!$A$5:$A$44,0)),""))</f>
        <v/>
      </c>
    </row>
    <row r="2730" spans="1:7" x14ac:dyDescent="0.3">
      <c r="A2730" s="17"/>
      <c r="B2730" s="18"/>
      <c r="C2730" s="18"/>
      <c r="D2730" s="18"/>
      <c r="E2730" s="10" t="str">
        <f>IF(B2730="","",IFERROR(INDEX(Harytlar!$C$5:$C$44,MATCH(B2730,Harytlar!$A$5:$A$44,0)),""))</f>
        <v/>
      </c>
      <c r="F2730" s="10" t="str">
        <f t="shared" si="42"/>
        <v/>
      </c>
      <c r="G2730" s="10" t="str">
        <f>IF(OR(C2730="",B2730=""),"",IFERROR(C2730*INDEX(Harytlar!$D$5:$D$44,MATCH(B2730,Harytlar!$A$5:$A$44,0)),""))</f>
        <v/>
      </c>
    </row>
    <row r="2731" spans="1:7" x14ac:dyDescent="0.3">
      <c r="A2731" s="17"/>
      <c r="B2731" s="18"/>
      <c r="C2731" s="18"/>
      <c r="D2731" s="18"/>
      <c r="E2731" s="10" t="str">
        <f>IF(B2731="","",IFERROR(INDEX(Harytlar!$C$5:$C$44,MATCH(B2731,Harytlar!$A$5:$A$44,0)),""))</f>
        <v/>
      </c>
      <c r="F2731" s="10" t="str">
        <f t="shared" si="42"/>
        <v/>
      </c>
      <c r="G2731" s="10" t="str">
        <f>IF(OR(C2731="",B2731=""),"",IFERROR(C2731*INDEX(Harytlar!$D$5:$D$44,MATCH(B2731,Harytlar!$A$5:$A$44,0)),""))</f>
        <v/>
      </c>
    </row>
    <row r="2732" spans="1:7" x14ac:dyDescent="0.3">
      <c r="A2732" s="17"/>
      <c r="B2732" s="18"/>
      <c r="C2732" s="18"/>
      <c r="D2732" s="18"/>
      <c r="E2732" s="10" t="str">
        <f>IF(B2732="","",IFERROR(INDEX(Harytlar!$C$5:$C$44,MATCH(B2732,Harytlar!$A$5:$A$44,0)),""))</f>
        <v/>
      </c>
      <c r="F2732" s="10" t="str">
        <f t="shared" si="42"/>
        <v/>
      </c>
      <c r="G2732" s="10" t="str">
        <f>IF(OR(C2732="",B2732=""),"",IFERROR(C2732*INDEX(Harytlar!$D$5:$D$44,MATCH(B2732,Harytlar!$A$5:$A$44,0)),""))</f>
        <v/>
      </c>
    </row>
    <row r="2733" spans="1:7" x14ac:dyDescent="0.3">
      <c r="A2733" s="17"/>
      <c r="B2733" s="18"/>
      <c r="C2733" s="18"/>
      <c r="D2733" s="18"/>
      <c r="E2733" s="10" t="str">
        <f>IF(B2733="","",IFERROR(INDEX(Harytlar!$C$5:$C$44,MATCH(B2733,Harytlar!$A$5:$A$44,0)),""))</f>
        <v/>
      </c>
      <c r="F2733" s="10" t="str">
        <f t="shared" si="42"/>
        <v/>
      </c>
      <c r="G2733" s="10" t="str">
        <f>IF(OR(C2733="",B2733=""),"",IFERROR(C2733*INDEX(Harytlar!$D$5:$D$44,MATCH(B2733,Harytlar!$A$5:$A$44,0)),""))</f>
        <v/>
      </c>
    </row>
    <row r="2734" spans="1:7" x14ac:dyDescent="0.3">
      <c r="A2734" s="17"/>
      <c r="B2734" s="18"/>
      <c r="C2734" s="18"/>
      <c r="D2734" s="18"/>
      <c r="E2734" s="10" t="str">
        <f>IF(B2734="","",IFERROR(INDEX(Harytlar!$C$5:$C$44,MATCH(B2734,Harytlar!$A$5:$A$44,0)),""))</f>
        <v/>
      </c>
      <c r="F2734" s="10" t="str">
        <f t="shared" si="42"/>
        <v/>
      </c>
      <c r="G2734" s="10" t="str">
        <f>IF(OR(C2734="",B2734=""),"",IFERROR(C2734*INDEX(Harytlar!$D$5:$D$44,MATCH(B2734,Harytlar!$A$5:$A$44,0)),""))</f>
        <v/>
      </c>
    </row>
    <row r="2735" spans="1:7" x14ac:dyDescent="0.3">
      <c r="A2735" s="17"/>
      <c r="B2735" s="18"/>
      <c r="C2735" s="18"/>
      <c r="D2735" s="18"/>
      <c r="E2735" s="10" t="str">
        <f>IF(B2735="","",IFERROR(INDEX(Harytlar!$C$5:$C$44,MATCH(B2735,Harytlar!$A$5:$A$44,0)),""))</f>
        <v/>
      </c>
      <c r="F2735" s="10" t="str">
        <f t="shared" si="42"/>
        <v/>
      </c>
      <c r="G2735" s="10" t="str">
        <f>IF(OR(C2735="",B2735=""),"",IFERROR(C2735*INDEX(Harytlar!$D$5:$D$44,MATCH(B2735,Harytlar!$A$5:$A$44,0)),""))</f>
        <v/>
      </c>
    </row>
    <row r="2736" spans="1:7" x14ac:dyDescent="0.3">
      <c r="A2736" s="17"/>
      <c r="B2736" s="18"/>
      <c r="C2736" s="18"/>
      <c r="D2736" s="18"/>
      <c r="E2736" s="10" t="str">
        <f>IF(B2736="","",IFERROR(INDEX(Harytlar!$C$5:$C$44,MATCH(B2736,Harytlar!$A$5:$A$44,0)),""))</f>
        <v/>
      </c>
      <c r="F2736" s="10" t="str">
        <f t="shared" si="42"/>
        <v/>
      </c>
      <c r="G2736" s="10" t="str">
        <f>IF(OR(C2736="",B2736=""),"",IFERROR(C2736*INDEX(Harytlar!$D$5:$D$44,MATCH(B2736,Harytlar!$A$5:$A$44,0)),""))</f>
        <v/>
      </c>
    </row>
    <row r="2737" spans="1:7" x14ac:dyDescent="0.3">
      <c r="A2737" s="17"/>
      <c r="B2737" s="18"/>
      <c r="C2737" s="18"/>
      <c r="D2737" s="18"/>
      <c r="E2737" s="10" t="str">
        <f>IF(B2737="","",IFERROR(INDEX(Harytlar!$C$5:$C$44,MATCH(B2737,Harytlar!$A$5:$A$44,0)),""))</f>
        <v/>
      </c>
      <c r="F2737" s="10" t="str">
        <f t="shared" si="42"/>
        <v/>
      </c>
      <c r="G2737" s="10" t="str">
        <f>IF(OR(C2737="",B2737=""),"",IFERROR(C2737*INDEX(Harytlar!$D$5:$D$44,MATCH(B2737,Harytlar!$A$5:$A$44,0)),""))</f>
        <v/>
      </c>
    </row>
    <row r="2738" spans="1:7" x14ac:dyDescent="0.3">
      <c r="A2738" s="17"/>
      <c r="B2738" s="18"/>
      <c r="C2738" s="18"/>
      <c r="D2738" s="18"/>
      <c r="E2738" s="10" t="str">
        <f>IF(B2738="","",IFERROR(INDEX(Harytlar!$C$5:$C$44,MATCH(B2738,Harytlar!$A$5:$A$44,0)),""))</f>
        <v/>
      </c>
      <c r="F2738" s="10" t="str">
        <f t="shared" si="42"/>
        <v/>
      </c>
      <c r="G2738" s="10" t="str">
        <f>IF(OR(C2738="",B2738=""),"",IFERROR(C2738*INDEX(Harytlar!$D$5:$D$44,MATCH(B2738,Harytlar!$A$5:$A$44,0)),""))</f>
        <v/>
      </c>
    </row>
    <row r="2739" spans="1:7" x14ac:dyDescent="0.3">
      <c r="A2739" s="17"/>
      <c r="B2739" s="18"/>
      <c r="C2739" s="18"/>
      <c r="D2739" s="18"/>
      <c r="E2739" s="10" t="str">
        <f>IF(B2739="","",IFERROR(INDEX(Harytlar!$C$5:$C$44,MATCH(B2739,Harytlar!$A$5:$A$44,0)),""))</f>
        <v/>
      </c>
      <c r="F2739" s="10" t="str">
        <f t="shared" si="42"/>
        <v/>
      </c>
      <c r="G2739" s="10" t="str">
        <f>IF(OR(C2739="",B2739=""),"",IFERROR(C2739*INDEX(Harytlar!$D$5:$D$44,MATCH(B2739,Harytlar!$A$5:$A$44,0)),""))</f>
        <v/>
      </c>
    </row>
    <row r="2740" spans="1:7" x14ac:dyDescent="0.3">
      <c r="A2740" s="17"/>
      <c r="B2740" s="18"/>
      <c r="C2740" s="18"/>
      <c r="D2740" s="18"/>
      <c r="E2740" s="10" t="str">
        <f>IF(B2740="","",IFERROR(INDEX(Harytlar!$C$5:$C$44,MATCH(B2740,Harytlar!$A$5:$A$44,0)),""))</f>
        <v/>
      </c>
      <c r="F2740" s="10" t="str">
        <f t="shared" si="42"/>
        <v/>
      </c>
      <c r="G2740" s="10" t="str">
        <f>IF(OR(C2740="",B2740=""),"",IFERROR(C2740*INDEX(Harytlar!$D$5:$D$44,MATCH(B2740,Harytlar!$A$5:$A$44,0)),""))</f>
        <v/>
      </c>
    </row>
    <row r="2741" spans="1:7" x14ac:dyDescent="0.3">
      <c r="A2741" s="17"/>
      <c r="B2741" s="18"/>
      <c r="C2741" s="18"/>
      <c r="D2741" s="18"/>
      <c r="E2741" s="10" t="str">
        <f>IF(B2741="","",IFERROR(INDEX(Harytlar!$C$5:$C$44,MATCH(B2741,Harytlar!$A$5:$A$44,0)),""))</f>
        <v/>
      </c>
      <c r="F2741" s="10" t="str">
        <f t="shared" si="42"/>
        <v/>
      </c>
      <c r="G2741" s="10" t="str">
        <f>IF(OR(C2741="",B2741=""),"",IFERROR(C2741*INDEX(Harytlar!$D$5:$D$44,MATCH(B2741,Harytlar!$A$5:$A$44,0)),""))</f>
        <v/>
      </c>
    </row>
    <row r="2742" spans="1:7" x14ac:dyDescent="0.3">
      <c r="A2742" s="17"/>
      <c r="B2742" s="18"/>
      <c r="C2742" s="18"/>
      <c r="D2742" s="18"/>
      <c r="E2742" s="10" t="str">
        <f>IF(B2742="","",IFERROR(INDEX(Harytlar!$C$5:$C$44,MATCH(B2742,Harytlar!$A$5:$A$44,0)),""))</f>
        <v/>
      </c>
      <c r="F2742" s="10" t="str">
        <f t="shared" si="42"/>
        <v/>
      </c>
      <c r="G2742" s="10" t="str">
        <f>IF(OR(C2742="",B2742=""),"",IFERROR(C2742*INDEX(Harytlar!$D$5:$D$44,MATCH(B2742,Harytlar!$A$5:$A$44,0)),""))</f>
        <v/>
      </c>
    </row>
    <row r="2743" spans="1:7" x14ac:dyDescent="0.3">
      <c r="A2743" s="17"/>
      <c r="B2743" s="18"/>
      <c r="C2743" s="18"/>
      <c r="D2743" s="18"/>
      <c r="E2743" s="10" t="str">
        <f>IF(B2743="","",IFERROR(INDEX(Harytlar!$C$5:$C$44,MATCH(B2743,Harytlar!$A$5:$A$44,0)),""))</f>
        <v/>
      </c>
      <c r="F2743" s="10" t="str">
        <f t="shared" si="42"/>
        <v/>
      </c>
      <c r="G2743" s="10" t="str">
        <f>IF(OR(C2743="",B2743=""),"",IFERROR(C2743*INDEX(Harytlar!$D$5:$D$44,MATCH(B2743,Harytlar!$A$5:$A$44,0)),""))</f>
        <v/>
      </c>
    </row>
    <row r="2744" spans="1:7" x14ac:dyDescent="0.3">
      <c r="A2744" s="17"/>
      <c r="B2744" s="18"/>
      <c r="C2744" s="18"/>
      <c r="D2744" s="18"/>
      <c r="E2744" s="10" t="str">
        <f>IF(B2744="","",IFERROR(INDEX(Harytlar!$C$5:$C$44,MATCH(B2744,Harytlar!$A$5:$A$44,0)),""))</f>
        <v/>
      </c>
      <c r="F2744" s="10" t="str">
        <f t="shared" si="42"/>
        <v/>
      </c>
      <c r="G2744" s="10" t="str">
        <f>IF(OR(C2744="",B2744=""),"",IFERROR(C2744*INDEX(Harytlar!$D$5:$D$44,MATCH(B2744,Harytlar!$A$5:$A$44,0)),""))</f>
        <v/>
      </c>
    </row>
    <row r="2745" spans="1:7" x14ac:dyDescent="0.3">
      <c r="A2745" s="17"/>
      <c r="B2745" s="18"/>
      <c r="C2745" s="18"/>
      <c r="D2745" s="18"/>
      <c r="E2745" s="10" t="str">
        <f>IF(B2745="","",IFERROR(INDEX(Harytlar!$C$5:$C$44,MATCH(B2745,Harytlar!$A$5:$A$44,0)),""))</f>
        <v/>
      </c>
      <c r="F2745" s="10" t="str">
        <f t="shared" si="42"/>
        <v/>
      </c>
      <c r="G2745" s="10" t="str">
        <f>IF(OR(C2745="",B2745=""),"",IFERROR(C2745*INDEX(Harytlar!$D$5:$D$44,MATCH(B2745,Harytlar!$A$5:$A$44,0)),""))</f>
        <v/>
      </c>
    </row>
    <row r="2746" spans="1:7" x14ac:dyDescent="0.3">
      <c r="A2746" s="17"/>
      <c r="B2746" s="18"/>
      <c r="C2746" s="18"/>
      <c r="D2746" s="18"/>
      <c r="E2746" s="10" t="str">
        <f>IF(B2746="","",IFERROR(INDEX(Harytlar!$C$5:$C$44,MATCH(B2746,Harytlar!$A$5:$A$44,0)),""))</f>
        <v/>
      </c>
      <c r="F2746" s="10" t="str">
        <f t="shared" si="42"/>
        <v/>
      </c>
      <c r="G2746" s="10" t="str">
        <f>IF(OR(C2746="",B2746=""),"",IFERROR(C2746*INDEX(Harytlar!$D$5:$D$44,MATCH(B2746,Harytlar!$A$5:$A$44,0)),""))</f>
        <v/>
      </c>
    </row>
    <row r="2747" spans="1:7" x14ac:dyDescent="0.3">
      <c r="A2747" s="17"/>
      <c r="B2747" s="18"/>
      <c r="C2747" s="18"/>
      <c r="D2747" s="18"/>
      <c r="E2747" s="10" t="str">
        <f>IF(B2747="","",IFERROR(INDEX(Harytlar!$C$5:$C$44,MATCH(B2747,Harytlar!$A$5:$A$44,0)),""))</f>
        <v/>
      </c>
      <c r="F2747" s="10" t="str">
        <f t="shared" si="42"/>
        <v/>
      </c>
      <c r="G2747" s="10" t="str">
        <f>IF(OR(C2747="",B2747=""),"",IFERROR(C2747*INDEX(Harytlar!$D$5:$D$44,MATCH(B2747,Harytlar!$A$5:$A$44,0)),""))</f>
        <v/>
      </c>
    </row>
    <row r="2748" spans="1:7" x14ac:dyDescent="0.3">
      <c r="A2748" s="17"/>
      <c r="B2748" s="18"/>
      <c r="C2748" s="18"/>
      <c r="D2748" s="18"/>
      <c r="E2748" s="10" t="str">
        <f>IF(B2748="","",IFERROR(INDEX(Harytlar!$C$5:$C$44,MATCH(B2748,Harytlar!$A$5:$A$44,0)),""))</f>
        <v/>
      </c>
      <c r="F2748" s="10" t="str">
        <f t="shared" si="42"/>
        <v/>
      </c>
      <c r="G2748" s="10" t="str">
        <f>IF(OR(C2748="",B2748=""),"",IFERROR(C2748*INDEX(Harytlar!$D$5:$D$44,MATCH(B2748,Harytlar!$A$5:$A$44,0)),""))</f>
        <v/>
      </c>
    </row>
    <row r="2749" spans="1:7" x14ac:dyDescent="0.3">
      <c r="A2749" s="17"/>
      <c r="B2749" s="18"/>
      <c r="C2749" s="18"/>
      <c r="D2749" s="18"/>
      <c r="E2749" s="10" t="str">
        <f>IF(B2749="","",IFERROR(INDEX(Harytlar!$C$5:$C$44,MATCH(B2749,Harytlar!$A$5:$A$44,0)),""))</f>
        <v/>
      </c>
      <c r="F2749" s="10" t="str">
        <f t="shared" si="42"/>
        <v/>
      </c>
      <c r="G2749" s="10" t="str">
        <f>IF(OR(C2749="",B2749=""),"",IFERROR(C2749*INDEX(Harytlar!$D$5:$D$44,MATCH(B2749,Harytlar!$A$5:$A$44,0)),""))</f>
        <v/>
      </c>
    </row>
    <row r="2750" spans="1:7" x14ac:dyDescent="0.3">
      <c r="A2750" s="17"/>
      <c r="B2750" s="18"/>
      <c r="C2750" s="18"/>
      <c r="D2750" s="18"/>
      <c r="E2750" s="10" t="str">
        <f>IF(B2750="","",IFERROR(INDEX(Harytlar!$C$5:$C$44,MATCH(B2750,Harytlar!$A$5:$A$44,0)),""))</f>
        <v/>
      </c>
      <c r="F2750" s="10" t="str">
        <f t="shared" si="42"/>
        <v/>
      </c>
      <c r="G2750" s="10" t="str">
        <f>IF(OR(C2750="",B2750=""),"",IFERROR(C2750*INDEX(Harytlar!$D$5:$D$44,MATCH(B2750,Harytlar!$A$5:$A$44,0)),""))</f>
        <v/>
      </c>
    </row>
    <row r="2751" spans="1:7" x14ac:dyDescent="0.3">
      <c r="A2751" s="17"/>
      <c r="B2751" s="18"/>
      <c r="C2751" s="18"/>
      <c r="D2751" s="18"/>
      <c r="E2751" s="10" t="str">
        <f>IF(B2751="","",IFERROR(INDEX(Harytlar!$C$5:$C$44,MATCH(B2751,Harytlar!$A$5:$A$44,0)),""))</f>
        <v/>
      </c>
      <c r="F2751" s="10" t="str">
        <f t="shared" si="42"/>
        <v/>
      </c>
      <c r="G2751" s="10" t="str">
        <f>IF(OR(C2751="",B2751=""),"",IFERROR(C2751*INDEX(Harytlar!$D$5:$D$44,MATCH(B2751,Harytlar!$A$5:$A$44,0)),""))</f>
        <v/>
      </c>
    </row>
    <row r="2752" spans="1:7" x14ac:dyDescent="0.3">
      <c r="A2752" s="17"/>
      <c r="B2752" s="18"/>
      <c r="C2752" s="18"/>
      <c r="D2752" s="18"/>
      <c r="E2752" s="10" t="str">
        <f>IF(B2752="","",IFERROR(INDEX(Harytlar!$C$5:$C$44,MATCH(B2752,Harytlar!$A$5:$A$44,0)),""))</f>
        <v/>
      </c>
      <c r="F2752" s="10" t="str">
        <f t="shared" si="42"/>
        <v/>
      </c>
      <c r="G2752" s="10" t="str">
        <f>IF(OR(C2752="",B2752=""),"",IFERROR(C2752*INDEX(Harytlar!$D$5:$D$44,MATCH(B2752,Harytlar!$A$5:$A$44,0)),""))</f>
        <v/>
      </c>
    </row>
    <row r="2753" spans="1:7" x14ac:dyDescent="0.3">
      <c r="A2753" s="17"/>
      <c r="B2753" s="18"/>
      <c r="C2753" s="18"/>
      <c r="D2753" s="18"/>
      <c r="E2753" s="10" t="str">
        <f>IF(B2753="","",IFERROR(INDEX(Harytlar!$C$5:$C$44,MATCH(B2753,Harytlar!$A$5:$A$44,0)),""))</f>
        <v/>
      </c>
      <c r="F2753" s="10" t="str">
        <f t="shared" si="42"/>
        <v/>
      </c>
      <c r="G2753" s="10" t="str">
        <f>IF(OR(C2753="",B2753=""),"",IFERROR(C2753*INDEX(Harytlar!$D$5:$D$44,MATCH(B2753,Harytlar!$A$5:$A$44,0)),""))</f>
        <v/>
      </c>
    </row>
    <row r="2754" spans="1:7" x14ac:dyDescent="0.3">
      <c r="A2754" s="17"/>
      <c r="B2754" s="18"/>
      <c r="C2754" s="18"/>
      <c r="D2754" s="18"/>
      <c r="E2754" s="10" t="str">
        <f>IF(B2754="","",IFERROR(INDEX(Harytlar!$C$5:$C$44,MATCH(B2754,Harytlar!$A$5:$A$44,0)),""))</f>
        <v/>
      </c>
      <c r="F2754" s="10" t="str">
        <f t="shared" si="42"/>
        <v/>
      </c>
      <c r="G2754" s="10" t="str">
        <f>IF(OR(C2754="",B2754=""),"",IFERROR(C2754*INDEX(Harytlar!$D$5:$D$44,MATCH(B2754,Harytlar!$A$5:$A$44,0)),""))</f>
        <v/>
      </c>
    </row>
    <row r="2755" spans="1:7" x14ac:dyDescent="0.3">
      <c r="A2755" s="17"/>
      <c r="B2755" s="18"/>
      <c r="C2755" s="18"/>
      <c r="D2755" s="18"/>
      <c r="E2755" s="10" t="str">
        <f>IF(B2755="","",IFERROR(INDEX(Harytlar!$C$5:$C$44,MATCH(B2755,Harytlar!$A$5:$A$44,0)),""))</f>
        <v/>
      </c>
      <c r="F2755" s="10" t="str">
        <f t="shared" si="42"/>
        <v/>
      </c>
      <c r="G2755" s="10" t="str">
        <f>IF(OR(C2755="",B2755=""),"",IFERROR(C2755*INDEX(Harytlar!$D$5:$D$44,MATCH(B2755,Harytlar!$A$5:$A$44,0)),""))</f>
        <v/>
      </c>
    </row>
    <row r="2756" spans="1:7" x14ac:dyDescent="0.3">
      <c r="A2756" s="17"/>
      <c r="B2756" s="18"/>
      <c r="C2756" s="18"/>
      <c r="D2756" s="18"/>
      <c r="E2756" s="10" t="str">
        <f>IF(B2756="","",IFERROR(INDEX(Harytlar!$C$5:$C$44,MATCH(B2756,Harytlar!$A$5:$A$44,0)),""))</f>
        <v/>
      </c>
      <c r="F2756" s="10" t="str">
        <f t="shared" si="42"/>
        <v/>
      </c>
      <c r="G2756" s="10" t="str">
        <f>IF(OR(C2756="",B2756=""),"",IFERROR(C2756*INDEX(Harytlar!$D$5:$D$44,MATCH(B2756,Harytlar!$A$5:$A$44,0)),""))</f>
        <v/>
      </c>
    </row>
    <row r="2757" spans="1:7" x14ac:dyDescent="0.3">
      <c r="A2757" s="17"/>
      <c r="B2757" s="18"/>
      <c r="C2757" s="18"/>
      <c r="D2757" s="18"/>
      <c r="E2757" s="10" t="str">
        <f>IF(B2757="","",IFERROR(INDEX(Harytlar!$C$5:$C$44,MATCH(B2757,Harytlar!$A$5:$A$44,0)),""))</f>
        <v/>
      </c>
      <c r="F2757" s="10" t="str">
        <f t="shared" si="42"/>
        <v/>
      </c>
      <c r="G2757" s="10" t="str">
        <f>IF(OR(C2757="",B2757=""),"",IFERROR(C2757*INDEX(Harytlar!$D$5:$D$44,MATCH(B2757,Harytlar!$A$5:$A$44,0)),""))</f>
        <v/>
      </c>
    </row>
    <row r="2758" spans="1:7" x14ac:dyDescent="0.3">
      <c r="A2758" s="17"/>
      <c r="B2758" s="18"/>
      <c r="C2758" s="18"/>
      <c r="D2758" s="18"/>
      <c r="E2758" s="10" t="str">
        <f>IF(B2758="","",IFERROR(INDEX(Harytlar!$C$5:$C$44,MATCH(B2758,Harytlar!$A$5:$A$44,0)),""))</f>
        <v/>
      </c>
      <c r="F2758" s="10" t="str">
        <f t="shared" ref="F2758:F2821" si="43">IF(OR(C2758="",E2758=""),"",C2758*E2758)</f>
        <v/>
      </c>
      <c r="G2758" s="10" t="str">
        <f>IF(OR(C2758="",B2758=""),"",IFERROR(C2758*INDEX(Harytlar!$D$5:$D$44,MATCH(B2758,Harytlar!$A$5:$A$44,0)),""))</f>
        <v/>
      </c>
    </row>
    <row r="2759" spans="1:7" x14ac:dyDescent="0.3">
      <c r="A2759" s="17"/>
      <c r="B2759" s="18"/>
      <c r="C2759" s="18"/>
      <c r="D2759" s="18"/>
      <c r="E2759" s="10" t="str">
        <f>IF(B2759="","",IFERROR(INDEX(Harytlar!$C$5:$C$44,MATCH(B2759,Harytlar!$A$5:$A$44,0)),""))</f>
        <v/>
      </c>
      <c r="F2759" s="10" t="str">
        <f t="shared" si="43"/>
        <v/>
      </c>
      <c r="G2759" s="10" t="str">
        <f>IF(OR(C2759="",B2759=""),"",IFERROR(C2759*INDEX(Harytlar!$D$5:$D$44,MATCH(B2759,Harytlar!$A$5:$A$44,0)),""))</f>
        <v/>
      </c>
    </row>
    <row r="2760" spans="1:7" x14ac:dyDescent="0.3">
      <c r="A2760" s="17"/>
      <c r="B2760" s="18"/>
      <c r="C2760" s="18"/>
      <c r="D2760" s="18"/>
      <c r="E2760" s="10" t="str">
        <f>IF(B2760="","",IFERROR(INDEX(Harytlar!$C$5:$C$44,MATCH(B2760,Harytlar!$A$5:$A$44,0)),""))</f>
        <v/>
      </c>
      <c r="F2760" s="10" t="str">
        <f t="shared" si="43"/>
        <v/>
      </c>
      <c r="G2760" s="10" t="str">
        <f>IF(OR(C2760="",B2760=""),"",IFERROR(C2760*INDEX(Harytlar!$D$5:$D$44,MATCH(B2760,Harytlar!$A$5:$A$44,0)),""))</f>
        <v/>
      </c>
    </row>
    <row r="2761" spans="1:7" x14ac:dyDescent="0.3">
      <c r="A2761" s="17"/>
      <c r="B2761" s="18"/>
      <c r="C2761" s="18"/>
      <c r="D2761" s="18"/>
      <c r="E2761" s="10" t="str">
        <f>IF(B2761="","",IFERROR(INDEX(Harytlar!$C$5:$C$44,MATCH(B2761,Harytlar!$A$5:$A$44,0)),""))</f>
        <v/>
      </c>
      <c r="F2761" s="10" t="str">
        <f t="shared" si="43"/>
        <v/>
      </c>
      <c r="G2761" s="10" t="str">
        <f>IF(OR(C2761="",B2761=""),"",IFERROR(C2761*INDEX(Harytlar!$D$5:$D$44,MATCH(B2761,Harytlar!$A$5:$A$44,0)),""))</f>
        <v/>
      </c>
    </row>
    <row r="2762" spans="1:7" x14ac:dyDescent="0.3">
      <c r="A2762" s="17"/>
      <c r="B2762" s="18"/>
      <c r="C2762" s="18"/>
      <c r="D2762" s="18"/>
      <c r="E2762" s="10" t="str">
        <f>IF(B2762="","",IFERROR(INDEX(Harytlar!$C$5:$C$44,MATCH(B2762,Harytlar!$A$5:$A$44,0)),""))</f>
        <v/>
      </c>
      <c r="F2762" s="10" t="str">
        <f t="shared" si="43"/>
        <v/>
      </c>
      <c r="G2762" s="10" t="str">
        <f>IF(OR(C2762="",B2762=""),"",IFERROR(C2762*INDEX(Harytlar!$D$5:$D$44,MATCH(B2762,Harytlar!$A$5:$A$44,0)),""))</f>
        <v/>
      </c>
    </row>
    <row r="2763" spans="1:7" x14ac:dyDescent="0.3">
      <c r="A2763" s="17"/>
      <c r="B2763" s="18"/>
      <c r="C2763" s="18"/>
      <c r="D2763" s="18"/>
      <c r="E2763" s="10" t="str">
        <f>IF(B2763="","",IFERROR(INDEX(Harytlar!$C$5:$C$44,MATCH(B2763,Harytlar!$A$5:$A$44,0)),""))</f>
        <v/>
      </c>
      <c r="F2763" s="10" t="str">
        <f t="shared" si="43"/>
        <v/>
      </c>
      <c r="G2763" s="10" t="str">
        <f>IF(OR(C2763="",B2763=""),"",IFERROR(C2763*INDEX(Harytlar!$D$5:$D$44,MATCH(B2763,Harytlar!$A$5:$A$44,0)),""))</f>
        <v/>
      </c>
    </row>
    <row r="2764" spans="1:7" x14ac:dyDescent="0.3">
      <c r="A2764" s="17"/>
      <c r="B2764" s="18"/>
      <c r="C2764" s="18"/>
      <c r="D2764" s="18"/>
      <c r="E2764" s="10" t="str">
        <f>IF(B2764="","",IFERROR(INDEX(Harytlar!$C$5:$C$44,MATCH(B2764,Harytlar!$A$5:$A$44,0)),""))</f>
        <v/>
      </c>
      <c r="F2764" s="10" t="str">
        <f t="shared" si="43"/>
        <v/>
      </c>
      <c r="G2764" s="10" t="str">
        <f>IF(OR(C2764="",B2764=""),"",IFERROR(C2764*INDEX(Harytlar!$D$5:$D$44,MATCH(B2764,Harytlar!$A$5:$A$44,0)),""))</f>
        <v/>
      </c>
    </row>
    <row r="2765" spans="1:7" x14ac:dyDescent="0.3">
      <c r="A2765" s="17"/>
      <c r="B2765" s="18"/>
      <c r="C2765" s="18"/>
      <c r="D2765" s="18"/>
      <c r="E2765" s="10" t="str">
        <f>IF(B2765="","",IFERROR(INDEX(Harytlar!$C$5:$C$44,MATCH(B2765,Harytlar!$A$5:$A$44,0)),""))</f>
        <v/>
      </c>
      <c r="F2765" s="10" t="str">
        <f t="shared" si="43"/>
        <v/>
      </c>
      <c r="G2765" s="10" t="str">
        <f>IF(OR(C2765="",B2765=""),"",IFERROR(C2765*INDEX(Harytlar!$D$5:$D$44,MATCH(B2765,Harytlar!$A$5:$A$44,0)),""))</f>
        <v/>
      </c>
    </row>
    <row r="2766" spans="1:7" x14ac:dyDescent="0.3">
      <c r="A2766" s="17"/>
      <c r="B2766" s="18"/>
      <c r="C2766" s="18"/>
      <c r="D2766" s="18"/>
      <c r="E2766" s="10" t="str">
        <f>IF(B2766="","",IFERROR(INDEX(Harytlar!$C$5:$C$44,MATCH(B2766,Harytlar!$A$5:$A$44,0)),""))</f>
        <v/>
      </c>
      <c r="F2766" s="10" t="str">
        <f t="shared" si="43"/>
        <v/>
      </c>
      <c r="G2766" s="10" t="str">
        <f>IF(OR(C2766="",B2766=""),"",IFERROR(C2766*INDEX(Harytlar!$D$5:$D$44,MATCH(B2766,Harytlar!$A$5:$A$44,0)),""))</f>
        <v/>
      </c>
    </row>
    <row r="2767" spans="1:7" x14ac:dyDescent="0.3">
      <c r="A2767" s="17"/>
      <c r="B2767" s="18"/>
      <c r="C2767" s="18"/>
      <c r="D2767" s="18"/>
      <c r="E2767" s="10" t="str">
        <f>IF(B2767="","",IFERROR(INDEX(Harytlar!$C$5:$C$44,MATCH(B2767,Harytlar!$A$5:$A$44,0)),""))</f>
        <v/>
      </c>
      <c r="F2767" s="10" t="str">
        <f t="shared" si="43"/>
        <v/>
      </c>
      <c r="G2767" s="10" t="str">
        <f>IF(OR(C2767="",B2767=""),"",IFERROR(C2767*INDEX(Harytlar!$D$5:$D$44,MATCH(B2767,Harytlar!$A$5:$A$44,0)),""))</f>
        <v/>
      </c>
    </row>
    <row r="2768" spans="1:7" x14ac:dyDescent="0.3">
      <c r="A2768" s="17"/>
      <c r="B2768" s="18"/>
      <c r="C2768" s="18"/>
      <c r="D2768" s="18"/>
      <c r="E2768" s="10" t="str">
        <f>IF(B2768="","",IFERROR(INDEX(Harytlar!$C$5:$C$44,MATCH(B2768,Harytlar!$A$5:$A$44,0)),""))</f>
        <v/>
      </c>
      <c r="F2768" s="10" t="str">
        <f t="shared" si="43"/>
        <v/>
      </c>
      <c r="G2768" s="10" t="str">
        <f>IF(OR(C2768="",B2768=""),"",IFERROR(C2768*INDEX(Harytlar!$D$5:$D$44,MATCH(B2768,Harytlar!$A$5:$A$44,0)),""))</f>
        <v/>
      </c>
    </row>
    <row r="2769" spans="1:7" x14ac:dyDescent="0.3">
      <c r="A2769" s="17"/>
      <c r="B2769" s="18"/>
      <c r="C2769" s="18"/>
      <c r="D2769" s="18"/>
      <c r="E2769" s="10" t="str">
        <f>IF(B2769="","",IFERROR(INDEX(Harytlar!$C$5:$C$44,MATCH(B2769,Harytlar!$A$5:$A$44,0)),""))</f>
        <v/>
      </c>
      <c r="F2769" s="10" t="str">
        <f t="shared" si="43"/>
        <v/>
      </c>
      <c r="G2769" s="10" t="str">
        <f>IF(OR(C2769="",B2769=""),"",IFERROR(C2769*INDEX(Harytlar!$D$5:$D$44,MATCH(B2769,Harytlar!$A$5:$A$44,0)),""))</f>
        <v/>
      </c>
    </row>
    <row r="2770" spans="1:7" x14ac:dyDescent="0.3">
      <c r="A2770" s="17"/>
      <c r="B2770" s="18"/>
      <c r="C2770" s="18"/>
      <c r="D2770" s="18"/>
      <c r="E2770" s="10" t="str">
        <f>IF(B2770="","",IFERROR(INDEX(Harytlar!$C$5:$C$44,MATCH(B2770,Harytlar!$A$5:$A$44,0)),""))</f>
        <v/>
      </c>
      <c r="F2770" s="10" t="str">
        <f t="shared" si="43"/>
        <v/>
      </c>
      <c r="G2770" s="10" t="str">
        <f>IF(OR(C2770="",B2770=""),"",IFERROR(C2770*INDEX(Harytlar!$D$5:$D$44,MATCH(B2770,Harytlar!$A$5:$A$44,0)),""))</f>
        <v/>
      </c>
    </row>
    <row r="2771" spans="1:7" x14ac:dyDescent="0.3">
      <c r="A2771" s="17"/>
      <c r="B2771" s="18"/>
      <c r="C2771" s="18"/>
      <c r="D2771" s="18"/>
      <c r="E2771" s="10" t="str">
        <f>IF(B2771="","",IFERROR(INDEX(Harytlar!$C$5:$C$44,MATCH(B2771,Harytlar!$A$5:$A$44,0)),""))</f>
        <v/>
      </c>
      <c r="F2771" s="10" t="str">
        <f t="shared" si="43"/>
        <v/>
      </c>
      <c r="G2771" s="10" t="str">
        <f>IF(OR(C2771="",B2771=""),"",IFERROR(C2771*INDEX(Harytlar!$D$5:$D$44,MATCH(B2771,Harytlar!$A$5:$A$44,0)),""))</f>
        <v/>
      </c>
    </row>
    <row r="2772" spans="1:7" x14ac:dyDescent="0.3">
      <c r="A2772" s="17"/>
      <c r="B2772" s="18"/>
      <c r="C2772" s="18"/>
      <c r="D2772" s="18"/>
      <c r="E2772" s="10" t="str">
        <f>IF(B2772="","",IFERROR(INDEX(Harytlar!$C$5:$C$44,MATCH(B2772,Harytlar!$A$5:$A$44,0)),""))</f>
        <v/>
      </c>
      <c r="F2772" s="10" t="str">
        <f t="shared" si="43"/>
        <v/>
      </c>
      <c r="G2772" s="10" t="str">
        <f>IF(OR(C2772="",B2772=""),"",IFERROR(C2772*INDEX(Harytlar!$D$5:$D$44,MATCH(B2772,Harytlar!$A$5:$A$44,0)),""))</f>
        <v/>
      </c>
    </row>
    <row r="2773" spans="1:7" x14ac:dyDescent="0.3">
      <c r="A2773" s="17"/>
      <c r="B2773" s="18"/>
      <c r="C2773" s="18"/>
      <c r="D2773" s="18"/>
      <c r="E2773" s="10" t="str">
        <f>IF(B2773="","",IFERROR(INDEX(Harytlar!$C$5:$C$44,MATCH(B2773,Harytlar!$A$5:$A$44,0)),""))</f>
        <v/>
      </c>
      <c r="F2773" s="10" t="str">
        <f t="shared" si="43"/>
        <v/>
      </c>
      <c r="G2773" s="10" t="str">
        <f>IF(OR(C2773="",B2773=""),"",IFERROR(C2773*INDEX(Harytlar!$D$5:$D$44,MATCH(B2773,Harytlar!$A$5:$A$44,0)),""))</f>
        <v/>
      </c>
    </row>
    <row r="2774" spans="1:7" x14ac:dyDescent="0.3">
      <c r="A2774" s="17"/>
      <c r="B2774" s="18"/>
      <c r="C2774" s="18"/>
      <c r="D2774" s="18"/>
      <c r="E2774" s="10" t="str">
        <f>IF(B2774="","",IFERROR(INDEX(Harytlar!$C$5:$C$44,MATCH(B2774,Harytlar!$A$5:$A$44,0)),""))</f>
        <v/>
      </c>
      <c r="F2774" s="10" t="str">
        <f t="shared" si="43"/>
        <v/>
      </c>
      <c r="G2774" s="10" t="str">
        <f>IF(OR(C2774="",B2774=""),"",IFERROR(C2774*INDEX(Harytlar!$D$5:$D$44,MATCH(B2774,Harytlar!$A$5:$A$44,0)),""))</f>
        <v/>
      </c>
    </row>
    <row r="2775" spans="1:7" x14ac:dyDescent="0.3">
      <c r="A2775" s="17"/>
      <c r="B2775" s="18"/>
      <c r="C2775" s="18"/>
      <c r="D2775" s="18"/>
      <c r="E2775" s="10" t="str">
        <f>IF(B2775="","",IFERROR(INDEX(Harytlar!$C$5:$C$44,MATCH(B2775,Harytlar!$A$5:$A$44,0)),""))</f>
        <v/>
      </c>
      <c r="F2775" s="10" t="str">
        <f t="shared" si="43"/>
        <v/>
      </c>
      <c r="G2775" s="10" t="str">
        <f>IF(OR(C2775="",B2775=""),"",IFERROR(C2775*INDEX(Harytlar!$D$5:$D$44,MATCH(B2775,Harytlar!$A$5:$A$44,0)),""))</f>
        <v/>
      </c>
    </row>
    <row r="2776" spans="1:7" x14ac:dyDescent="0.3">
      <c r="A2776" s="17"/>
      <c r="B2776" s="18"/>
      <c r="C2776" s="18"/>
      <c r="D2776" s="18"/>
      <c r="E2776" s="10" t="str">
        <f>IF(B2776="","",IFERROR(INDEX(Harytlar!$C$5:$C$44,MATCH(B2776,Harytlar!$A$5:$A$44,0)),""))</f>
        <v/>
      </c>
      <c r="F2776" s="10" t="str">
        <f t="shared" si="43"/>
        <v/>
      </c>
      <c r="G2776" s="10" t="str">
        <f>IF(OR(C2776="",B2776=""),"",IFERROR(C2776*INDEX(Harytlar!$D$5:$D$44,MATCH(B2776,Harytlar!$A$5:$A$44,0)),""))</f>
        <v/>
      </c>
    </row>
    <row r="2777" spans="1:7" x14ac:dyDescent="0.3">
      <c r="A2777" s="17"/>
      <c r="B2777" s="18"/>
      <c r="C2777" s="18"/>
      <c r="D2777" s="18"/>
      <c r="E2777" s="10" t="str">
        <f>IF(B2777="","",IFERROR(INDEX(Harytlar!$C$5:$C$44,MATCH(B2777,Harytlar!$A$5:$A$44,0)),""))</f>
        <v/>
      </c>
      <c r="F2777" s="10" t="str">
        <f t="shared" si="43"/>
        <v/>
      </c>
      <c r="G2777" s="10" t="str">
        <f>IF(OR(C2777="",B2777=""),"",IFERROR(C2777*INDEX(Harytlar!$D$5:$D$44,MATCH(B2777,Harytlar!$A$5:$A$44,0)),""))</f>
        <v/>
      </c>
    </row>
    <row r="2778" spans="1:7" x14ac:dyDescent="0.3">
      <c r="A2778" s="17"/>
      <c r="B2778" s="18"/>
      <c r="C2778" s="18"/>
      <c r="D2778" s="18"/>
      <c r="E2778" s="10" t="str">
        <f>IF(B2778="","",IFERROR(INDEX(Harytlar!$C$5:$C$44,MATCH(B2778,Harytlar!$A$5:$A$44,0)),""))</f>
        <v/>
      </c>
      <c r="F2778" s="10" t="str">
        <f t="shared" si="43"/>
        <v/>
      </c>
      <c r="G2778" s="10" t="str">
        <f>IF(OR(C2778="",B2778=""),"",IFERROR(C2778*INDEX(Harytlar!$D$5:$D$44,MATCH(B2778,Harytlar!$A$5:$A$44,0)),""))</f>
        <v/>
      </c>
    </row>
    <row r="2779" spans="1:7" x14ac:dyDescent="0.3">
      <c r="A2779" s="17"/>
      <c r="B2779" s="18"/>
      <c r="C2779" s="18"/>
      <c r="D2779" s="18"/>
      <c r="E2779" s="10" t="str">
        <f>IF(B2779="","",IFERROR(INDEX(Harytlar!$C$5:$C$44,MATCH(B2779,Harytlar!$A$5:$A$44,0)),""))</f>
        <v/>
      </c>
      <c r="F2779" s="10" t="str">
        <f t="shared" si="43"/>
        <v/>
      </c>
      <c r="G2779" s="10" t="str">
        <f>IF(OR(C2779="",B2779=""),"",IFERROR(C2779*INDEX(Harytlar!$D$5:$D$44,MATCH(B2779,Harytlar!$A$5:$A$44,0)),""))</f>
        <v/>
      </c>
    </row>
    <row r="2780" spans="1:7" x14ac:dyDescent="0.3">
      <c r="A2780" s="17"/>
      <c r="B2780" s="18"/>
      <c r="C2780" s="18"/>
      <c r="D2780" s="18"/>
      <c r="E2780" s="10" t="str">
        <f>IF(B2780="","",IFERROR(INDEX(Harytlar!$C$5:$C$44,MATCH(B2780,Harytlar!$A$5:$A$44,0)),""))</f>
        <v/>
      </c>
      <c r="F2780" s="10" t="str">
        <f t="shared" si="43"/>
        <v/>
      </c>
      <c r="G2780" s="10" t="str">
        <f>IF(OR(C2780="",B2780=""),"",IFERROR(C2780*INDEX(Harytlar!$D$5:$D$44,MATCH(B2780,Harytlar!$A$5:$A$44,0)),""))</f>
        <v/>
      </c>
    </row>
    <row r="2781" spans="1:7" x14ac:dyDescent="0.3">
      <c r="A2781" s="17"/>
      <c r="B2781" s="18"/>
      <c r="C2781" s="18"/>
      <c r="D2781" s="18"/>
      <c r="E2781" s="10" t="str">
        <f>IF(B2781="","",IFERROR(INDEX(Harytlar!$C$5:$C$44,MATCH(B2781,Harytlar!$A$5:$A$44,0)),""))</f>
        <v/>
      </c>
      <c r="F2781" s="10" t="str">
        <f t="shared" si="43"/>
        <v/>
      </c>
      <c r="G2781" s="10" t="str">
        <f>IF(OR(C2781="",B2781=""),"",IFERROR(C2781*INDEX(Harytlar!$D$5:$D$44,MATCH(B2781,Harytlar!$A$5:$A$44,0)),""))</f>
        <v/>
      </c>
    </row>
    <row r="2782" spans="1:7" x14ac:dyDescent="0.3">
      <c r="A2782" s="17"/>
      <c r="B2782" s="18"/>
      <c r="C2782" s="18"/>
      <c r="D2782" s="18"/>
      <c r="E2782" s="10" t="str">
        <f>IF(B2782="","",IFERROR(INDEX(Harytlar!$C$5:$C$44,MATCH(B2782,Harytlar!$A$5:$A$44,0)),""))</f>
        <v/>
      </c>
      <c r="F2782" s="10" t="str">
        <f t="shared" si="43"/>
        <v/>
      </c>
      <c r="G2782" s="10" t="str">
        <f>IF(OR(C2782="",B2782=""),"",IFERROR(C2782*INDEX(Harytlar!$D$5:$D$44,MATCH(B2782,Harytlar!$A$5:$A$44,0)),""))</f>
        <v/>
      </c>
    </row>
    <row r="2783" spans="1:7" x14ac:dyDescent="0.3">
      <c r="A2783" s="17"/>
      <c r="B2783" s="18"/>
      <c r="C2783" s="18"/>
      <c r="D2783" s="18"/>
      <c r="E2783" s="10" t="str">
        <f>IF(B2783="","",IFERROR(INDEX(Harytlar!$C$5:$C$44,MATCH(B2783,Harytlar!$A$5:$A$44,0)),""))</f>
        <v/>
      </c>
      <c r="F2783" s="10" t="str">
        <f t="shared" si="43"/>
        <v/>
      </c>
      <c r="G2783" s="10" t="str">
        <f>IF(OR(C2783="",B2783=""),"",IFERROR(C2783*INDEX(Harytlar!$D$5:$D$44,MATCH(B2783,Harytlar!$A$5:$A$44,0)),""))</f>
        <v/>
      </c>
    </row>
    <row r="2784" spans="1:7" x14ac:dyDescent="0.3">
      <c r="A2784" s="17"/>
      <c r="B2784" s="18"/>
      <c r="C2784" s="18"/>
      <c r="D2784" s="18"/>
      <c r="E2784" s="10" t="str">
        <f>IF(B2784="","",IFERROR(INDEX(Harytlar!$C$5:$C$44,MATCH(B2784,Harytlar!$A$5:$A$44,0)),""))</f>
        <v/>
      </c>
      <c r="F2784" s="10" t="str">
        <f t="shared" si="43"/>
        <v/>
      </c>
      <c r="G2784" s="10" t="str">
        <f>IF(OR(C2784="",B2784=""),"",IFERROR(C2784*INDEX(Harytlar!$D$5:$D$44,MATCH(B2784,Harytlar!$A$5:$A$44,0)),""))</f>
        <v/>
      </c>
    </row>
    <row r="2785" spans="1:7" x14ac:dyDescent="0.3">
      <c r="A2785" s="17"/>
      <c r="B2785" s="18"/>
      <c r="C2785" s="18"/>
      <c r="D2785" s="18"/>
      <c r="E2785" s="10" t="str">
        <f>IF(B2785="","",IFERROR(INDEX(Harytlar!$C$5:$C$44,MATCH(B2785,Harytlar!$A$5:$A$44,0)),""))</f>
        <v/>
      </c>
      <c r="F2785" s="10" t="str">
        <f t="shared" si="43"/>
        <v/>
      </c>
      <c r="G2785" s="10" t="str">
        <f>IF(OR(C2785="",B2785=""),"",IFERROR(C2785*INDEX(Harytlar!$D$5:$D$44,MATCH(B2785,Harytlar!$A$5:$A$44,0)),""))</f>
        <v/>
      </c>
    </row>
    <row r="2786" spans="1:7" x14ac:dyDescent="0.3">
      <c r="A2786" s="17"/>
      <c r="B2786" s="18"/>
      <c r="C2786" s="18"/>
      <c r="D2786" s="18"/>
      <c r="E2786" s="10" t="str">
        <f>IF(B2786="","",IFERROR(INDEX(Harytlar!$C$5:$C$44,MATCH(B2786,Harytlar!$A$5:$A$44,0)),""))</f>
        <v/>
      </c>
      <c r="F2786" s="10" t="str">
        <f t="shared" si="43"/>
        <v/>
      </c>
      <c r="G2786" s="10" t="str">
        <f>IF(OR(C2786="",B2786=""),"",IFERROR(C2786*INDEX(Harytlar!$D$5:$D$44,MATCH(B2786,Harytlar!$A$5:$A$44,0)),""))</f>
        <v/>
      </c>
    </row>
    <row r="2787" spans="1:7" x14ac:dyDescent="0.3">
      <c r="A2787" s="17"/>
      <c r="B2787" s="18"/>
      <c r="C2787" s="18"/>
      <c r="D2787" s="18"/>
      <c r="E2787" s="10" t="str">
        <f>IF(B2787="","",IFERROR(INDEX(Harytlar!$C$5:$C$44,MATCH(B2787,Harytlar!$A$5:$A$44,0)),""))</f>
        <v/>
      </c>
      <c r="F2787" s="10" t="str">
        <f t="shared" si="43"/>
        <v/>
      </c>
      <c r="G2787" s="10" t="str">
        <f>IF(OR(C2787="",B2787=""),"",IFERROR(C2787*INDEX(Harytlar!$D$5:$D$44,MATCH(B2787,Harytlar!$A$5:$A$44,0)),""))</f>
        <v/>
      </c>
    </row>
    <row r="2788" spans="1:7" x14ac:dyDescent="0.3">
      <c r="A2788" s="17"/>
      <c r="B2788" s="18"/>
      <c r="C2788" s="18"/>
      <c r="D2788" s="18"/>
      <c r="E2788" s="10" t="str">
        <f>IF(B2788="","",IFERROR(INDEX(Harytlar!$C$5:$C$44,MATCH(B2788,Harytlar!$A$5:$A$44,0)),""))</f>
        <v/>
      </c>
      <c r="F2788" s="10" t="str">
        <f t="shared" si="43"/>
        <v/>
      </c>
      <c r="G2788" s="10" t="str">
        <f>IF(OR(C2788="",B2788=""),"",IFERROR(C2788*INDEX(Harytlar!$D$5:$D$44,MATCH(B2788,Harytlar!$A$5:$A$44,0)),""))</f>
        <v/>
      </c>
    </row>
    <row r="2789" spans="1:7" x14ac:dyDescent="0.3">
      <c r="A2789" s="17"/>
      <c r="B2789" s="18"/>
      <c r="C2789" s="18"/>
      <c r="D2789" s="18"/>
      <c r="E2789" s="10" t="str">
        <f>IF(B2789="","",IFERROR(INDEX(Harytlar!$C$5:$C$44,MATCH(B2789,Harytlar!$A$5:$A$44,0)),""))</f>
        <v/>
      </c>
      <c r="F2789" s="10" t="str">
        <f t="shared" si="43"/>
        <v/>
      </c>
      <c r="G2789" s="10" t="str">
        <f>IF(OR(C2789="",B2789=""),"",IFERROR(C2789*INDEX(Harytlar!$D$5:$D$44,MATCH(B2789,Harytlar!$A$5:$A$44,0)),""))</f>
        <v/>
      </c>
    </row>
    <row r="2790" spans="1:7" x14ac:dyDescent="0.3">
      <c r="A2790" s="17"/>
      <c r="B2790" s="18"/>
      <c r="C2790" s="18"/>
      <c r="D2790" s="18"/>
      <c r="E2790" s="10" t="str">
        <f>IF(B2790="","",IFERROR(INDEX(Harytlar!$C$5:$C$44,MATCH(B2790,Harytlar!$A$5:$A$44,0)),""))</f>
        <v/>
      </c>
      <c r="F2790" s="10" t="str">
        <f t="shared" si="43"/>
        <v/>
      </c>
      <c r="G2790" s="10" t="str">
        <f>IF(OR(C2790="",B2790=""),"",IFERROR(C2790*INDEX(Harytlar!$D$5:$D$44,MATCH(B2790,Harytlar!$A$5:$A$44,0)),""))</f>
        <v/>
      </c>
    </row>
    <row r="2791" spans="1:7" x14ac:dyDescent="0.3">
      <c r="A2791" s="17"/>
      <c r="B2791" s="18"/>
      <c r="C2791" s="18"/>
      <c r="D2791" s="18"/>
      <c r="E2791" s="10" t="str">
        <f>IF(B2791="","",IFERROR(INDEX(Harytlar!$C$5:$C$44,MATCH(B2791,Harytlar!$A$5:$A$44,0)),""))</f>
        <v/>
      </c>
      <c r="F2791" s="10" t="str">
        <f t="shared" si="43"/>
        <v/>
      </c>
      <c r="G2791" s="10" t="str">
        <f>IF(OR(C2791="",B2791=""),"",IFERROR(C2791*INDEX(Harytlar!$D$5:$D$44,MATCH(B2791,Harytlar!$A$5:$A$44,0)),""))</f>
        <v/>
      </c>
    </row>
    <row r="2792" spans="1:7" x14ac:dyDescent="0.3">
      <c r="A2792" s="17"/>
      <c r="B2792" s="18"/>
      <c r="C2792" s="18"/>
      <c r="D2792" s="18"/>
      <c r="E2792" s="10" t="str">
        <f>IF(B2792="","",IFERROR(INDEX(Harytlar!$C$5:$C$44,MATCH(B2792,Harytlar!$A$5:$A$44,0)),""))</f>
        <v/>
      </c>
      <c r="F2792" s="10" t="str">
        <f t="shared" si="43"/>
        <v/>
      </c>
      <c r="G2792" s="10" t="str">
        <f>IF(OR(C2792="",B2792=""),"",IFERROR(C2792*INDEX(Harytlar!$D$5:$D$44,MATCH(B2792,Harytlar!$A$5:$A$44,0)),""))</f>
        <v/>
      </c>
    </row>
    <row r="2793" spans="1:7" x14ac:dyDescent="0.3">
      <c r="A2793" s="17"/>
      <c r="B2793" s="18"/>
      <c r="C2793" s="18"/>
      <c r="D2793" s="18"/>
      <c r="E2793" s="10" t="str">
        <f>IF(B2793="","",IFERROR(INDEX(Harytlar!$C$5:$C$44,MATCH(B2793,Harytlar!$A$5:$A$44,0)),""))</f>
        <v/>
      </c>
      <c r="F2793" s="10" t="str">
        <f t="shared" si="43"/>
        <v/>
      </c>
      <c r="G2793" s="10" t="str">
        <f>IF(OR(C2793="",B2793=""),"",IFERROR(C2793*INDEX(Harytlar!$D$5:$D$44,MATCH(B2793,Harytlar!$A$5:$A$44,0)),""))</f>
        <v/>
      </c>
    </row>
    <row r="2794" spans="1:7" x14ac:dyDescent="0.3">
      <c r="A2794" s="17"/>
      <c r="B2794" s="18"/>
      <c r="C2794" s="18"/>
      <c r="D2794" s="18"/>
      <c r="E2794" s="10" t="str">
        <f>IF(B2794="","",IFERROR(INDEX(Harytlar!$C$5:$C$44,MATCH(B2794,Harytlar!$A$5:$A$44,0)),""))</f>
        <v/>
      </c>
      <c r="F2794" s="10" t="str">
        <f t="shared" si="43"/>
        <v/>
      </c>
      <c r="G2794" s="10" t="str">
        <f>IF(OR(C2794="",B2794=""),"",IFERROR(C2794*INDEX(Harytlar!$D$5:$D$44,MATCH(B2794,Harytlar!$A$5:$A$44,0)),""))</f>
        <v/>
      </c>
    </row>
    <row r="2795" spans="1:7" x14ac:dyDescent="0.3">
      <c r="A2795" s="17"/>
      <c r="B2795" s="18"/>
      <c r="C2795" s="18"/>
      <c r="D2795" s="18"/>
      <c r="E2795" s="10" t="str">
        <f>IF(B2795="","",IFERROR(INDEX(Harytlar!$C$5:$C$44,MATCH(B2795,Harytlar!$A$5:$A$44,0)),""))</f>
        <v/>
      </c>
      <c r="F2795" s="10" t="str">
        <f t="shared" si="43"/>
        <v/>
      </c>
      <c r="G2795" s="10" t="str">
        <f>IF(OR(C2795="",B2795=""),"",IFERROR(C2795*INDEX(Harytlar!$D$5:$D$44,MATCH(B2795,Harytlar!$A$5:$A$44,0)),""))</f>
        <v/>
      </c>
    </row>
    <row r="2796" spans="1:7" x14ac:dyDescent="0.3">
      <c r="A2796" s="17"/>
      <c r="B2796" s="18"/>
      <c r="C2796" s="18"/>
      <c r="D2796" s="18"/>
      <c r="E2796" s="10" t="str">
        <f>IF(B2796="","",IFERROR(INDEX(Harytlar!$C$5:$C$44,MATCH(B2796,Harytlar!$A$5:$A$44,0)),""))</f>
        <v/>
      </c>
      <c r="F2796" s="10" t="str">
        <f t="shared" si="43"/>
        <v/>
      </c>
      <c r="G2796" s="10" t="str">
        <f>IF(OR(C2796="",B2796=""),"",IFERROR(C2796*INDEX(Harytlar!$D$5:$D$44,MATCH(B2796,Harytlar!$A$5:$A$44,0)),""))</f>
        <v/>
      </c>
    </row>
    <row r="2797" spans="1:7" x14ac:dyDescent="0.3">
      <c r="A2797" s="17"/>
      <c r="B2797" s="18"/>
      <c r="C2797" s="18"/>
      <c r="D2797" s="18"/>
      <c r="E2797" s="10" t="str">
        <f>IF(B2797="","",IFERROR(INDEX(Harytlar!$C$5:$C$44,MATCH(B2797,Harytlar!$A$5:$A$44,0)),""))</f>
        <v/>
      </c>
      <c r="F2797" s="10" t="str">
        <f t="shared" si="43"/>
        <v/>
      </c>
      <c r="G2797" s="10" t="str">
        <f>IF(OR(C2797="",B2797=""),"",IFERROR(C2797*INDEX(Harytlar!$D$5:$D$44,MATCH(B2797,Harytlar!$A$5:$A$44,0)),""))</f>
        <v/>
      </c>
    </row>
    <row r="2798" spans="1:7" x14ac:dyDescent="0.3">
      <c r="A2798" s="17"/>
      <c r="B2798" s="18"/>
      <c r="C2798" s="18"/>
      <c r="D2798" s="18"/>
      <c r="E2798" s="10" t="str">
        <f>IF(B2798="","",IFERROR(INDEX(Harytlar!$C$5:$C$44,MATCH(B2798,Harytlar!$A$5:$A$44,0)),""))</f>
        <v/>
      </c>
      <c r="F2798" s="10" t="str">
        <f t="shared" si="43"/>
        <v/>
      </c>
      <c r="G2798" s="10" t="str">
        <f>IF(OR(C2798="",B2798=""),"",IFERROR(C2798*INDEX(Harytlar!$D$5:$D$44,MATCH(B2798,Harytlar!$A$5:$A$44,0)),""))</f>
        <v/>
      </c>
    </row>
    <row r="2799" spans="1:7" x14ac:dyDescent="0.3">
      <c r="A2799" s="17"/>
      <c r="B2799" s="18"/>
      <c r="C2799" s="18"/>
      <c r="D2799" s="18"/>
      <c r="E2799" s="10" t="str">
        <f>IF(B2799="","",IFERROR(INDEX(Harytlar!$C$5:$C$44,MATCH(B2799,Harytlar!$A$5:$A$44,0)),""))</f>
        <v/>
      </c>
      <c r="F2799" s="10" t="str">
        <f t="shared" si="43"/>
        <v/>
      </c>
      <c r="G2799" s="10" t="str">
        <f>IF(OR(C2799="",B2799=""),"",IFERROR(C2799*INDEX(Harytlar!$D$5:$D$44,MATCH(B2799,Harytlar!$A$5:$A$44,0)),""))</f>
        <v/>
      </c>
    </row>
    <row r="2800" spans="1:7" x14ac:dyDescent="0.3">
      <c r="A2800" s="17"/>
      <c r="B2800" s="18"/>
      <c r="C2800" s="18"/>
      <c r="D2800" s="18"/>
      <c r="E2800" s="10" t="str">
        <f>IF(B2800="","",IFERROR(INDEX(Harytlar!$C$5:$C$44,MATCH(B2800,Harytlar!$A$5:$A$44,0)),""))</f>
        <v/>
      </c>
      <c r="F2800" s="10" t="str">
        <f t="shared" si="43"/>
        <v/>
      </c>
      <c r="G2800" s="10" t="str">
        <f>IF(OR(C2800="",B2800=""),"",IFERROR(C2800*INDEX(Harytlar!$D$5:$D$44,MATCH(B2800,Harytlar!$A$5:$A$44,0)),""))</f>
        <v/>
      </c>
    </row>
    <row r="2801" spans="1:7" x14ac:dyDescent="0.3">
      <c r="A2801" s="17"/>
      <c r="B2801" s="18"/>
      <c r="C2801" s="18"/>
      <c r="D2801" s="18"/>
      <c r="E2801" s="10" t="str">
        <f>IF(B2801="","",IFERROR(INDEX(Harytlar!$C$5:$C$44,MATCH(B2801,Harytlar!$A$5:$A$44,0)),""))</f>
        <v/>
      </c>
      <c r="F2801" s="10" t="str">
        <f t="shared" si="43"/>
        <v/>
      </c>
      <c r="G2801" s="10" t="str">
        <f>IF(OR(C2801="",B2801=""),"",IFERROR(C2801*INDEX(Harytlar!$D$5:$D$44,MATCH(B2801,Harytlar!$A$5:$A$44,0)),""))</f>
        <v/>
      </c>
    </row>
    <row r="2802" spans="1:7" x14ac:dyDescent="0.3">
      <c r="A2802" s="17"/>
      <c r="B2802" s="18"/>
      <c r="C2802" s="18"/>
      <c r="D2802" s="18"/>
      <c r="E2802" s="10" t="str">
        <f>IF(B2802="","",IFERROR(INDEX(Harytlar!$C$5:$C$44,MATCH(B2802,Harytlar!$A$5:$A$44,0)),""))</f>
        <v/>
      </c>
      <c r="F2802" s="10" t="str">
        <f t="shared" si="43"/>
        <v/>
      </c>
      <c r="G2802" s="10" t="str">
        <f>IF(OR(C2802="",B2802=""),"",IFERROR(C2802*INDEX(Harytlar!$D$5:$D$44,MATCH(B2802,Harytlar!$A$5:$A$44,0)),""))</f>
        <v/>
      </c>
    </row>
    <row r="2803" spans="1:7" x14ac:dyDescent="0.3">
      <c r="A2803" s="17"/>
      <c r="B2803" s="18"/>
      <c r="C2803" s="18"/>
      <c r="D2803" s="18"/>
      <c r="E2803" s="10" t="str">
        <f>IF(B2803="","",IFERROR(INDEX(Harytlar!$C$5:$C$44,MATCH(B2803,Harytlar!$A$5:$A$44,0)),""))</f>
        <v/>
      </c>
      <c r="F2803" s="10" t="str">
        <f t="shared" si="43"/>
        <v/>
      </c>
      <c r="G2803" s="10" t="str">
        <f>IF(OR(C2803="",B2803=""),"",IFERROR(C2803*INDEX(Harytlar!$D$5:$D$44,MATCH(B2803,Harytlar!$A$5:$A$44,0)),""))</f>
        <v/>
      </c>
    </row>
    <row r="2804" spans="1:7" x14ac:dyDescent="0.3">
      <c r="A2804" s="17"/>
      <c r="B2804" s="18"/>
      <c r="C2804" s="18"/>
      <c r="D2804" s="18"/>
      <c r="E2804" s="10" t="str">
        <f>IF(B2804="","",IFERROR(INDEX(Harytlar!$C$5:$C$44,MATCH(B2804,Harytlar!$A$5:$A$44,0)),""))</f>
        <v/>
      </c>
      <c r="F2804" s="10" t="str">
        <f t="shared" si="43"/>
        <v/>
      </c>
      <c r="G2804" s="10" t="str">
        <f>IF(OR(C2804="",B2804=""),"",IFERROR(C2804*INDEX(Harytlar!$D$5:$D$44,MATCH(B2804,Harytlar!$A$5:$A$44,0)),""))</f>
        <v/>
      </c>
    </row>
    <row r="2805" spans="1:7" x14ac:dyDescent="0.3">
      <c r="A2805" s="17"/>
      <c r="B2805" s="18"/>
      <c r="C2805" s="18"/>
      <c r="D2805" s="18"/>
      <c r="E2805" s="10" t="str">
        <f>IF(B2805="","",IFERROR(INDEX(Harytlar!$C$5:$C$44,MATCH(B2805,Harytlar!$A$5:$A$44,0)),""))</f>
        <v/>
      </c>
      <c r="F2805" s="10" t="str">
        <f t="shared" si="43"/>
        <v/>
      </c>
      <c r="G2805" s="10" t="str">
        <f>IF(OR(C2805="",B2805=""),"",IFERROR(C2805*INDEX(Harytlar!$D$5:$D$44,MATCH(B2805,Harytlar!$A$5:$A$44,0)),""))</f>
        <v/>
      </c>
    </row>
    <row r="2806" spans="1:7" x14ac:dyDescent="0.3">
      <c r="A2806" s="17"/>
      <c r="B2806" s="18"/>
      <c r="C2806" s="18"/>
      <c r="D2806" s="18"/>
      <c r="E2806" s="10" t="str">
        <f>IF(B2806="","",IFERROR(INDEX(Harytlar!$C$5:$C$44,MATCH(B2806,Harytlar!$A$5:$A$44,0)),""))</f>
        <v/>
      </c>
      <c r="F2806" s="10" t="str">
        <f t="shared" si="43"/>
        <v/>
      </c>
      <c r="G2806" s="10" t="str">
        <f>IF(OR(C2806="",B2806=""),"",IFERROR(C2806*INDEX(Harytlar!$D$5:$D$44,MATCH(B2806,Harytlar!$A$5:$A$44,0)),""))</f>
        <v/>
      </c>
    </row>
    <row r="2807" spans="1:7" x14ac:dyDescent="0.3">
      <c r="A2807" s="17"/>
      <c r="B2807" s="18"/>
      <c r="C2807" s="18"/>
      <c r="D2807" s="18"/>
      <c r="E2807" s="10" t="str">
        <f>IF(B2807="","",IFERROR(INDEX(Harytlar!$C$5:$C$44,MATCH(B2807,Harytlar!$A$5:$A$44,0)),""))</f>
        <v/>
      </c>
      <c r="F2807" s="10" t="str">
        <f t="shared" si="43"/>
        <v/>
      </c>
      <c r="G2807" s="10" t="str">
        <f>IF(OR(C2807="",B2807=""),"",IFERROR(C2807*INDEX(Harytlar!$D$5:$D$44,MATCH(B2807,Harytlar!$A$5:$A$44,0)),""))</f>
        <v/>
      </c>
    </row>
    <row r="2808" spans="1:7" x14ac:dyDescent="0.3">
      <c r="A2808" s="17"/>
      <c r="B2808" s="18"/>
      <c r="C2808" s="18"/>
      <c r="D2808" s="18"/>
      <c r="E2808" s="10" t="str">
        <f>IF(B2808="","",IFERROR(INDEX(Harytlar!$C$5:$C$44,MATCH(B2808,Harytlar!$A$5:$A$44,0)),""))</f>
        <v/>
      </c>
      <c r="F2808" s="10" t="str">
        <f t="shared" si="43"/>
        <v/>
      </c>
      <c r="G2808" s="10" t="str">
        <f>IF(OR(C2808="",B2808=""),"",IFERROR(C2808*INDEX(Harytlar!$D$5:$D$44,MATCH(B2808,Harytlar!$A$5:$A$44,0)),""))</f>
        <v/>
      </c>
    </row>
    <row r="2809" spans="1:7" x14ac:dyDescent="0.3">
      <c r="A2809" s="17"/>
      <c r="B2809" s="18"/>
      <c r="C2809" s="18"/>
      <c r="D2809" s="18"/>
      <c r="E2809" s="10" t="str">
        <f>IF(B2809="","",IFERROR(INDEX(Harytlar!$C$5:$C$44,MATCH(B2809,Harytlar!$A$5:$A$44,0)),""))</f>
        <v/>
      </c>
      <c r="F2809" s="10" t="str">
        <f t="shared" si="43"/>
        <v/>
      </c>
      <c r="G2809" s="10" t="str">
        <f>IF(OR(C2809="",B2809=""),"",IFERROR(C2809*INDEX(Harytlar!$D$5:$D$44,MATCH(B2809,Harytlar!$A$5:$A$44,0)),""))</f>
        <v/>
      </c>
    </row>
    <row r="2810" spans="1:7" x14ac:dyDescent="0.3">
      <c r="A2810" s="17"/>
      <c r="B2810" s="18"/>
      <c r="C2810" s="18"/>
      <c r="D2810" s="18"/>
      <c r="E2810" s="10" t="str">
        <f>IF(B2810="","",IFERROR(INDEX(Harytlar!$C$5:$C$44,MATCH(B2810,Harytlar!$A$5:$A$44,0)),""))</f>
        <v/>
      </c>
      <c r="F2810" s="10" t="str">
        <f t="shared" si="43"/>
        <v/>
      </c>
      <c r="G2810" s="10" t="str">
        <f>IF(OR(C2810="",B2810=""),"",IFERROR(C2810*INDEX(Harytlar!$D$5:$D$44,MATCH(B2810,Harytlar!$A$5:$A$44,0)),""))</f>
        <v/>
      </c>
    </row>
    <row r="2811" spans="1:7" x14ac:dyDescent="0.3">
      <c r="A2811" s="17"/>
      <c r="B2811" s="18"/>
      <c r="C2811" s="18"/>
      <c r="D2811" s="18"/>
      <c r="E2811" s="10" t="str">
        <f>IF(B2811="","",IFERROR(INDEX(Harytlar!$C$5:$C$44,MATCH(B2811,Harytlar!$A$5:$A$44,0)),""))</f>
        <v/>
      </c>
      <c r="F2811" s="10" t="str">
        <f t="shared" si="43"/>
        <v/>
      </c>
      <c r="G2811" s="10" t="str">
        <f>IF(OR(C2811="",B2811=""),"",IFERROR(C2811*INDEX(Harytlar!$D$5:$D$44,MATCH(B2811,Harytlar!$A$5:$A$44,0)),""))</f>
        <v/>
      </c>
    </row>
    <row r="2812" spans="1:7" x14ac:dyDescent="0.3">
      <c r="A2812" s="17"/>
      <c r="B2812" s="18"/>
      <c r="C2812" s="18"/>
      <c r="D2812" s="18"/>
      <c r="E2812" s="10" t="str">
        <f>IF(B2812="","",IFERROR(INDEX(Harytlar!$C$5:$C$44,MATCH(B2812,Harytlar!$A$5:$A$44,0)),""))</f>
        <v/>
      </c>
      <c r="F2812" s="10" t="str">
        <f t="shared" si="43"/>
        <v/>
      </c>
      <c r="G2812" s="10" t="str">
        <f>IF(OR(C2812="",B2812=""),"",IFERROR(C2812*INDEX(Harytlar!$D$5:$D$44,MATCH(B2812,Harytlar!$A$5:$A$44,0)),""))</f>
        <v/>
      </c>
    </row>
    <row r="2813" spans="1:7" x14ac:dyDescent="0.3">
      <c r="A2813" s="17"/>
      <c r="B2813" s="18"/>
      <c r="C2813" s="18"/>
      <c r="D2813" s="18"/>
      <c r="E2813" s="10" t="str">
        <f>IF(B2813="","",IFERROR(INDEX(Harytlar!$C$5:$C$44,MATCH(B2813,Harytlar!$A$5:$A$44,0)),""))</f>
        <v/>
      </c>
      <c r="F2813" s="10" t="str">
        <f t="shared" si="43"/>
        <v/>
      </c>
      <c r="G2813" s="10" t="str">
        <f>IF(OR(C2813="",B2813=""),"",IFERROR(C2813*INDEX(Harytlar!$D$5:$D$44,MATCH(B2813,Harytlar!$A$5:$A$44,0)),""))</f>
        <v/>
      </c>
    </row>
    <row r="2814" spans="1:7" x14ac:dyDescent="0.3">
      <c r="A2814" s="17"/>
      <c r="B2814" s="18"/>
      <c r="C2814" s="18"/>
      <c r="D2814" s="18"/>
      <c r="E2814" s="10" t="str">
        <f>IF(B2814="","",IFERROR(INDEX(Harytlar!$C$5:$C$44,MATCH(B2814,Harytlar!$A$5:$A$44,0)),""))</f>
        <v/>
      </c>
      <c r="F2814" s="10" t="str">
        <f t="shared" si="43"/>
        <v/>
      </c>
      <c r="G2814" s="10" t="str">
        <f>IF(OR(C2814="",B2814=""),"",IFERROR(C2814*INDEX(Harytlar!$D$5:$D$44,MATCH(B2814,Harytlar!$A$5:$A$44,0)),""))</f>
        <v/>
      </c>
    </row>
    <row r="2815" spans="1:7" x14ac:dyDescent="0.3">
      <c r="A2815" s="17"/>
      <c r="B2815" s="18"/>
      <c r="C2815" s="18"/>
      <c r="D2815" s="18"/>
      <c r="E2815" s="10" t="str">
        <f>IF(B2815="","",IFERROR(INDEX(Harytlar!$C$5:$C$44,MATCH(B2815,Harytlar!$A$5:$A$44,0)),""))</f>
        <v/>
      </c>
      <c r="F2815" s="10" t="str">
        <f t="shared" si="43"/>
        <v/>
      </c>
      <c r="G2815" s="10" t="str">
        <f>IF(OR(C2815="",B2815=""),"",IFERROR(C2815*INDEX(Harytlar!$D$5:$D$44,MATCH(B2815,Harytlar!$A$5:$A$44,0)),""))</f>
        <v/>
      </c>
    </row>
    <row r="2816" spans="1:7" x14ac:dyDescent="0.3">
      <c r="A2816" s="17"/>
      <c r="B2816" s="18"/>
      <c r="C2816" s="18"/>
      <c r="D2816" s="18"/>
      <c r="E2816" s="10" t="str">
        <f>IF(B2816="","",IFERROR(INDEX(Harytlar!$C$5:$C$44,MATCH(B2816,Harytlar!$A$5:$A$44,0)),""))</f>
        <v/>
      </c>
      <c r="F2816" s="10" t="str">
        <f t="shared" si="43"/>
        <v/>
      </c>
      <c r="G2816" s="10" t="str">
        <f>IF(OR(C2816="",B2816=""),"",IFERROR(C2816*INDEX(Harytlar!$D$5:$D$44,MATCH(B2816,Harytlar!$A$5:$A$44,0)),""))</f>
        <v/>
      </c>
    </row>
    <row r="2817" spans="1:7" x14ac:dyDescent="0.3">
      <c r="A2817" s="17"/>
      <c r="B2817" s="18"/>
      <c r="C2817" s="18"/>
      <c r="D2817" s="18"/>
      <c r="E2817" s="10" t="str">
        <f>IF(B2817="","",IFERROR(INDEX(Harytlar!$C$5:$C$44,MATCH(B2817,Harytlar!$A$5:$A$44,0)),""))</f>
        <v/>
      </c>
      <c r="F2817" s="10" t="str">
        <f t="shared" si="43"/>
        <v/>
      </c>
      <c r="G2817" s="10" t="str">
        <f>IF(OR(C2817="",B2817=""),"",IFERROR(C2817*INDEX(Harytlar!$D$5:$D$44,MATCH(B2817,Harytlar!$A$5:$A$44,0)),""))</f>
        <v/>
      </c>
    </row>
    <row r="2818" spans="1:7" x14ac:dyDescent="0.3">
      <c r="A2818" s="17"/>
      <c r="B2818" s="18"/>
      <c r="C2818" s="18"/>
      <c r="D2818" s="18"/>
      <c r="E2818" s="10" t="str">
        <f>IF(B2818="","",IFERROR(INDEX(Harytlar!$C$5:$C$44,MATCH(B2818,Harytlar!$A$5:$A$44,0)),""))</f>
        <v/>
      </c>
      <c r="F2818" s="10" t="str">
        <f t="shared" si="43"/>
        <v/>
      </c>
      <c r="G2818" s="10" t="str">
        <f>IF(OR(C2818="",B2818=""),"",IFERROR(C2818*INDEX(Harytlar!$D$5:$D$44,MATCH(B2818,Harytlar!$A$5:$A$44,0)),""))</f>
        <v/>
      </c>
    </row>
    <row r="2819" spans="1:7" x14ac:dyDescent="0.3">
      <c r="A2819" s="17"/>
      <c r="B2819" s="18"/>
      <c r="C2819" s="18"/>
      <c r="D2819" s="18"/>
      <c r="E2819" s="10" t="str">
        <f>IF(B2819="","",IFERROR(INDEX(Harytlar!$C$5:$C$44,MATCH(B2819,Harytlar!$A$5:$A$44,0)),""))</f>
        <v/>
      </c>
      <c r="F2819" s="10" t="str">
        <f t="shared" si="43"/>
        <v/>
      </c>
      <c r="G2819" s="10" t="str">
        <f>IF(OR(C2819="",B2819=""),"",IFERROR(C2819*INDEX(Harytlar!$D$5:$D$44,MATCH(B2819,Harytlar!$A$5:$A$44,0)),""))</f>
        <v/>
      </c>
    </row>
    <row r="2820" spans="1:7" x14ac:dyDescent="0.3">
      <c r="A2820" s="17"/>
      <c r="B2820" s="18"/>
      <c r="C2820" s="18"/>
      <c r="D2820" s="18"/>
      <c r="E2820" s="10" t="str">
        <f>IF(B2820="","",IFERROR(INDEX(Harytlar!$C$5:$C$44,MATCH(B2820,Harytlar!$A$5:$A$44,0)),""))</f>
        <v/>
      </c>
      <c r="F2820" s="10" t="str">
        <f t="shared" si="43"/>
        <v/>
      </c>
      <c r="G2820" s="10" t="str">
        <f>IF(OR(C2820="",B2820=""),"",IFERROR(C2820*INDEX(Harytlar!$D$5:$D$44,MATCH(B2820,Harytlar!$A$5:$A$44,0)),""))</f>
        <v/>
      </c>
    </row>
    <row r="2821" spans="1:7" x14ac:dyDescent="0.3">
      <c r="A2821" s="17"/>
      <c r="B2821" s="18"/>
      <c r="C2821" s="18"/>
      <c r="D2821" s="18"/>
      <c r="E2821" s="10" t="str">
        <f>IF(B2821="","",IFERROR(INDEX(Harytlar!$C$5:$C$44,MATCH(B2821,Harytlar!$A$5:$A$44,0)),""))</f>
        <v/>
      </c>
      <c r="F2821" s="10" t="str">
        <f t="shared" si="43"/>
        <v/>
      </c>
      <c r="G2821" s="10" t="str">
        <f>IF(OR(C2821="",B2821=""),"",IFERROR(C2821*INDEX(Harytlar!$D$5:$D$44,MATCH(B2821,Harytlar!$A$5:$A$44,0)),""))</f>
        <v/>
      </c>
    </row>
    <row r="2822" spans="1:7" x14ac:dyDescent="0.3">
      <c r="A2822" s="17"/>
      <c r="B2822" s="18"/>
      <c r="C2822" s="18"/>
      <c r="D2822" s="18"/>
      <c r="E2822" s="10" t="str">
        <f>IF(B2822="","",IFERROR(INDEX(Harytlar!$C$5:$C$44,MATCH(B2822,Harytlar!$A$5:$A$44,0)),""))</f>
        <v/>
      </c>
      <c r="F2822" s="10" t="str">
        <f t="shared" ref="F2822:F2885" si="44">IF(OR(C2822="",E2822=""),"",C2822*E2822)</f>
        <v/>
      </c>
      <c r="G2822" s="10" t="str">
        <f>IF(OR(C2822="",B2822=""),"",IFERROR(C2822*INDEX(Harytlar!$D$5:$D$44,MATCH(B2822,Harytlar!$A$5:$A$44,0)),""))</f>
        <v/>
      </c>
    </row>
    <row r="2823" spans="1:7" x14ac:dyDescent="0.3">
      <c r="A2823" s="17"/>
      <c r="B2823" s="18"/>
      <c r="C2823" s="18"/>
      <c r="D2823" s="18"/>
      <c r="E2823" s="10" t="str">
        <f>IF(B2823="","",IFERROR(INDEX(Harytlar!$C$5:$C$44,MATCH(B2823,Harytlar!$A$5:$A$44,0)),""))</f>
        <v/>
      </c>
      <c r="F2823" s="10" t="str">
        <f t="shared" si="44"/>
        <v/>
      </c>
      <c r="G2823" s="10" t="str">
        <f>IF(OR(C2823="",B2823=""),"",IFERROR(C2823*INDEX(Harytlar!$D$5:$D$44,MATCH(B2823,Harytlar!$A$5:$A$44,0)),""))</f>
        <v/>
      </c>
    </row>
    <row r="2824" spans="1:7" x14ac:dyDescent="0.3">
      <c r="A2824" s="17"/>
      <c r="B2824" s="18"/>
      <c r="C2824" s="18"/>
      <c r="D2824" s="18"/>
      <c r="E2824" s="10" t="str">
        <f>IF(B2824="","",IFERROR(INDEX(Harytlar!$C$5:$C$44,MATCH(B2824,Harytlar!$A$5:$A$44,0)),""))</f>
        <v/>
      </c>
      <c r="F2824" s="10" t="str">
        <f t="shared" si="44"/>
        <v/>
      </c>
      <c r="G2824" s="10" t="str">
        <f>IF(OR(C2824="",B2824=""),"",IFERROR(C2824*INDEX(Harytlar!$D$5:$D$44,MATCH(B2824,Harytlar!$A$5:$A$44,0)),""))</f>
        <v/>
      </c>
    </row>
    <row r="2825" spans="1:7" x14ac:dyDescent="0.3">
      <c r="A2825" s="17"/>
      <c r="B2825" s="18"/>
      <c r="C2825" s="18"/>
      <c r="D2825" s="18"/>
      <c r="E2825" s="10" t="str">
        <f>IF(B2825="","",IFERROR(INDEX(Harytlar!$C$5:$C$44,MATCH(B2825,Harytlar!$A$5:$A$44,0)),""))</f>
        <v/>
      </c>
      <c r="F2825" s="10" t="str">
        <f t="shared" si="44"/>
        <v/>
      </c>
      <c r="G2825" s="10" t="str">
        <f>IF(OR(C2825="",B2825=""),"",IFERROR(C2825*INDEX(Harytlar!$D$5:$D$44,MATCH(B2825,Harytlar!$A$5:$A$44,0)),""))</f>
        <v/>
      </c>
    </row>
    <row r="2826" spans="1:7" x14ac:dyDescent="0.3">
      <c r="A2826" s="17"/>
      <c r="B2826" s="18"/>
      <c r="C2826" s="18"/>
      <c r="D2826" s="18"/>
      <c r="E2826" s="10" t="str">
        <f>IF(B2826="","",IFERROR(INDEX(Harytlar!$C$5:$C$44,MATCH(B2826,Harytlar!$A$5:$A$44,0)),""))</f>
        <v/>
      </c>
      <c r="F2826" s="10" t="str">
        <f t="shared" si="44"/>
        <v/>
      </c>
      <c r="G2826" s="10" t="str">
        <f>IF(OR(C2826="",B2826=""),"",IFERROR(C2826*INDEX(Harytlar!$D$5:$D$44,MATCH(B2826,Harytlar!$A$5:$A$44,0)),""))</f>
        <v/>
      </c>
    </row>
    <row r="2827" spans="1:7" x14ac:dyDescent="0.3">
      <c r="A2827" s="17"/>
      <c r="B2827" s="18"/>
      <c r="C2827" s="18"/>
      <c r="D2827" s="18"/>
      <c r="E2827" s="10" t="str">
        <f>IF(B2827="","",IFERROR(INDEX(Harytlar!$C$5:$C$44,MATCH(B2827,Harytlar!$A$5:$A$44,0)),""))</f>
        <v/>
      </c>
      <c r="F2827" s="10" t="str">
        <f t="shared" si="44"/>
        <v/>
      </c>
      <c r="G2827" s="10" t="str">
        <f>IF(OR(C2827="",B2827=""),"",IFERROR(C2827*INDEX(Harytlar!$D$5:$D$44,MATCH(B2827,Harytlar!$A$5:$A$44,0)),""))</f>
        <v/>
      </c>
    </row>
    <row r="2828" spans="1:7" x14ac:dyDescent="0.3">
      <c r="A2828" s="17"/>
      <c r="B2828" s="18"/>
      <c r="C2828" s="18"/>
      <c r="D2828" s="18"/>
      <c r="E2828" s="10" t="str">
        <f>IF(B2828="","",IFERROR(INDEX(Harytlar!$C$5:$C$44,MATCH(B2828,Harytlar!$A$5:$A$44,0)),""))</f>
        <v/>
      </c>
      <c r="F2828" s="10" t="str">
        <f t="shared" si="44"/>
        <v/>
      </c>
      <c r="G2828" s="10" t="str">
        <f>IF(OR(C2828="",B2828=""),"",IFERROR(C2828*INDEX(Harytlar!$D$5:$D$44,MATCH(B2828,Harytlar!$A$5:$A$44,0)),""))</f>
        <v/>
      </c>
    </row>
    <row r="2829" spans="1:7" x14ac:dyDescent="0.3">
      <c r="A2829" s="17"/>
      <c r="B2829" s="18"/>
      <c r="C2829" s="18"/>
      <c r="D2829" s="18"/>
      <c r="E2829" s="10" t="str">
        <f>IF(B2829="","",IFERROR(INDEX(Harytlar!$C$5:$C$44,MATCH(B2829,Harytlar!$A$5:$A$44,0)),""))</f>
        <v/>
      </c>
      <c r="F2829" s="10" t="str">
        <f t="shared" si="44"/>
        <v/>
      </c>
      <c r="G2829" s="10" t="str">
        <f>IF(OR(C2829="",B2829=""),"",IFERROR(C2829*INDEX(Harytlar!$D$5:$D$44,MATCH(B2829,Harytlar!$A$5:$A$44,0)),""))</f>
        <v/>
      </c>
    </row>
    <row r="2830" spans="1:7" x14ac:dyDescent="0.3">
      <c r="A2830" s="17"/>
      <c r="B2830" s="18"/>
      <c r="C2830" s="18"/>
      <c r="D2830" s="18"/>
      <c r="E2830" s="10" t="str">
        <f>IF(B2830="","",IFERROR(INDEX(Harytlar!$C$5:$C$44,MATCH(B2830,Harytlar!$A$5:$A$44,0)),""))</f>
        <v/>
      </c>
      <c r="F2830" s="10" t="str">
        <f t="shared" si="44"/>
        <v/>
      </c>
      <c r="G2830" s="10" t="str">
        <f>IF(OR(C2830="",B2830=""),"",IFERROR(C2830*INDEX(Harytlar!$D$5:$D$44,MATCH(B2830,Harytlar!$A$5:$A$44,0)),""))</f>
        <v/>
      </c>
    </row>
    <row r="2831" spans="1:7" x14ac:dyDescent="0.3">
      <c r="A2831" s="17"/>
      <c r="B2831" s="18"/>
      <c r="C2831" s="18"/>
      <c r="D2831" s="18"/>
      <c r="E2831" s="10" t="str">
        <f>IF(B2831="","",IFERROR(INDEX(Harytlar!$C$5:$C$44,MATCH(B2831,Harytlar!$A$5:$A$44,0)),""))</f>
        <v/>
      </c>
      <c r="F2831" s="10" t="str">
        <f t="shared" si="44"/>
        <v/>
      </c>
      <c r="G2831" s="10" t="str">
        <f>IF(OR(C2831="",B2831=""),"",IFERROR(C2831*INDEX(Harytlar!$D$5:$D$44,MATCH(B2831,Harytlar!$A$5:$A$44,0)),""))</f>
        <v/>
      </c>
    </row>
    <row r="2832" spans="1:7" x14ac:dyDescent="0.3">
      <c r="A2832" s="17"/>
      <c r="B2832" s="18"/>
      <c r="C2832" s="18"/>
      <c r="D2832" s="18"/>
      <c r="E2832" s="10" t="str">
        <f>IF(B2832="","",IFERROR(INDEX(Harytlar!$C$5:$C$44,MATCH(B2832,Harytlar!$A$5:$A$44,0)),""))</f>
        <v/>
      </c>
      <c r="F2832" s="10" t="str">
        <f t="shared" si="44"/>
        <v/>
      </c>
      <c r="G2832" s="10" t="str">
        <f>IF(OR(C2832="",B2832=""),"",IFERROR(C2832*INDEX(Harytlar!$D$5:$D$44,MATCH(B2832,Harytlar!$A$5:$A$44,0)),""))</f>
        <v/>
      </c>
    </row>
    <row r="2833" spans="1:7" x14ac:dyDescent="0.3">
      <c r="A2833" s="17"/>
      <c r="B2833" s="18"/>
      <c r="C2833" s="18"/>
      <c r="D2833" s="18"/>
      <c r="E2833" s="10" t="str">
        <f>IF(B2833="","",IFERROR(INDEX(Harytlar!$C$5:$C$44,MATCH(B2833,Harytlar!$A$5:$A$44,0)),""))</f>
        <v/>
      </c>
      <c r="F2833" s="10" t="str">
        <f t="shared" si="44"/>
        <v/>
      </c>
      <c r="G2833" s="10" t="str">
        <f>IF(OR(C2833="",B2833=""),"",IFERROR(C2833*INDEX(Harytlar!$D$5:$D$44,MATCH(B2833,Harytlar!$A$5:$A$44,0)),""))</f>
        <v/>
      </c>
    </row>
    <row r="2834" spans="1:7" x14ac:dyDescent="0.3">
      <c r="A2834" s="17"/>
      <c r="B2834" s="18"/>
      <c r="C2834" s="18"/>
      <c r="D2834" s="18"/>
      <c r="E2834" s="10" t="str">
        <f>IF(B2834="","",IFERROR(INDEX(Harytlar!$C$5:$C$44,MATCH(B2834,Harytlar!$A$5:$A$44,0)),""))</f>
        <v/>
      </c>
      <c r="F2834" s="10" t="str">
        <f t="shared" si="44"/>
        <v/>
      </c>
      <c r="G2834" s="10" t="str">
        <f>IF(OR(C2834="",B2834=""),"",IFERROR(C2834*INDEX(Harytlar!$D$5:$D$44,MATCH(B2834,Harytlar!$A$5:$A$44,0)),""))</f>
        <v/>
      </c>
    </row>
    <row r="2835" spans="1:7" x14ac:dyDescent="0.3">
      <c r="A2835" s="17"/>
      <c r="B2835" s="18"/>
      <c r="C2835" s="18"/>
      <c r="D2835" s="18"/>
      <c r="E2835" s="10" t="str">
        <f>IF(B2835="","",IFERROR(INDEX(Harytlar!$C$5:$C$44,MATCH(B2835,Harytlar!$A$5:$A$44,0)),""))</f>
        <v/>
      </c>
      <c r="F2835" s="10" t="str">
        <f t="shared" si="44"/>
        <v/>
      </c>
      <c r="G2835" s="10" t="str">
        <f>IF(OR(C2835="",B2835=""),"",IFERROR(C2835*INDEX(Harytlar!$D$5:$D$44,MATCH(B2835,Harytlar!$A$5:$A$44,0)),""))</f>
        <v/>
      </c>
    </row>
    <row r="2836" spans="1:7" x14ac:dyDescent="0.3">
      <c r="A2836" s="17"/>
      <c r="B2836" s="18"/>
      <c r="C2836" s="18"/>
      <c r="D2836" s="18"/>
      <c r="E2836" s="10" t="str">
        <f>IF(B2836="","",IFERROR(INDEX(Harytlar!$C$5:$C$44,MATCH(B2836,Harytlar!$A$5:$A$44,0)),""))</f>
        <v/>
      </c>
      <c r="F2836" s="10" t="str">
        <f t="shared" si="44"/>
        <v/>
      </c>
      <c r="G2836" s="10" t="str">
        <f>IF(OR(C2836="",B2836=""),"",IFERROR(C2836*INDEX(Harytlar!$D$5:$D$44,MATCH(B2836,Harytlar!$A$5:$A$44,0)),""))</f>
        <v/>
      </c>
    </row>
    <row r="2837" spans="1:7" x14ac:dyDescent="0.3">
      <c r="A2837" s="17"/>
      <c r="B2837" s="18"/>
      <c r="C2837" s="18"/>
      <c r="D2837" s="18"/>
      <c r="E2837" s="10" t="str">
        <f>IF(B2837="","",IFERROR(INDEX(Harytlar!$C$5:$C$44,MATCH(B2837,Harytlar!$A$5:$A$44,0)),""))</f>
        <v/>
      </c>
      <c r="F2837" s="10" t="str">
        <f t="shared" si="44"/>
        <v/>
      </c>
      <c r="G2837" s="10" t="str">
        <f>IF(OR(C2837="",B2837=""),"",IFERROR(C2837*INDEX(Harytlar!$D$5:$D$44,MATCH(B2837,Harytlar!$A$5:$A$44,0)),""))</f>
        <v/>
      </c>
    </row>
    <row r="2838" spans="1:7" x14ac:dyDescent="0.3">
      <c r="A2838" s="17"/>
      <c r="B2838" s="18"/>
      <c r="C2838" s="18"/>
      <c r="D2838" s="18"/>
      <c r="E2838" s="10" t="str">
        <f>IF(B2838="","",IFERROR(INDEX(Harytlar!$C$5:$C$44,MATCH(B2838,Harytlar!$A$5:$A$44,0)),""))</f>
        <v/>
      </c>
      <c r="F2838" s="10" t="str">
        <f t="shared" si="44"/>
        <v/>
      </c>
      <c r="G2838" s="10" t="str">
        <f>IF(OR(C2838="",B2838=""),"",IFERROR(C2838*INDEX(Harytlar!$D$5:$D$44,MATCH(B2838,Harytlar!$A$5:$A$44,0)),""))</f>
        <v/>
      </c>
    </row>
    <row r="2839" spans="1:7" x14ac:dyDescent="0.3">
      <c r="A2839" s="17"/>
      <c r="B2839" s="18"/>
      <c r="C2839" s="18"/>
      <c r="D2839" s="18"/>
      <c r="E2839" s="10" t="str">
        <f>IF(B2839="","",IFERROR(INDEX(Harytlar!$C$5:$C$44,MATCH(B2839,Harytlar!$A$5:$A$44,0)),""))</f>
        <v/>
      </c>
      <c r="F2839" s="10" t="str">
        <f t="shared" si="44"/>
        <v/>
      </c>
      <c r="G2839" s="10" t="str">
        <f>IF(OR(C2839="",B2839=""),"",IFERROR(C2839*INDEX(Harytlar!$D$5:$D$44,MATCH(B2839,Harytlar!$A$5:$A$44,0)),""))</f>
        <v/>
      </c>
    </row>
    <row r="2840" spans="1:7" x14ac:dyDescent="0.3">
      <c r="A2840" s="17"/>
      <c r="B2840" s="18"/>
      <c r="C2840" s="18"/>
      <c r="D2840" s="18"/>
      <c r="E2840" s="10" t="str">
        <f>IF(B2840="","",IFERROR(INDEX(Harytlar!$C$5:$C$44,MATCH(B2840,Harytlar!$A$5:$A$44,0)),""))</f>
        <v/>
      </c>
      <c r="F2840" s="10" t="str">
        <f t="shared" si="44"/>
        <v/>
      </c>
      <c r="G2840" s="10" t="str">
        <f>IF(OR(C2840="",B2840=""),"",IFERROR(C2840*INDEX(Harytlar!$D$5:$D$44,MATCH(B2840,Harytlar!$A$5:$A$44,0)),""))</f>
        <v/>
      </c>
    </row>
    <row r="2841" spans="1:7" x14ac:dyDescent="0.3">
      <c r="A2841" s="17"/>
      <c r="B2841" s="18"/>
      <c r="C2841" s="18"/>
      <c r="D2841" s="18"/>
      <c r="E2841" s="10" t="str">
        <f>IF(B2841="","",IFERROR(INDEX(Harytlar!$C$5:$C$44,MATCH(B2841,Harytlar!$A$5:$A$44,0)),""))</f>
        <v/>
      </c>
      <c r="F2841" s="10" t="str">
        <f t="shared" si="44"/>
        <v/>
      </c>
      <c r="G2841" s="10" t="str">
        <f>IF(OR(C2841="",B2841=""),"",IFERROR(C2841*INDEX(Harytlar!$D$5:$D$44,MATCH(B2841,Harytlar!$A$5:$A$44,0)),""))</f>
        <v/>
      </c>
    </row>
    <row r="2842" spans="1:7" x14ac:dyDescent="0.3">
      <c r="A2842" s="17"/>
      <c r="B2842" s="18"/>
      <c r="C2842" s="18"/>
      <c r="D2842" s="18"/>
      <c r="E2842" s="10" t="str">
        <f>IF(B2842="","",IFERROR(INDEX(Harytlar!$C$5:$C$44,MATCH(B2842,Harytlar!$A$5:$A$44,0)),""))</f>
        <v/>
      </c>
      <c r="F2842" s="10" t="str">
        <f t="shared" si="44"/>
        <v/>
      </c>
      <c r="G2842" s="10" t="str">
        <f>IF(OR(C2842="",B2842=""),"",IFERROR(C2842*INDEX(Harytlar!$D$5:$D$44,MATCH(B2842,Harytlar!$A$5:$A$44,0)),""))</f>
        <v/>
      </c>
    </row>
    <row r="2843" spans="1:7" x14ac:dyDescent="0.3">
      <c r="A2843" s="17"/>
      <c r="B2843" s="18"/>
      <c r="C2843" s="18"/>
      <c r="D2843" s="18"/>
      <c r="E2843" s="10" t="str">
        <f>IF(B2843="","",IFERROR(INDEX(Harytlar!$C$5:$C$44,MATCH(B2843,Harytlar!$A$5:$A$44,0)),""))</f>
        <v/>
      </c>
      <c r="F2843" s="10" t="str">
        <f t="shared" si="44"/>
        <v/>
      </c>
      <c r="G2843" s="10" t="str">
        <f>IF(OR(C2843="",B2843=""),"",IFERROR(C2843*INDEX(Harytlar!$D$5:$D$44,MATCH(B2843,Harytlar!$A$5:$A$44,0)),""))</f>
        <v/>
      </c>
    </row>
    <row r="2844" spans="1:7" x14ac:dyDescent="0.3">
      <c r="A2844" s="17"/>
      <c r="B2844" s="18"/>
      <c r="C2844" s="18"/>
      <c r="D2844" s="18"/>
      <c r="E2844" s="10" t="str">
        <f>IF(B2844="","",IFERROR(INDEX(Harytlar!$C$5:$C$44,MATCH(B2844,Harytlar!$A$5:$A$44,0)),""))</f>
        <v/>
      </c>
      <c r="F2844" s="10" t="str">
        <f t="shared" si="44"/>
        <v/>
      </c>
      <c r="G2844" s="10" t="str">
        <f>IF(OR(C2844="",B2844=""),"",IFERROR(C2844*INDEX(Harytlar!$D$5:$D$44,MATCH(B2844,Harytlar!$A$5:$A$44,0)),""))</f>
        <v/>
      </c>
    </row>
    <row r="2845" spans="1:7" x14ac:dyDescent="0.3">
      <c r="A2845" s="17"/>
      <c r="B2845" s="18"/>
      <c r="C2845" s="18"/>
      <c r="D2845" s="18"/>
      <c r="E2845" s="10" t="str">
        <f>IF(B2845="","",IFERROR(INDEX(Harytlar!$C$5:$C$44,MATCH(B2845,Harytlar!$A$5:$A$44,0)),""))</f>
        <v/>
      </c>
      <c r="F2845" s="10" t="str">
        <f t="shared" si="44"/>
        <v/>
      </c>
      <c r="G2845" s="10" t="str">
        <f>IF(OR(C2845="",B2845=""),"",IFERROR(C2845*INDEX(Harytlar!$D$5:$D$44,MATCH(B2845,Harytlar!$A$5:$A$44,0)),""))</f>
        <v/>
      </c>
    </row>
    <row r="2846" spans="1:7" x14ac:dyDescent="0.3">
      <c r="A2846" s="17"/>
      <c r="B2846" s="18"/>
      <c r="C2846" s="18"/>
      <c r="D2846" s="18"/>
      <c r="E2846" s="10" t="str">
        <f>IF(B2846="","",IFERROR(INDEX(Harytlar!$C$5:$C$44,MATCH(B2846,Harytlar!$A$5:$A$44,0)),""))</f>
        <v/>
      </c>
      <c r="F2846" s="10" t="str">
        <f t="shared" si="44"/>
        <v/>
      </c>
      <c r="G2846" s="10" t="str">
        <f>IF(OR(C2846="",B2846=""),"",IFERROR(C2846*INDEX(Harytlar!$D$5:$D$44,MATCH(B2846,Harytlar!$A$5:$A$44,0)),""))</f>
        <v/>
      </c>
    </row>
    <row r="2847" spans="1:7" x14ac:dyDescent="0.3">
      <c r="A2847" s="17"/>
      <c r="B2847" s="18"/>
      <c r="C2847" s="18"/>
      <c r="D2847" s="18"/>
      <c r="E2847" s="10" t="str">
        <f>IF(B2847="","",IFERROR(INDEX(Harytlar!$C$5:$C$44,MATCH(B2847,Harytlar!$A$5:$A$44,0)),""))</f>
        <v/>
      </c>
      <c r="F2847" s="10" t="str">
        <f t="shared" si="44"/>
        <v/>
      </c>
      <c r="G2847" s="10" t="str">
        <f>IF(OR(C2847="",B2847=""),"",IFERROR(C2847*INDEX(Harytlar!$D$5:$D$44,MATCH(B2847,Harytlar!$A$5:$A$44,0)),""))</f>
        <v/>
      </c>
    </row>
    <row r="2848" spans="1:7" x14ac:dyDescent="0.3">
      <c r="A2848" s="17"/>
      <c r="B2848" s="18"/>
      <c r="C2848" s="18"/>
      <c r="D2848" s="18"/>
      <c r="E2848" s="10" t="str">
        <f>IF(B2848="","",IFERROR(INDEX(Harytlar!$C$5:$C$44,MATCH(B2848,Harytlar!$A$5:$A$44,0)),""))</f>
        <v/>
      </c>
      <c r="F2848" s="10" t="str">
        <f t="shared" si="44"/>
        <v/>
      </c>
      <c r="G2848" s="10" t="str">
        <f>IF(OR(C2848="",B2848=""),"",IFERROR(C2848*INDEX(Harytlar!$D$5:$D$44,MATCH(B2848,Harytlar!$A$5:$A$44,0)),""))</f>
        <v/>
      </c>
    </row>
    <row r="2849" spans="1:7" x14ac:dyDescent="0.3">
      <c r="A2849" s="17"/>
      <c r="B2849" s="18"/>
      <c r="C2849" s="18"/>
      <c r="D2849" s="18"/>
      <c r="E2849" s="10" t="str">
        <f>IF(B2849="","",IFERROR(INDEX(Harytlar!$C$5:$C$44,MATCH(B2849,Harytlar!$A$5:$A$44,0)),""))</f>
        <v/>
      </c>
      <c r="F2849" s="10" t="str">
        <f t="shared" si="44"/>
        <v/>
      </c>
      <c r="G2849" s="10" t="str">
        <f>IF(OR(C2849="",B2849=""),"",IFERROR(C2849*INDEX(Harytlar!$D$5:$D$44,MATCH(B2849,Harytlar!$A$5:$A$44,0)),""))</f>
        <v/>
      </c>
    </row>
    <row r="2850" spans="1:7" x14ac:dyDescent="0.3">
      <c r="A2850" s="17"/>
      <c r="B2850" s="18"/>
      <c r="C2850" s="18"/>
      <c r="D2850" s="18"/>
      <c r="E2850" s="10" t="str">
        <f>IF(B2850="","",IFERROR(INDEX(Harytlar!$C$5:$C$44,MATCH(B2850,Harytlar!$A$5:$A$44,0)),""))</f>
        <v/>
      </c>
      <c r="F2850" s="10" t="str">
        <f t="shared" si="44"/>
        <v/>
      </c>
      <c r="G2850" s="10" t="str">
        <f>IF(OR(C2850="",B2850=""),"",IFERROR(C2850*INDEX(Harytlar!$D$5:$D$44,MATCH(B2850,Harytlar!$A$5:$A$44,0)),""))</f>
        <v/>
      </c>
    </row>
    <row r="2851" spans="1:7" x14ac:dyDescent="0.3">
      <c r="A2851" s="17"/>
      <c r="B2851" s="18"/>
      <c r="C2851" s="18"/>
      <c r="D2851" s="18"/>
      <c r="E2851" s="10" t="str">
        <f>IF(B2851="","",IFERROR(INDEX(Harytlar!$C$5:$C$44,MATCH(B2851,Harytlar!$A$5:$A$44,0)),""))</f>
        <v/>
      </c>
      <c r="F2851" s="10" t="str">
        <f t="shared" si="44"/>
        <v/>
      </c>
      <c r="G2851" s="10" t="str">
        <f>IF(OR(C2851="",B2851=""),"",IFERROR(C2851*INDEX(Harytlar!$D$5:$D$44,MATCH(B2851,Harytlar!$A$5:$A$44,0)),""))</f>
        <v/>
      </c>
    </row>
    <row r="2852" spans="1:7" x14ac:dyDescent="0.3">
      <c r="A2852" s="17"/>
      <c r="B2852" s="18"/>
      <c r="C2852" s="18"/>
      <c r="D2852" s="18"/>
      <c r="E2852" s="10" t="str">
        <f>IF(B2852="","",IFERROR(INDEX(Harytlar!$C$5:$C$44,MATCH(B2852,Harytlar!$A$5:$A$44,0)),""))</f>
        <v/>
      </c>
      <c r="F2852" s="10" t="str">
        <f t="shared" si="44"/>
        <v/>
      </c>
      <c r="G2852" s="10" t="str">
        <f>IF(OR(C2852="",B2852=""),"",IFERROR(C2852*INDEX(Harytlar!$D$5:$D$44,MATCH(B2852,Harytlar!$A$5:$A$44,0)),""))</f>
        <v/>
      </c>
    </row>
    <row r="2853" spans="1:7" x14ac:dyDescent="0.3">
      <c r="A2853" s="17"/>
      <c r="B2853" s="18"/>
      <c r="C2853" s="18"/>
      <c r="D2853" s="18"/>
      <c r="E2853" s="10" t="str">
        <f>IF(B2853="","",IFERROR(INDEX(Harytlar!$C$5:$C$44,MATCH(B2853,Harytlar!$A$5:$A$44,0)),""))</f>
        <v/>
      </c>
      <c r="F2853" s="10" t="str">
        <f t="shared" si="44"/>
        <v/>
      </c>
      <c r="G2853" s="10" t="str">
        <f>IF(OR(C2853="",B2853=""),"",IFERROR(C2853*INDEX(Harytlar!$D$5:$D$44,MATCH(B2853,Harytlar!$A$5:$A$44,0)),""))</f>
        <v/>
      </c>
    </row>
    <row r="2854" spans="1:7" x14ac:dyDescent="0.3">
      <c r="A2854" s="17"/>
      <c r="B2854" s="18"/>
      <c r="C2854" s="18"/>
      <c r="D2854" s="18"/>
      <c r="E2854" s="10" t="str">
        <f>IF(B2854="","",IFERROR(INDEX(Harytlar!$C$5:$C$44,MATCH(B2854,Harytlar!$A$5:$A$44,0)),""))</f>
        <v/>
      </c>
      <c r="F2854" s="10" t="str">
        <f t="shared" si="44"/>
        <v/>
      </c>
      <c r="G2854" s="10" t="str">
        <f>IF(OR(C2854="",B2854=""),"",IFERROR(C2854*INDEX(Harytlar!$D$5:$D$44,MATCH(B2854,Harytlar!$A$5:$A$44,0)),""))</f>
        <v/>
      </c>
    </row>
    <row r="2855" spans="1:7" x14ac:dyDescent="0.3">
      <c r="A2855" s="17"/>
      <c r="B2855" s="18"/>
      <c r="C2855" s="18"/>
      <c r="D2855" s="18"/>
      <c r="E2855" s="10" t="str">
        <f>IF(B2855="","",IFERROR(INDEX(Harytlar!$C$5:$C$44,MATCH(B2855,Harytlar!$A$5:$A$44,0)),""))</f>
        <v/>
      </c>
      <c r="F2855" s="10" t="str">
        <f t="shared" si="44"/>
        <v/>
      </c>
      <c r="G2855" s="10" t="str">
        <f>IF(OR(C2855="",B2855=""),"",IFERROR(C2855*INDEX(Harytlar!$D$5:$D$44,MATCH(B2855,Harytlar!$A$5:$A$44,0)),""))</f>
        <v/>
      </c>
    </row>
    <row r="2856" spans="1:7" x14ac:dyDescent="0.3">
      <c r="A2856" s="17"/>
      <c r="B2856" s="18"/>
      <c r="C2856" s="18"/>
      <c r="D2856" s="18"/>
      <c r="E2856" s="10" t="str">
        <f>IF(B2856="","",IFERROR(INDEX(Harytlar!$C$5:$C$44,MATCH(B2856,Harytlar!$A$5:$A$44,0)),""))</f>
        <v/>
      </c>
      <c r="F2856" s="10" t="str">
        <f t="shared" si="44"/>
        <v/>
      </c>
      <c r="G2856" s="10" t="str">
        <f>IF(OR(C2856="",B2856=""),"",IFERROR(C2856*INDEX(Harytlar!$D$5:$D$44,MATCH(B2856,Harytlar!$A$5:$A$44,0)),""))</f>
        <v/>
      </c>
    </row>
    <row r="2857" spans="1:7" x14ac:dyDescent="0.3">
      <c r="A2857" s="17"/>
      <c r="B2857" s="18"/>
      <c r="C2857" s="18"/>
      <c r="D2857" s="18"/>
      <c r="E2857" s="10" t="str">
        <f>IF(B2857="","",IFERROR(INDEX(Harytlar!$C$5:$C$44,MATCH(B2857,Harytlar!$A$5:$A$44,0)),""))</f>
        <v/>
      </c>
      <c r="F2857" s="10" t="str">
        <f t="shared" si="44"/>
        <v/>
      </c>
      <c r="G2857" s="10" t="str">
        <f>IF(OR(C2857="",B2857=""),"",IFERROR(C2857*INDEX(Harytlar!$D$5:$D$44,MATCH(B2857,Harytlar!$A$5:$A$44,0)),""))</f>
        <v/>
      </c>
    </row>
    <row r="2858" spans="1:7" x14ac:dyDescent="0.3">
      <c r="A2858" s="17"/>
      <c r="B2858" s="18"/>
      <c r="C2858" s="18"/>
      <c r="D2858" s="18"/>
      <c r="E2858" s="10" t="str">
        <f>IF(B2858="","",IFERROR(INDEX(Harytlar!$C$5:$C$44,MATCH(B2858,Harytlar!$A$5:$A$44,0)),""))</f>
        <v/>
      </c>
      <c r="F2858" s="10" t="str">
        <f t="shared" si="44"/>
        <v/>
      </c>
      <c r="G2858" s="10" t="str">
        <f>IF(OR(C2858="",B2858=""),"",IFERROR(C2858*INDEX(Harytlar!$D$5:$D$44,MATCH(B2858,Harytlar!$A$5:$A$44,0)),""))</f>
        <v/>
      </c>
    </row>
    <row r="2859" spans="1:7" x14ac:dyDescent="0.3">
      <c r="A2859" s="17"/>
      <c r="B2859" s="18"/>
      <c r="C2859" s="18"/>
      <c r="D2859" s="18"/>
      <c r="E2859" s="10" t="str">
        <f>IF(B2859="","",IFERROR(INDEX(Harytlar!$C$5:$C$44,MATCH(B2859,Harytlar!$A$5:$A$44,0)),""))</f>
        <v/>
      </c>
      <c r="F2859" s="10" t="str">
        <f t="shared" si="44"/>
        <v/>
      </c>
      <c r="G2859" s="10" t="str">
        <f>IF(OR(C2859="",B2859=""),"",IFERROR(C2859*INDEX(Harytlar!$D$5:$D$44,MATCH(B2859,Harytlar!$A$5:$A$44,0)),""))</f>
        <v/>
      </c>
    </row>
    <row r="2860" spans="1:7" x14ac:dyDescent="0.3">
      <c r="A2860" s="17"/>
      <c r="B2860" s="18"/>
      <c r="C2860" s="18"/>
      <c r="D2860" s="18"/>
      <c r="E2860" s="10" t="str">
        <f>IF(B2860="","",IFERROR(INDEX(Harytlar!$C$5:$C$44,MATCH(B2860,Harytlar!$A$5:$A$44,0)),""))</f>
        <v/>
      </c>
      <c r="F2860" s="10" t="str">
        <f t="shared" si="44"/>
        <v/>
      </c>
      <c r="G2860" s="10" t="str">
        <f>IF(OR(C2860="",B2860=""),"",IFERROR(C2860*INDEX(Harytlar!$D$5:$D$44,MATCH(B2860,Harytlar!$A$5:$A$44,0)),""))</f>
        <v/>
      </c>
    </row>
    <row r="2861" spans="1:7" x14ac:dyDescent="0.3">
      <c r="A2861" s="17"/>
      <c r="B2861" s="18"/>
      <c r="C2861" s="18"/>
      <c r="D2861" s="18"/>
      <c r="E2861" s="10" t="str">
        <f>IF(B2861="","",IFERROR(INDEX(Harytlar!$C$5:$C$44,MATCH(B2861,Harytlar!$A$5:$A$44,0)),""))</f>
        <v/>
      </c>
      <c r="F2861" s="10" t="str">
        <f t="shared" si="44"/>
        <v/>
      </c>
      <c r="G2861" s="10" t="str">
        <f>IF(OR(C2861="",B2861=""),"",IFERROR(C2861*INDEX(Harytlar!$D$5:$D$44,MATCH(B2861,Harytlar!$A$5:$A$44,0)),""))</f>
        <v/>
      </c>
    </row>
    <row r="2862" spans="1:7" x14ac:dyDescent="0.3">
      <c r="A2862" s="17"/>
      <c r="B2862" s="18"/>
      <c r="C2862" s="18"/>
      <c r="D2862" s="18"/>
      <c r="E2862" s="10" t="str">
        <f>IF(B2862="","",IFERROR(INDEX(Harytlar!$C$5:$C$44,MATCH(B2862,Harytlar!$A$5:$A$44,0)),""))</f>
        <v/>
      </c>
      <c r="F2862" s="10" t="str">
        <f t="shared" si="44"/>
        <v/>
      </c>
      <c r="G2862" s="10" t="str">
        <f>IF(OR(C2862="",B2862=""),"",IFERROR(C2862*INDEX(Harytlar!$D$5:$D$44,MATCH(B2862,Harytlar!$A$5:$A$44,0)),""))</f>
        <v/>
      </c>
    </row>
    <row r="2863" spans="1:7" x14ac:dyDescent="0.3">
      <c r="A2863" s="17"/>
      <c r="B2863" s="18"/>
      <c r="C2863" s="18"/>
      <c r="D2863" s="18"/>
      <c r="E2863" s="10" t="str">
        <f>IF(B2863="","",IFERROR(INDEX(Harytlar!$C$5:$C$44,MATCH(B2863,Harytlar!$A$5:$A$44,0)),""))</f>
        <v/>
      </c>
      <c r="F2863" s="10" t="str">
        <f t="shared" si="44"/>
        <v/>
      </c>
      <c r="G2863" s="10" t="str">
        <f>IF(OR(C2863="",B2863=""),"",IFERROR(C2863*INDEX(Harytlar!$D$5:$D$44,MATCH(B2863,Harytlar!$A$5:$A$44,0)),""))</f>
        <v/>
      </c>
    </row>
    <row r="2864" spans="1:7" x14ac:dyDescent="0.3">
      <c r="A2864" s="17"/>
      <c r="B2864" s="18"/>
      <c r="C2864" s="18"/>
      <c r="D2864" s="18"/>
      <c r="E2864" s="10" t="str">
        <f>IF(B2864="","",IFERROR(INDEX(Harytlar!$C$5:$C$44,MATCH(B2864,Harytlar!$A$5:$A$44,0)),""))</f>
        <v/>
      </c>
      <c r="F2864" s="10" t="str">
        <f t="shared" si="44"/>
        <v/>
      </c>
      <c r="G2864" s="10" t="str">
        <f>IF(OR(C2864="",B2864=""),"",IFERROR(C2864*INDEX(Harytlar!$D$5:$D$44,MATCH(B2864,Harytlar!$A$5:$A$44,0)),""))</f>
        <v/>
      </c>
    </row>
    <row r="2865" spans="1:7" x14ac:dyDescent="0.3">
      <c r="A2865" s="17"/>
      <c r="B2865" s="18"/>
      <c r="C2865" s="18"/>
      <c r="D2865" s="18"/>
      <c r="E2865" s="10" t="str">
        <f>IF(B2865="","",IFERROR(INDEX(Harytlar!$C$5:$C$44,MATCH(B2865,Harytlar!$A$5:$A$44,0)),""))</f>
        <v/>
      </c>
      <c r="F2865" s="10" t="str">
        <f t="shared" si="44"/>
        <v/>
      </c>
      <c r="G2865" s="10" t="str">
        <f>IF(OR(C2865="",B2865=""),"",IFERROR(C2865*INDEX(Harytlar!$D$5:$D$44,MATCH(B2865,Harytlar!$A$5:$A$44,0)),""))</f>
        <v/>
      </c>
    </row>
    <row r="2866" spans="1:7" x14ac:dyDescent="0.3">
      <c r="A2866" s="17"/>
      <c r="B2866" s="18"/>
      <c r="C2866" s="18"/>
      <c r="D2866" s="18"/>
      <c r="E2866" s="10" t="str">
        <f>IF(B2866="","",IFERROR(INDEX(Harytlar!$C$5:$C$44,MATCH(B2866,Harytlar!$A$5:$A$44,0)),""))</f>
        <v/>
      </c>
      <c r="F2866" s="10" t="str">
        <f t="shared" si="44"/>
        <v/>
      </c>
      <c r="G2866" s="10" t="str">
        <f>IF(OR(C2866="",B2866=""),"",IFERROR(C2866*INDEX(Harytlar!$D$5:$D$44,MATCH(B2866,Harytlar!$A$5:$A$44,0)),""))</f>
        <v/>
      </c>
    </row>
    <row r="2867" spans="1:7" x14ac:dyDescent="0.3">
      <c r="A2867" s="17"/>
      <c r="B2867" s="18"/>
      <c r="C2867" s="18"/>
      <c r="D2867" s="18"/>
      <c r="E2867" s="10" t="str">
        <f>IF(B2867="","",IFERROR(INDEX(Harytlar!$C$5:$C$44,MATCH(B2867,Harytlar!$A$5:$A$44,0)),""))</f>
        <v/>
      </c>
      <c r="F2867" s="10" t="str">
        <f t="shared" si="44"/>
        <v/>
      </c>
      <c r="G2867" s="10" t="str">
        <f>IF(OR(C2867="",B2867=""),"",IFERROR(C2867*INDEX(Harytlar!$D$5:$D$44,MATCH(B2867,Harytlar!$A$5:$A$44,0)),""))</f>
        <v/>
      </c>
    </row>
    <row r="2868" spans="1:7" x14ac:dyDescent="0.3">
      <c r="A2868" s="17"/>
      <c r="B2868" s="18"/>
      <c r="C2868" s="18"/>
      <c r="D2868" s="18"/>
      <c r="E2868" s="10" t="str">
        <f>IF(B2868="","",IFERROR(INDEX(Harytlar!$C$5:$C$44,MATCH(B2868,Harytlar!$A$5:$A$44,0)),""))</f>
        <v/>
      </c>
      <c r="F2868" s="10" t="str">
        <f t="shared" si="44"/>
        <v/>
      </c>
      <c r="G2868" s="10" t="str">
        <f>IF(OR(C2868="",B2868=""),"",IFERROR(C2868*INDEX(Harytlar!$D$5:$D$44,MATCH(B2868,Harytlar!$A$5:$A$44,0)),""))</f>
        <v/>
      </c>
    </row>
    <row r="2869" spans="1:7" x14ac:dyDescent="0.3">
      <c r="A2869" s="17"/>
      <c r="B2869" s="18"/>
      <c r="C2869" s="18"/>
      <c r="D2869" s="18"/>
      <c r="E2869" s="10" t="str">
        <f>IF(B2869="","",IFERROR(INDEX(Harytlar!$C$5:$C$44,MATCH(B2869,Harytlar!$A$5:$A$44,0)),""))</f>
        <v/>
      </c>
      <c r="F2869" s="10" t="str">
        <f t="shared" si="44"/>
        <v/>
      </c>
      <c r="G2869" s="10" t="str">
        <f>IF(OR(C2869="",B2869=""),"",IFERROR(C2869*INDEX(Harytlar!$D$5:$D$44,MATCH(B2869,Harytlar!$A$5:$A$44,0)),""))</f>
        <v/>
      </c>
    </row>
    <row r="2870" spans="1:7" x14ac:dyDescent="0.3">
      <c r="A2870" s="17"/>
      <c r="B2870" s="18"/>
      <c r="C2870" s="18"/>
      <c r="D2870" s="18"/>
      <c r="E2870" s="10" t="str">
        <f>IF(B2870="","",IFERROR(INDEX(Harytlar!$C$5:$C$44,MATCH(B2870,Harytlar!$A$5:$A$44,0)),""))</f>
        <v/>
      </c>
      <c r="F2870" s="10" t="str">
        <f t="shared" si="44"/>
        <v/>
      </c>
      <c r="G2870" s="10" t="str">
        <f>IF(OR(C2870="",B2870=""),"",IFERROR(C2870*INDEX(Harytlar!$D$5:$D$44,MATCH(B2870,Harytlar!$A$5:$A$44,0)),""))</f>
        <v/>
      </c>
    </row>
    <row r="2871" spans="1:7" x14ac:dyDescent="0.3">
      <c r="A2871" s="17"/>
      <c r="B2871" s="18"/>
      <c r="C2871" s="18"/>
      <c r="D2871" s="18"/>
      <c r="E2871" s="10" t="str">
        <f>IF(B2871="","",IFERROR(INDEX(Harytlar!$C$5:$C$44,MATCH(B2871,Harytlar!$A$5:$A$44,0)),""))</f>
        <v/>
      </c>
      <c r="F2871" s="10" t="str">
        <f t="shared" si="44"/>
        <v/>
      </c>
      <c r="G2871" s="10" t="str">
        <f>IF(OR(C2871="",B2871=""),"",IFERROR(C2871*INDEX(Harytlar!$D$5:$D$44,MATCH(B2871,Harytlar!$A$5:$A$44,0)),""))</f>
        <v/>
      </c>
    </row>
    <row r="2872" spans="1:7" x14ac:dyDescent="0.3">
      <c r="A2872" s="17"/>
      <c r="B2872" s="18"/>
      <c r="C2872" s="18"/>
      <c r="D2872" s="18"/>
      <c r="E2872" s="10" t="str">
        <f>IF(B2872="","",IFERROR(INDEX(Harytlar!$C$5:$C$44,MATCH(B2872,Harytlar!$A$5:$A$44,0)),""))</f>
        <v/>
      </c>
      <c r="F2872" s="10" t="str">
        <f t="shared" si="44"/>
        <v/>
      </c>
      <c r="G2872" s="10" t="str">
        <f>IF(OR(C2872="",B2872=""),"",IFERROR(C2872*INDEX(Harytlar!$D$5:$D$44,MATCH(B2872,Harytlar!$A$5:$A$44,0)),""))</f>
        <v/>
      </c>
    </row>
    <row r="2873" spans="1:7" x14ac:dyDescent="0.3">
      <c r="A2873" s="17"/>
      <c r="B2873" s="18"/>
      <c r="C2873" s="18"/>
      <c r="D2873" s="18"/>
      <c r="E2873" s="10" t="str">
        <f>IF(B2873="","",IFERROR(INDEX(Harytlar!$C$5:$C$44,MATCH(B2873,Harytlar!$A$5:$A$44,0)),""))</f>
        <v/>
      </c>
      <c r="F2873" s="10" t="str">
        <f t="shared" si="44"/>
        <v/>
      </c>
      <c r="G2873" s="10" t="str">
        <f>IF(OR(C2873="",B2873=""),"",IFERROR(C2873*INDEX(Harytlar!$D$5:$D$44,MATCH(B2873,Harytlar!$A$5:$A$44,0)),""))</f>
        <v/>
      </c>
    </row>
    <row r="2874" spans="1:7" x14ac:dyDescent="0.3">
      <c r="A2874" s="17"/>
      <c r="B2874" s="18"/>
      <c r="C2874" s="18"/>
      <c r="D2874" s="18"/>
      <c r="E2874" s="10" t="str">
        <f>IF(B2874="","",IFERROR(INDEX(Harytlar!$C$5:$C$44,MATCH(B2874,Harytlar!$A$5:$A$44,0)),""))</f>
        <v/>
      </c>
      <c r="F2874" s="10" t="str">
        <f t="shared" si="44"/>
        <v/>
      </c>
      <c r="G2874" s="10" t="str">
        <f>IF(OR(C2874="",B2874=""),"",IFERROR(C2874*INDEX(Harytlar!$D$5:$D$44,MATCH(B2874,Harytlar!$A$5:$A$44,0)),""))</f>
        <v/>
      </c>
    </row>
    <row r="2875" spans="1:7" x14ac:dyDescent="0.3">
      <c r="A2875" s="17"/>
      <c r="B2875" s="18"/>
      <c r="C2875" s="18"/>
      <c r="D2875" s="18"/>
      <c r="E2875" s="10" t="str">
        <f>IF(B2875="","",IFERROR(INDEX(Harytlar!$C$5:$C$44,MATCH(B2875,Harytlar!$A$5:$A$44,0)),""))</f>
        <v/>
      </c>
      <c r="F2875" s="10" t="str">
        <f t="shared" si="44"/>
        <v/>
      </c>
      <c r="G2875" s="10" t="str">
        <f>IF(OR(C2875="",B2875=""),"",IFERROR(C2875*INDEX(Harytlar!$D$5:$D$44,MATCH(B2875,Harytlar!$A$5:$A$44,0)),""))</f>
        <v/>
      </c>
    </row>
    <row r="2876" spans="1:7" x14ac:dyDescent="0.3">
      <c r="A2876" s="17"/>
      <c r="B2876" s="18"/>
      <c r="C2876" s="18"/>
      <c r="D2876" s="18"/>
      <c r="E2876" s="10" t="str">
        <f>IF(B2876="","",IFERROR(INDEX(Harytlar!$C$5:$C$44,MATCH(B2876,Harytlar!$A$5:$A$44,0)),""))</f>
        <v/>
      </c>
      <c r="F2876" s="10" t="str">
        <f t="shared" si="44"/>
        <v/>
      </c>
      <c r="G2876" s="10" t="str">
        <f>IF(OR(C2876="",B2876=""),"",IFERROR(C2876*INDEX(Harytlar!$D$5:$D$44,MATCH(B2876,Harytlar!$A$5:$A$44,0)),""))</f>
        <v/>
      </c>
    </row>
    <row r="2877" spans="1:7" x14ac:dyDescent="0.3">
      <c r="A2877" s="17"/>
      <c r="B2877" s="18"/>
      <c r="C2877" s="18"/>
      <c r="D2877" s="18"/>
      <c r="E2877" s="10" t="str">
        <f>IF(B2877="","",IFERROR(INDEX(Harytlar!$C$5:$C$44,MATCH(B2877,Harytlar!$A$5:$A$44,0)),""))</f>
        <v/>
      </c>
      <c r="F2877" s="10" t="str">
        <f t="shared" si="44"/>
        <v/>
      </c>
      <c r="G2877" s="10" t="str">
        <f>IF(OR(C2877="",B2877=""),"",IFERROR(C2877*INDEX(Harytlar!$D$5:$D$44,MATCH(B2877,Harytlar!$A$5:$A$44,0)),""))</f>
        <v/>
      </c>
    </row>
    <row r="2878" spans="1:7" x14ac:dyDescent="0.3">
      <c r="A2878" s="17"/>
      <c r="B2878" s="18"/>
      <c r="C2878" s="18"/>
      <c r="D2878" s="18"/>
      <c r="E2878" s="10" t="str">
        <f>IF(B2878="","",IFERROR(INDEX(Harytlar!$C$5:$C$44,MATCH(B2878,Harytlar!$A$5:$A$44,0)),""))</f>
        <v/>
      </c>
      <c r="F2878" s="10" t="str">
        <f t="shared" si="44"/>
        <v/>
      </c>
      <c r="G2878" s="10" t="str">
        <f>IF(OR(C2878="",B2878=""),"",IFERROR(C2878*INDEX(Harytlar!$D$5:$D$44,MATCH(B2878,Harytlar!$A$5:$A$44,0)),""))</f>
        <v/>
      </c>
    </row>
    <row r="2879" spans="1:7" x14ac:dyDescent="0.3">
      <c r="A2879" s="17"/>
      <c r="B2879" s="18"/>
      <c r="C2879" s="18"/>
      <c r="D2879" s="18"/>
      <c r="E2879" s="10" t="str">
        <f>IF(B2879="","",IFERROR(INDEX(Harytlar!$C$5:$C$44,MATCH(B2879,Harytlar!$A$5:$A$44,0)),""))</f>
        <v/>
      </c>
      <c r="F2879" s="10" t="str">
        <f t="shared" si="44"/>
        <v/>
      </c>
      <c r="G2879" s="10" t="str">
        <f>IF(OR(C2879="",B2879=""),"",IFERROR(C2879*INDEX(Harytlar!$D$5:$D$44,MATCH(B2879,Harytlar!$A$5:$A$44,0)),""))</f>
        <v/>
      </c>
    </row>
    <row r="2880" spans="1:7" x14ac:dyDescent="0.3">
      <c r="A2880" s="17"/>
      <c r="B2880" s="18"/>
      <c r="C2880" s="18"/>
      <c r="D2880" s="18"/>
      <c r="E2880" s="10" t="str">
        <f>IF(B2880="","",IFERROR(INDEX(Harytlar!$C$5:$C$44,MATCH(B2880,Harytlar!$A$5:$A$44,0)),""))</f>
        <v/>
      </c>
      <c r="F2880" s="10" t="str">
        <f t="shared" si="44"/>
        <v/>
      </c>
      <c r="G2880" s="10" t="str">
        <f>IF(OR(C2880="",B2880=""),"",IFERROR(C2880*INDEX(Harytlar!$D$5:$D$44,MATCH(B2880,Harytlar!$A$5:$A$44,0)),""))</f>
        <v/>
      </c>
    </row>
    <row r="2881" spans="1:7" x14ac:dyDescent="0.3">
      <c r="A2881" s="17"/>
      <c r="B2881" s="18"/>
      <c r="C2881" s="18"/>
      <c r="D2881" s="18"/>
      <c r="E2881" s="10" t="str">
        <f>IF(B2881="","",IFERROR(INDEX(Harytlar!$C$5:$C$44,MATCH(B2881,Harytlar!$A$5:$A$44,0)),""))</f>
        <v/>
      </c>
      <c r="F2881" s="10" t="str">
        <f t="shared" si="44"/>
        <v/>
      </c>
      <c r="G2881" s="10" t="str">
        <f>IF(OR(C2881="",B2881=""),"",IFERROR(C2881*INDEX(Harytlar!$D$5:$D$44,MATCH(B2881,Harytlar!$A$5:$A$44,0)),""))</f>
        <v/>
      </c>
    </row>
    <row r="2882" spans="1:7" x14ac:dyDescent="0.3">
      <c r="A2882" s="17"/>
      <c r="B2882" s="18"/>
      <c r="C2882" s="18"/>
      <c r="D2882" s="18"/>
      <c r="E2882" s="10" t="str">
        <f>IF(B2882="","",IFERROR(INDEX(Harytlar!$C$5:$C$44,MATCH(B2882,Harytlar!$A$5:$A$44,0)),""))</f>
        <v/>
      </c>
      <c r="F2882" s="10" t="str">
        <f t="shared" si="44"/>
        <v/>
      </c>
      <c r="G2882" s="10" t="str">
        <f>IF(OR(C2882="",B2882=""),"",IFERROR(C2882*INDEX(Harytlar!$D$5:$D$44,MATCH(B2882,Harytlar!$A$5:$A$44,0)),""))</f>
        <v/>
      </c>
    </row>
    <row r="2883" spans="1:7" x14ac:dyDescent="0.3">
      <c r="A2883" s="17"/>
      <c r="B2883" s="18"/>
      <c r="C2883" s="18"/>
      <c r="D2883" s="18"/>
      <c r="E2883" s="10" t="str">
        <f>IF(B2883="","",IFERROR(INDEX(Harytlar!$C$5:$C$44,MATCH(B2883,Harytlar!$A$5:$A$44,0)),""))</f>
        <v/>
      </c>
      <c r="F2883" s="10" t="str">
        <f t="shared" si="44"/>
        <v/>
      </c>
      <c r="G2883" s="10" t="str">
        <f>IF(OR(C2883="",B2883=""),"",IFERROR(C2883*INDEX(Harytlar!$D$5:$D$44,MATCH(B2883,Harytlar!$A$5:$A$44,0)),""))</f>
        <v/>
      </c>
    </row>
    <row r="2884" spans="1:7" x14ac:dyDescent="0.3">
      <c r="A2884" s="17"/>
      <c r="B2884" s="18"/>
      <c r="C2884" s="18"/>
      <c r="D2884" s="18"/>
      <c r="E2884" s="10" t="str">
        <f>IF(B2884="","",IFERROR(INDEX(Harytlar!$C$5:$C$44,MATCH(B2884,Harytlar!$A$5:$A$44,0)),""))</f>
        <v/>
      </c>
      <c r="F2884" s="10" t="str">
        <f t="shared" si="44"/>
        <v/>
      </c>
      <c r="G2884" s="10" t="str">
        <f>IF(OR(C2884="",B2884=""),"",IFERROR(C2884*INDEX(Harytlar!$D$5:$D$44,MATCH(B2884,Harytlar!$A$5:$A$44,0)),""))</f>
        <v/>
      </c>
    </row>
    <row r="2885" spans="1:7" x14ac:dyDescent="0.3">
      <c r="A2885" s="17"/>
      <c r="B2885" s="18"/>
      <c r="C2885" s="18"/>
      <c r="D2885" s="18"/>
      <c r="E2885" s="10" t="str">
        <f>IF(B2885="","",IFERROR(INDEX(Harytlar!$C$5:$C$44,MATCH(B2885,Harytlar!$A$5:$A$44,0)),""))</f>
        <v/>
      </c>
      <c r="F2885" s="10" t="str">
        <f t="shared" si="44"/>
        <v/>
      </c>
      <c r="G2885" s="10" t="str">
        <f>IF(OR(C2885="",B2885=""),"",IFERROR(C2885*INDEX(Harytlar!$D$5:$D$44,MATCH(B2885,Harytlar!$A$5:$A$44,0)),""))</f>
        <v/>
      </c>
    </row>
    <row r="2886" spans="1:7" x14ac:dyDescent="0.3">
      <c r="A2886" s="17"/>
      <c r="B2886" s="18"/>
      <c r="C2886" s="18"/>
      <c r="D2886" s="18"/>
      <c r="E2886" s="10" t="str">
        <f>IF(B2886="","",IFERROR(INDEX(Harytlar!$C$5:$C$44,MATCH(B2886,Harytlar!$A$5:$A$44,0)),""))</f>
        <v/>
      </c>
      <c r="F2886" s="10" t="str">
        <f t="shared" ref="F2886:F2949" si="45">IF(OR(C2886="",E2886=""),"",C2886*E2886)</f>
        <v/>
      </c>
      <c r="G2886" s="10" t="str">
        <f>IF(OR(C2886="",B2886=""),"",IFERROR(C2886*INDEX(Harytlar!$D$5:$D$44,MATCH(B2886,Harytlar!$A$5:$A$44,0)),""))</f>
        <v/>
      </c>
    </row>
    <row r="2887" spans="1:7" x14ac:dyDescent="0.3">
      <c r="A2887" s="17"/>
      <c r="B2887" s="18"/>
      <c r="C2887" s="18"/>
      <c r="D2887" s="18"/>
      <c r="E2887" s="10" t="str">
        <f>IF(B2887="","",IFERROR(INDEX(Harytlar!$C$5:$C$44,MATCH(B2887,Harytlar!$A$5:$A$44,0)),""))</f>
        <v/>
      </c>
      <c r="F2887" s="10" t="str">
        <f t="shared" si="45"/>
        <v/>
      </c>
      <c r="G2887" s="10" t="str">
        <f>IF(OR(C2887="",B2887=""),"",IFERROR(C2887*INDEX(Harytlar!$D$5:$D$44,MATCH(B2887,Harytlar!$A$5:$A$44,0)),""))</f>
        <v/>
      </c>
    </row>
    <row r="2888" spans="1:7" x14ac:dyDescent="0.3">
      <c r="A2888" s="17"/>
      <c r="B2888" s="18"/>
      <c r="C2888" s="18"/>
      <c r="D2888" s="18"/>
      <c r="E2888" s="10" t="str">
        <f>IF(B2888="","",IFERROR(INDEX(Harytlar!$C$5:$C$44,MATCH(B2888,Harytlar!$A$5:$A$44,0)),""))</f>
        <v/>
      </c>
      <c r="F2888" s="10" t="str">
        <f t="shared" si="45"/>
        <v/>
      </c>
      <c r="G2888" s="10" t="str">
        <f>IF(OR(C2888="",B2888=""),"",IFERROR(C2888*INDEX(Harytlar!$D$5:$D$44,MATCH(B2888,Harytlar!$A$5:$A$44,0)),""))</f>
        <v/>
      </c>
    </row>
    <row r="2889" spans="1:7" x14ac:dyDescent="0.3">
      <c r="A2889" s="17"/>
      <c r="B2889" s="18"/>
      <c r="C2889" s="18"/>
      <c r="D2889" s="18"/>
      <c r="E2889" s="10" t="str">
        <f>IF(B2889="","",IFERROR(INDEX(Harytlar!$C$5:$C$44,MATCH(B2889,Harytlar!$A$5:$A$44,0)),""))</f>
        <v/>
      </c>
      <c r="F2889" s="10" t="str">
        <f t="shared" si="45"/>
        <v/>
      </c>
      <c r="G2889" s="10" t="str">
        <f>IF(OR(C2889="",B2889=""),"",IFERROR(C2889*INDEX(Harytlar!$D$5:$D$44,MATCH(B2889,Harytlar!$A$5:$A$44,0)),""))</f>
        <v/>
      </c>
    </row>
    <row r="2890" spans="1:7" x14ac:dyDescent="0.3">
      <c r="A2890" s="17"/>
      <c r="B2890" s="18"/>
      <c r="C2890" s="18"/>
      <c r="D2890" s="18"/>
      <c r="E2890" s="10" t="str">
        <f>IF(B2890="","",IFERROR(INDEX(Harytlar!$C$5:$C$44,MATCH(B2890,Harytlar!$A$5:$A$44,0)),""))</f>
        <v/>
      </c>
      <c r="F2890" s="10" t="str">
        <f t="shared" si="45"/>
        <v/>
      </c>
      <c r="G2890" s="10" t="str">
        <f>IF(OR(C2890="",B2890=""),"",IFERROR(C2890*INDEX(Harytlar!$D$5:$D$44,MATCH(B2890,Harytlar!$A$5:$A$44,0)),""))</f>
        <v/>
      </c>
    </row>
    <row r="2891" spans="1:7" x14ac:dyDescent="0.3">
      <c r="A2891" s="17"/>
      <c r="B2891" s="18"/>
      <c r="C2891" s="18"/>
      <c r="D2891" s="18"/>
      <c r="E2891" s="10" t="str">
        <f>IF(B2891="","",IFERROR(INDEX(Harytlar!$C$5:$C$44,MATCH(B2891,Harytlar!$A$5:$A$44,0)),""))</f>
        <v/>
      </c>
      <c r="F2891" s="10" t="str">
        <f t="shared" si="45"/>
        <v/>
      </c>
      <c r="G2891" s="10" t="str">
        <f>IF(OR(C2891="",B2891=""),"",IFERROR(C2891*INDEX(Harytlar!$D$5:$D$44,MATCH(B2891,Harytlar!$A$5:$A$44,0)),""))</f>
        <v/>
      </c>
    </row>
    <row r="2892" spans="1:7" x14ac:dyDescent="0.3">
      <c r="A2892" s="17"/>
      <c r="B2892" s="18"/>
      <c r="C2892" s="18"/>
      <c r="D2892" s="18"/>
      <c r="E2892" s="10" t="str">
        <f>IF(B2892="","",IFERROR(INDEX(Harytlar!$C$5:$C$44,MATCH(B2892,Harytlar!$A$5:$A$44,0)),""))</f>
        <v/>
      </c>
      <c r="F2892" s="10" t="str">
        <f t="shared" si="45"/>
        <v/>
      </c>
      <c r="G2892" s="10" t="str">
        <f>IF(OR(C2892="",B2892=""),"",IFERROR(C2892*INDEX(Harytlar!$D$5:$D$44,MATCH(B2892,Harytlar!$A$5:$A$44,0)),""))</f>
        <v/>
      </c>
    </row>
    <row r="2893" spans="1:7" x14ac:dyDescent="0.3">
      <c r="A2893" s="17"/>
      <c r="B2893" s="18"/>
      <c r="C2893" s="18"/>
      <c r="D2893" s="18"/>
      <c r="E2893" s="10" t="str">
        <f>IF(B2893="","",IFERROR(INDEX(Harytlar!$C$5:$C$44,MATCH(B2893,Harytlar!$A$5:$A$44,0)),""))</f>
        <v/>
      </c>
      <c r="F2893" s="10" t="str">
        <f t="shared" si="45"/>
        <v/>
      </c>
      <c r="G2893" s="10" t="str">
        <f>IF(OR(C2893="",B2893=""),"",IFERROR(C2893*INDEX(Harytlar!$D$5:$D$44,MATCH(B2893,Harytlar!$A$5:$A$44,0)),""))</f>
        <v/>
      </c>
    </row>
    <row r="2894" spans="1:7" x14ac:dyDescent="0.3">
      <c r="A2894" s="17"/>
      <c r="B2894" s="18"/>
      <c r="C2894" s="18"/>
      <c r="D2894" s="18"/>
      <c r="E2894" s="10" t="str">
        <f>IF(B2894="","",IFERROR(INDEX(Harytlar!$C$5:$C$44,MATCH(B2894,Harytlar!$A$5:$A$44,0)),""))</f>
        <v/>
      </c>
      <c r="F2894" s="10" t="str">
        <f t="shared" si="45"/>
        <v/>
      </c>
      <c r="G2894" s="10" t="str">
        <f>IF(OR(C2894="",B2894=""),"",IFERROR(C2894*INDEX(Harytlar!$D$5:$D$44,MATCH(B2894,Harytlar!$A$5:$A$44,0)),""))</f>
        <v/>
      </c>
    </row>
    <row r="2895" spans="1:7" x14ac:dyDescent="0.3">
      <c r="A2895" s="17"/>
      <c r="B2895" s="18"/>
      <c r="C2895" s="18"/>
      <c r="D2895" s="18"/>
      <c r="E2895" s="10" t="str">
        <f>IF(B2895="","",IFERROR(INDEX(Harytlar!$C$5:$C$44,MATCH(B2895,Harytlar!$A$5:$A$44,0)),""))</f>
        <v/>
      </c>
      <c r="F2895" s="10" t="str">
        <f t="shared" si="45"/>
        <v/>
      </c>
      <c r="G2895" s="10" t="str">
        <f>IF(OR(C2895="",B2895=""),"",IFERROR(C2895*INDEX(Harytlar!$D$5:$D$44,MATCH(B2895,Harytlar!$A$5:$A$44,0)),""))</f>
        <v/>
      </c>
    </row>
    <row r="2896" spans="1:7" x14ac:dyDescent="0.3">
      <c r="A2896" s="17"/>
      <c r="B2896" s="18"/>
      <c r="C2896" s="18"/>
      <c r="D2896" s="18"/>
      <c r="E2896" s="10" t="str">
        <f>IF(B2896="","",IFERROR(INDEX(Harytlar!$C$5:$C$44,MATCH(B2896,Harytlar!$A$5:$A$44,0)),""))</f>
        <v/>
      </c>
      <c r="F2896" s="10" t="str">
        <f t="shared" si="45"/>
        <v/>
      </c>
      <c r="G2896" s="10" t="str">
        <f>IF(OR(C2896="",B2896=""),"",IFERROR(C2896*INDEX(Harytlar!$D$5:$D$44,MATCH(B2896,Harytlar!$A$5:$A$44,0)),""))</f>
        <v/>
      </c>
    </row>
    <row r="2897" spans="1:7" x14ac:dyDescent="0.3">
      <c r="A2897" s="17"/>
      <c r="B2897" s="18"/>
      <c r="C2897" s="18"/>
      <c r="D2897" s="18"/>
      <c r="E2897" s="10" t="str">
        <f>IF(B2897="","",IFERROR(INDEX(Harytlar!$C$5:$C$44,MATCH(B2897,Harytlar!$A$5:$A$44,0)),""))</f>
        <v/>
      </c>
      <c r="F2897" s="10" t="str">
        <f t="shared" si="45"/>
        <v/>
      </c>
      <c r="G2897" s="10" t="str">
        <f>IF(OR(C2897="",B2897=""),"",IFERROR(C2897*INDEX(Harytlar!$D$5:$D$44,MATCH(B2897,Harytlar!$A$5:$A$44,0)),""))</f>
        <v/>
      </c>
    </row>
    <row r="2898" spans="1:7" x14ac:dyDescent="0.3">
      <c r="A2898" s="17"/>
      <c r="B2898" s="18"/>
      <c r="C2898" s="18"/>
      <c r="D2898" s="18"/>
      <c r="E2898" s="10" t="str">
        <f>IF(B2898="","",IFERROR(INDEX(Harytlar!$C$5:$C$44,MATCH(B2898,Harytlar!$A$5:$A$44,0)),""))</f>
        <v/>
      </c>
      <c r="F2898" s="10" t="str">
        <f t="shared" si="45"/>
        <v/>
      </c>
      <c r="G2898" s="10" t="str">
        <f>IF(OR(C2898="",B2898=""),"",IFERROR(C2898*INDEX(Harytlar!$D$5:$D$44,MATCH(B2898,Harytlar!$A$5:$A$44,0)),""))</f>
        <v/>
      </c>
    </row>
    <row r="2899" spans="1:7" x14ac:dyDescent="0.3">
      <c r="A2899" s="17"/>
      <c r="B2899" s="18"/>
      <c r="C2899" s="18"/>
      <c r="D2899" s="18"/>
      <c r="E2899" s="10" t="str">
        <f>IF(B2899="","",IFERROR(INDEX(Harytlar!$C$5:$C$44,MATCH(B2899,Harytlar!$A$5:$A$44,0)),""))</f>
        <v/>
      </c>
      <c r="F2899" s="10" t="str">
        <f t="shared" si="45"/>
        <v/>
      </c>
      <c r="G2899" s="10" t="str">
        <f>IF(OR(C2899="",B2899=""),"",IFERROR(C2899*INDEX(Harytlar!$D$5:$D$44,MATCH(B2899,Harytlar!$A$5:$A$44,0)),""))</f>
        <v/>
      </c>
    </row>
    <row r="2900" spans="1:7" x14ac:dyDescent="0.3">
      <c r="A2900" s="17"/>
      <c r="B2900" s="18"/>
      <c r="C2900" s="18"/>
      <c r="D2900" s="18"/>
      <c r="E2900" s="10" t="str">
        <f>IF(B2900="","",IFERROR(INDEX(Harytlar!$C$5:$C$44,MATCH(B2900,Harytlar!$A$5:$A$44,0)),""))</f>
        <v/>
      </c>
      <c r="F2900" s="10" t="str">
        <f t="shared" si="45"/>
        <v/>
      </c>
      <c r="G2900" s="10" t="str">
        <f>IF(OR(C2900="",B2900=""),"",IFERROR(C2900*INDEX(Harytlar!$D$5:$D$44,MATCH(B2900,Harytlar!$A$5:$A$44,0)),""))</f>
        <v/>
      </c>
    </row>
    <row r="2901" spans="1:7" x14ac:dyDescent="0.3">
      <c r="A2901" s="17"/>
      <c r="B2901" s="18"/>
      <c r="C2901" s="18"/>
      <c r="D2901" s="18"/>
      <c r="E2901" s="10" t="str">
        <f>IF(B2901="","",IFERROR(INDEX(Harytlar!$C$5:$C$44,MATCH(B2901,Harytlar!$A$5:$A$44,0)),""))</f>
        <v/>
      </c>
      <c r="F2901" s="10" t="str">
        <f t="shared" si="45"/>
        <v/>
      </c>
      <c r="G2901" s="10" t="str">
        <f>IF(OR(C2901="",B2901=""),"",IFERROR(C2901*INDEX(Harytlar!$D$5:$D$44,MATCH(B2901,Harytlar!$A$5:$A$44,0)),""))</f>
        <v/>
      </c>
    </row>
    <row r="2902" spans="1:7" x14ac:dyDescent="0.3">
      <c r="A2902" s="17"/>
      <c r="B2902" s="18"/>
      <c r="C2902" s="18"/>
      <c r="D2902" s="18"/>
      <c r="E2902" s="10" t="str">
        <f>IF(B2902="","",IFERROR(INDEX(Harytlar!$C$5:$C$44,MATCH(B2902,Harytlar!$A$5:$A$44,0)),""))</f>
        <v/>
      </c>
      <c r="F2902" s="10" t="str">
        <f t="shared" si="45"/>
        <v/>
      </c>
      <c r="G2902" s="10" t="str">
        <f>IF(OR(C2902="",B2902=""),"",IFERROR(C2902*INDEX(Harytlar!$D$5:$D$44,MATCH(B2902,Harytlar!$A$5:$A$44,0)),""))</f>
        <v/>
      </c>
    </row>
    <row r="2903" spans="1:7" x14ac:dyDescent="0.3">
      <c r="A2903" s="17"/>
      <c r="B2903" s="18"/>
      <c r="C2903" s="18"/>
      <c r="D2903" s="18"/>
      <c r="E2903" s="10" t="str">
        <f>IF(B2903="","",IFERROR(INDEX(Harytlar!$C$5:$C$44,MATCH(B2903,Harytlar!$A$5:$A$44,0)),""))</f>
        <v/>
      </c>
      <c r="F2903" s="10" t="str">
        <f t="shared" si="45"/>
        <v/>
      </c>
      <c r="G2903" s="10" t="str">
        <f>IF(OR(C2903="",B2903=""),"",IFERROR(C2903*INDEX(Harytlar!$D$5:$D$44,MATCH(B2903,Harytlar!$A$5:$A$44,0)),""))</f>
        <v/>
      </c>
    </row>
    <row r="2904" spans="1:7" x14ac:dyDescent="0.3">
      <c r="A2904" s="17"/>
      <c r="B2904" s="18"/>
      <c r="C2904" s="18"/>
      <c r="D2904" s="18"/>
      <c r="E2904" s="10" t="str">
        <f>IF(B2904="","",IFERROR(INDEX(Harytlar!$C$5:$C$44,MATCH(B2904,Harytlar!$A$5:$A$44,0)),""))</f>
        <v/>
      </c>
      <c r="F2904" s="10" t="str">
        <f t="shared" si="45"/>
        <v/>
      </c>
      <c r="G2904" s="10" t="str">
        <f>IF(OR(C2904="",B2904=""),"",IFERROR(C2904*INDEX(Harytlar!$D$5:$D$44,MATCH(B2904,Harytlar!$A$5:$A$44,0)),""))</f>
        <v/>
      </c>
    </row>
    <row r="2905" spans="1:7" x14ac:dyDescent="0.3">
      <c r="A2905" s="17"/>
      <c r="B2905" s="18"/>
      <c r="C2905" s="18"/>
      <c r="D2905" s="18"/>
      <c r="E2905" s="10" t="str">
        <f>IF(B2905="","",IFERROR(INDEX(Harytlar!$C$5:$C$44,MATCH(B2905,Harytlar!$A$5:$A$44,0)),""))</f>
        <v/>
      </c>
      <c r="F2905" s="10" t="str">
        <f t="shared" si="45"/>
        <v/>
      </c>
      <c r="G2905" s="10" t="str">
        <f>IF(OR(C2905="",B2905=""),"",IFERROR(C2905*INDEX(Harytlar!$D$5:$D$44,MATCH(B2905,Harytlar!$A$5:$A$44,0)),""))</f>
        <v/>
      </c>
    </row>
    <row r="2906" spans="1:7" x14ac:dyDescent="0.3">
      <c r="A2906" s="17"/>
      <c r="B2906" s="18"/>
      <c r="C2906" s="18"/>
      <c r="D2906" s="18"/>
      <c r="E2906" s="10" t="str">
        <f>IF(B2906="","",IFERROR(INDEX(Harytlar!$C$5:$C$44,MATCH(B2906,Harytlar!$A$5:$A$44,0)),""))</f>
        <v/>
      </c>
      <c r="F2906" s="10" t="str">
        <f t="shared" si="45"/>
        <v/>
      </c>
      <c r="G2906" s="10" t="str">
        <f>IF(OR(C2906="",B2906=""),"",IFERROR(C2906*INDEX(Harytlar!$D$5:$D$44,MATCH(B2906,Harytlar!$A$5:$A$44,0)),""))</f>
        <v/>
      </c>
    </row>
    <row r="2907" spans="1:7" x14ac:dyDescent="0.3">
      <c r="A2907" s="17"/>
      <c r="B2907" s="18"/>
      <c r="C2907" s="18"/>
      <c r="D2907" s="18"/>
      <c r="E2907" s="10" t="str">
        <f>IF(B2907="","",IFERROR(INDEX(Harytlar!$C$5:$C$44,MATCH(B2907,Harytlar!$A$5:$A$44,0)),""))</f>
        <v/>
      </c>
      <c r="F2907" s="10" t="str">
        <f t="shared" si="45"/>
        <v/>
      </c>
      <c r="G2907" s="10" t="str">
        <f>IF(OR(C2907="",B2907=""),"",IFERROR(C2907*INDEX(Harytlar!$D$5:$D$44,MATCH(B2907,Harytlar!$A$5:$A$44,0)),""))</f>
        <v/>
      </c>
    </row>
    <row r="2908" spans="1:7" x14ac:dyDescent="0.3">
      <c r="A2908" s="17"/>
      <c r="B2908" s="18"/>
      <c r="C2908" s="18"/>
      <c r="D2908" s="18"/>
      <c r="E2908" s="10" t="str">
        <f>IF(B2908="","",IFERROR(INDEX(Harytlar!$C$5:$C$44,MATCH(B2908,Harytlar!$A$5:$A$44,0)),""))</f>
        <v/>
      </c>
      <c r="F2908" s="10" t="str">
        <f t="shared" si="45"/>
        <v/>
      </c>
      <c r="G2908" s="10" t="str">
        <f>IF(OR(C2908="",B2908=""),"",IFERROR(C2908*INDEX(Harytlar!$D$5:$D$44,MATCH(B2908,Harytlar!$A$5:$A$44,0)),""))</f>
        <v/>
      </c>
    </row>
    <row r="2909" spans="1:7" x14ac:dyDescent="0.3">
      <c r="A2909" s="17"/>
      <c r="B2909" s="18"/>
      <c r="C2909" s="18"/>
      <c r="D2909" s="18"/>
      <c r="E2909" s="10" t="str">
        <f>IF(B2909="","",IFERROR(INDEX(Harytlar!$C$5:$C$44,MATCH(B2909,Harytlar!$A$5:$A$44,0)),""))</f>
        <v/>
      </c>
      <c r="F2909" s="10" t="str">
        <f t="shared" si="45"/>
        <v/>
      </c>
      <c r="G2909" s="10" t="str">
        <f>IF(OR(C2909="",B2909=""),"",IFERROR(C2909*INDEX(Harytlar!$D$5:$D$44,MATCH(B2909,Harytlar!$A$5:$A$44,0)),""))</f>
        <v/>
      </c>
    </row>
    <row r="2910" spans="1:7" x14ac:dyDescent="0.3">
      <c r="A2910" s="17"/>
      <c r="B2910" s="18"/>
      <c r="C2910" s="18"/>
      <c r="D2910" s="18"/>
      <c r="E2910" s="10" t="str">
        <f>IF(B2910="","",IFERROR(INDEX(Harytlar!$C$5:$C$44,MATCH(B2910,Harytlar!$A$5:$A$44,0)),""))</f>
        <v/>
      </c>
      <c r="F2910" s="10" t="str">
        <f t="shared" si="45"/>
        <v/>
      </c>
      <c r="G2910" s="10" t="str">
        <f>IF(OR(C2910="",B2910=""),"",IFERROR(C2910*INDEX(Harytlar!$D$5:$D$44,MATCH(B2910,Harytlar!$A$5:$A$44,0)),""))</f>
        <v/>
      </c>
    </row>
    <row r="2911" spans="1:7" x14ac:dyDescent="0.3">
      <c r="A2911" s="17"/>
      <c r="B2911" s="18"/>
      <c r="C2911" s="18"/>
      <c r="D2911" s="18"/>
      <c r="E2911" s="10" t="str">
        <f>IF(B2911="","",IFERROR(INDEX(Harytlar!$C$5:$C$44,MATCH(B2911,Harytlar!$A$5:$A$44,0)),""))</f>
        <v/>
      </c>
      <c r="F2911" s="10" t="str">
        <f t="shared" si="45"/>
        <v/>
      </c>
      <c r="G2911" s="10" t="str">
        <f>IF(OR(C2911="",B2911=""),"",IFERROR(C2911*INDEX(Harytlar!$D$5:$D$44,MATCH(B2911,Harytlar!$A$5:$A$44,0)),""))</f>
        <v/>
      </c>
    </row>
    <row r="2912" spans="1:7" x14ac:dyDescent="0.3">
      <c r="A2912" s="17"/>
      <c r="B2912" s="18"/>
      <c r="C2912" s="18"/>
      <c r="D2912" s="18"/>
      <c r="E2912" s="10" t="str">
        <f>IF(B2912="","",IFERROR(INDEX(Harytlar!$C$5:$C$44,MATCH(B2912,Harytlar!$A$5:$A$44,0)),""))</f>
        <v/>
      </c>
      <c r="F2912" s="10" t="str">
        <f t="shared" si="45"/>
        <v/>
      </c>
      <c r="G2912" s="10" t="str">
        <f>IF(OR(C2912="",B2912=""),"",IFERROR(C2912*INDEX(Harytlar!$D$5:$D$44,MATCH(B2912,Harytlar!$A$5:$A$44,0)),""))</f>
        <v/>
      </c>
    </row>
    <row r="2913" spans="1:7" x14ac:dyDescent="0.3">
      <c r="A2913" s="17"/>
      <c r="B2913" s="18"/>
      <c r="C2913" s="18"/>
      <c r="D2913" s="18"/>
      <c r="E2913" s="10" t="str">
        <f>IF(B2913="","",IFERROR(INDEX(Harytlar!$C$5:$C$44,MATCH(B2913,Harytlar!$A$5:$A$44,0)),""))</f>
        <v/>
      </c>
      <c r="F2913" s="10" t="str">
        <f t="shared" si="45"/>
        <v/>
      </c>
      <c r="G2913" s="10" t="str">
        <f>IF(OR(C2913="",B2913=""),"",IFERROR(C2913*INDEX(Harytlar!$D$5:$D$44,MATCH(B2913,Harytlar!$A$5:$A$44,0)),""))</f>
        <v/>
      </c>
    </row>
    <row r="2914" spans="1:7" x14ac:dyDescent="0.3">
      <c r="A2914" s="17"/>
      <c r="B2914" s="18"/>
      <c r="C2914" s="18"/>
      <c r="D2914" s="18"/>
      <c r="E2914" s="10" t="str">
        <f>IF(B2914="","",IFERROR(INDEX(Harytlar!$C$5:$C$44,MATCH(B2914,Harytlar!$A$5:$A$44,0)),""))</f>
        <v/>
      </c>
      <c r="F2914" s="10" t="str">
        <f t="shared" si="45"/>
        <v/>
      </c>
      <c r="G2914" s="10" t="str">
        <f>IF(OR(C2914="",B2914=""),"",IFERROR(C2914*INDEX(Harytlar!$D$5:$D$44,MATCH(B2914,Harytlar!$A$5:$A$44,0)),""))</f>
        <v/>
      </c>
    </row>
    <row r="2915" spans="1:7" x14ac:dyDescent="0.3">
      <c r="A2915" s="17"/>
      <c r="B2915" s="18"/>
      <c r="C2915" s="18"/>
      <c r="D2915" s="18"/>
      <c r="E2915" s="10" t="str">
        <f>IF(B2915="","",IFERROR(INDEX(Harytlar!$C$5:$C$44,MATCH(B2915,Harytlar!$A$5:$A$44,0)),""))</f>
        <v/>
      </c>
      <c r="F2915" s="10" t="str">
        <f t="shared" si="45"/>
        <v/>
      </c>
      <c r="G2915" s="10" t="str">
        <f>IF(OR(C2915="",B2915=""),"",IFERROR(C2915*INDEX(Harytlar!$D$5:$D$44,MATCH(B2915,Harytlar!$A$5:$A$44,0)),""))</f>
        <v/>
      </c>
    </row>
    <row r="2916" spans="1:7" x14ac:dyDescent="0.3">
      <c r="A2916" s="17"/>
      <c r="B2916" s="18"/>
      <c r="C2916" s="18"/>
      <c r="D2916" s="18"/>
      <c r="E2916" s="10" t="str">
        <f>IF(B2916="","",IFERROR(INDEX(Harytlar!$C$5:$C$44,MATCH(B2916,Harytlar!$A$5:$A$44,0)),""))</f>
        <v/>
      </c>
      <c r="F2916" s="10" t="str">
        <f t="shared" si="45"/>
        <v/>
      </c>
      <c r="G2916" s="10" t="str">
        <f>IF(OR(C2916="",B2916=""),"",IFERROR(C2916*INDEX(Harytlar!$D$5:$D$44,MATCH(B2916,Harytlar!$A$5:$A$44,0)),""))</f>
        <v/>
      </c>
    </row>
    <row r="2917" spans="1:7" x14ac:dyDescent="0.3">
      <c r="A2917" s="17"/>
      <c r="B2917" s="18"/>
      <c r="C2917" s="18"/>
      <c r="D2917" s="18"/>
      <c r="E2917" s="10" t="str">
        <f>IF(B2917="","",IFERROR(INDEX(Harytlar!$C$5:$C$44,MATCH(B2917,Harytlar!$A$5:$A$44,0)),""))</f>
        <v/>
      </c>
      <c r="F2917" s="10" t="str">
        <f t="shared" si="45"/>
        <v/>
      </c>
      <c r="G2917" s="10" t="str">
        <f>IF(OR(C2917="",B2917=""),"",IFERROR(C2917*INDEX(Harytlar!$D$5:$D$44,MATCH(B2917,Harytlar!$A$5:$A$44,0)),""))</f>
        <v/>
      </c>
    </row>
    <row r="2918" spans="1:7" x14ac:dyDescent="0.3">
      <c r="A2918" s="17"/>
      <c r="B2918" s="18"/>
      <c r="C2918" s="18"/>
      <c r="D2918" s="18"/>
      <c r="E2918" s="10" t="str">
        <f>IF(B2918="","",IFERROR(INDEX(Harytlar!$C$5:$C$44,MATCH(B2918,Harytlar!$A$5:$A$44,0)),""))</f>
        <v/>
      </c>
      <c r="F2918" s="10" t="str">
        <f t="shared" si="45"/>
        <v/>
      </c>
      <c r="G2918" s="10" t="str">
        <f>IF(OR(C2918="",B2918=""),"",IFERROR(C2918*INDEX(Harytlar!$D$5:$D$44,MATCH(B2918,Harytlar!$A$5:$A$44,0)),""))</f>
        <v/>
      </c>
    </row>
    <row r="2919" spans="1:7" x14ac:dyDescent="0.3">
      <c r="A2919" s="17"/>
      <c r="B2919" s="18"/>
      <c r="C2919" s="18"/>
      <c r="D2919" s="18"/>
      <c r="E2919" s="10" t="str">
        <f>IF(B2919="","",IFERROR(INDEX(Harytlar!$C$5:$C$44,MATCH(B2919,Harytlar!$A$5:$A$44,0)),""))</f>
        <v/>
      </c>
      <c r="F2919" s="10" t="str">
        <f t="shared" si="45"/>
        <v/>
      </c>
      <c r="G2919" s="10" t="str">
        <f>IF(OR(C2919="",B2919=""),"",IFERROR(C2919*INDEX(Harytlar!$D$5:$D$44,MATCH(B2919,Harytlar!$A$5:$A$44,0)),""))</f>
        <v/>
      </c>
    </row>
    <row r="2920" spans="1:7" x14ac:dyDescent="0.3">
      <c r="A2920" s="17"/>
      <c r="B2920" s="18"/>
      <c r="C2920" s="18"/>
      <c r="D2920" s="18"/>
      <c r="E2920" s="10" t="str">
        <f>IF(B2920="","",IFERROR(INDEX(Harytlar!$C$5:$C$44,MATCH(B2920,Harytlar!$A$5:$A$44,0)),""))</f>
        <v/>
      </c>
      <c r="F2920" s="10" t="str">
        <f t="shared" si="45"/>
        <v/>
      </c>
      <c r="G2920" s="10" t="str">
        <f>IF(OR(C2920="",B2920=""),"",IFERROR(C2920*INDEX(Harytlar!$D$5:$D$44,MATCH(B2920,Harytlar!$A$5:$A$44,0)),""))</f>
        <v/>
      </c>
    </row>
    <row r="2921" spans="1:7" x14ac:dyDescent="0.3">
      <c r="A2921" s="17"/>
      <c r="B2921" s="18"/>
      <c r="C2921" s="18"/>
      <c r="D2921" s="18"/>
      <c r="E2921" s="10" t="str">
        <f>IF(B2921="","",IFERROR(INDEX(Harytlar!$C$5:$C$44,MATCH(B2921,Harytlar!$A$5:$A$44,0)),""))</f>
        <v/>
      </c>
      <c r="F2921" s="10" t="str">
        <f t="shared" si="45"/>
        <v/>
      </c>
      <c r="G2921" s="10" t="str">
        <f>IF(OR(C2921="",B2921=""),"",IFERROR(C2921*INDEX(Harytlar!$D$5:$D$44,MATCH(B2921,Harytlar!$A$5:$A$44,0)),""))</f>
        <v/>
      </c>
    </row>
    <row r="2922" spans="1:7" x14ac:dyDescent="0.3">
      <c r="A2922" s="17"/>
      <c r="B2922" s="18"/>
      <c r="C2922" s="18"/>
      <c r="D2922" s="18"/>
      <c r="E2922" s="10" t="str">
        <f>IF(B2922="","",IFERROR(INDEX(Harytlar!$C$5:$C$44,MATCH(B2922,Harytlar!$A$5:$A$44,0)),""))</f>
        <v/>
      </c>
      <c r="F2922" s="10" t="str">
        <f t="shared" si="45"/>
        <v/>
      </c>
      <c r="G2922" s="10" t="str">
        <f>IF(OR(C2922="",B2922=""),"",IFERROR(C2922*INDEX(Harytlar!$D$5:$D$44,MATCH(B2922,Harytlar!$A$5:$A$44,0)),""))</f>
        <v/>
      </c>
    </row>
    <row r="2923" spans="1:7" x14ac:dyDescent="0.3">
      <c r="A2923" s="17"/>
      <c r="B2923" s="18"/>
      <c r="C2923" s="18"/>
      <c r="D2923" s="18"/>
      <c r="E2923" s="10" t="str">
        <f>IF(B2923="","",IFERROR(INDEX(Harytlar!$C$5:$C$44,MATCH(B2923,Harytlar!$A$5:$A$44,0)),""))</f>
        <v/>
      </c>
      <c r="F2923" s="10" t="str">
        <f t="shared" si="45"/>
        <v/>
      </c>
      <c r="G2923" s="10" t="str">
        <f>IF(OR(C2923="",B2923=""),"",IFERROR(C2923*INDEX(Harytlar!$D$5:$D$44,MATCH(B2923,Harytlar!$A$5:$A$44,0)),""))</f>
        <v/>
      </c>
    </row>
    <row r="2924" spans="1:7" x14ac:dyDescent="0.3">
      <c r="A2924" s="17"/>
      <c r="B2924" s="18"/>
      <c r="C2924" s="18"/>
      <c r="D2924" s="18"/>
      <c r="E2924" s="10" t="str">
        <f>IF(B2924="","",IFERROR(INDEX(Harytlar!$C$5:$C$44,MATCH(B2924,Harytlar!$A$5:$A$44,0)),""))</f>
        <v/>
      </c>
      <c r="F2924" s="10" t="str">
        <f t="shared" si="45"/>
        <v/>
      </c>
      <c r="G2924" s="10" t="str">
        <f>IF(OR(C2924="",B2924=""),"",IFERROR(C2924*INDEX(Harytlar!$D$5:$D$44,MATCH(B2924,Harytlar!$A$5:$A$44,0)),""))</f>
        <v/>
      </c>
    </row>
    <row r="2925" spans="1:7" x14ac:dyDescent="0.3">
      <c r="A2925" s="17"/>
      <c r="B2925" s="18"/>
      <c r="C2925" s="18"/>
      <c r="D2925" s="18"/>
      <c r="E2925" s="10" t="str">
        <f>IF(B2925="","",IFERROR(INDEX(Harytlar!$C$5:$C$44,MATCH(B2925,Harytlar!$A$5:$A$44,0)),""))</f>
        <v/>
      </c>
      <c r="F2925" s="10" t="str">
        <f t="shared" si="45"/>
        <v/>
      </c>
      <c r="G2925" s="10" t="str">
        <f>IF(OR(C2925="",B2925=""),"",IFERROR(C2925*INDEX(Harytlar!$D$5:$D$44,MATCH(B2925,Harytlar!$A$5:$A$44,0)),""))</f>
        <v/>
      </c>
    </row>
    <row r="2926" spans="1:7" x14ac:dyDescent="0.3">
      <c r="A2926" s="17"/>
      <c r="B2926" s="18"/>
      <c r="C2926" s="18"/>
      <c r="D2926" s="18"/>
      <c r="E2926" s="10" t="str">
        <f>IF(B2926="","",IFERROR(INDEX(Harytlar!$C$5:$C$44,MATCH(B2926,Harytlar!$A$5:$A$44,0)),""))</f>
        <v/>
      </c>
      <c r="F2926" s="10" t="str">
        <f t="shared" si="45"/>
        <v/>
      </c>
      <c r="G2926" s="10" t="str">
        <f>IF(OR(C2926="",B2926=""),"",IFERROR(C2926*INDEX(Harytlar!$D$5:$D$44,MATCH(B2926,Harytlar!$A$5:$A$44,0)),""))</f>
        <v/>
      </c>
    </row>
    <row r="2927" spans="1:7" x14ac:dyDescent="0.3">
      <c r="A2927" s="17"/>
      <c r="B2927" s="18"/>
      <c r="C2927" s="18"/>
      <c r="D2927" s="18"/>
      <c r="E2927" s="10" t="str">
        <f>IF(B2927="","",IFERROR(INDEX(Harytlar!$C$5:$C$44,MATCH(B2927,Harytlar!$A$5:$A$44,0)),""))</f>
        <v/>
      </c>
      <c r="F2927" s="10" t="str">
        <f t="shared" si="45"/>
        <v/>
      </c>
      <c r="G2927" s="10" t="str">
        <f>IF(OR(C2927="",B2927=""),"",IFERROR(C2927*INDEX(Harytlar!$D$5:$D$44,MATCH(B2927,Harytlar!$A$5:$A$44,0)),""))</f>
        <v/>
      </c>
    </row>
    <row r="2928" spans="1:7" x14ac:dyDescent="0.3">
      <c r="A2928" s="17"/>
      <c r="B2928" s="18"/>
      <c r="C2928" s="18"/>
      <c r="D2928" s="18"/>
      <c r="E2928" s="10" t="str">
        <f>IF(B2928="","",IFERROR(INDEX(Harytlar!$C$5:$C$44,MATCH(B2928,Harytlar!$A$5:$A$44,0)),""))</f>
        <v/>
      </c>
      <c r="F2928" s="10" t="str">
        <f t="shared" si="45"/>
        <v/>
      </c>
      <c r="G2928" s="10" t="str">
        <f>IF(OR(C2928="",B2928=""),"",IFERROR(C2928*INDEX(Harytlar!$D$5:$D$44,MATCH(B2928,Harytlar!$A$5:$A$44,0)),""))</f>
        <v/>
      </c>
    </row>
    <row r="2929" spans="1:7" x14ac:dyDescent="0.3">
      <c r="A2929" s="17"/>
      <c r="B2929" s="18"/>
      <c r="C2929" s="18"/>
      <c r="D2929" s="18"/>
      <c r="E2929" s="10" t="str">
        <f>IF(B2929="","",IFERROR(INDEX(Harytlar!$C$5:$C$44,MATCH(B2929,Harytlar!$A$5:$A$44,0)),""))</f>
        <v/>
      </c>
      <c r="F2929" s="10" t="str">
        <f t="shared" si="45"/>
        <v/>
      </c>
      <c r="G2929" s="10" t="str">
        <f>IF(OR(C2929="",B2929=""),"",IFERROR(C2929*INDEX(Harytlar!$D$5:$D$44,MATCH(B2929,Harytlar!$A$5:$A$44,0)),""))</f>
        <v/>
      </c>
    </row>
    <row r="2930" spans="1:7" x14ac:dyDescent="0.3">
      <c r="A2930" s="17"/>
      <c r="B2930" s="18"/>
      <c r="C2930" s="18"/>
      <c r="D2930" s="18"/>
      <c r="E2930" s="10" t="str">
        <f>IF(B2930="","",IFERROR(INDEX(Harytlar!$C$5:$C$44,MATCH(B2930,Harytlar!$A$5:$A$44,0)),""))</f>
        <v/>
      </c>
      <c r="F2930" s="10" t="str">
        <f t="shared" si="45"/>
        <v/>
      </c>
      <c r="G2930" s="10" t="str">
        <f>IF(OR(C2930="",B2930=""),"",IFERROR(C2930*INDEX(Harytlar!$D$5:$D$44,MATCH(B2930,Harytlar!$A$5:$A$44,0)),""))</f>
        <v/>
      </c>
    </row>
    <row r="2931" spans="1:7" x14ac:dyDescent="0.3">
      <c r="A2931" s="17"/>
      <c r="B2931" s="18"/>
      <c r="C2931" s="18"/>
      <c r="D2931" s="18"/>
      <c r="E2931" s="10" t="str">
        <f>IF(B2931="","",IFERROR(INDEX(Harytlar!$C$5:$C$44,MATCH(B2931,Harytlar!$A$5:$A$44,0)),""))</f>
        <v/>
      </c>
      <c r="F2931" s="10" t="str">
        <f t="shared" si="45"/>
        <v/>
      </c>
      <c r="G2931" s="10" t="str">
        <f>IF(OR(C2931="",B2931=""),"",IFERROR(C2931*INDEX(Harytlar!$D$5:$D$44,MATCH(B2931,Harytlar!$A$5:$A$44,0)),""))</f>
        <v/>
      </c>
    </row>
    <row r="2932" spans="1:7" x14ac:dyDescent="0.3">
      <c r="A2932" s="17"/>
      <c r="B2932" s="18"/>
      <c r="C2932" s="18"/>
      <c r="D2932" s="18"/>
      <c r="E2932" s="10" t="str">
        <f>IF(B2932="","",IFERROR(INDEX(Harytlar!$C$5:$C$44,MATCH(B2932,Harytlar!$A$5:$A$44,0)),""))</f>
        <v/>
      </c>
      <c r="F2932" s="10" t="str">
        <f t="shared" si="45"/>
        <v/>
      </c>
      <c r="G2932" s="10" t="str">
        <f>IF(OR(C2932="",B2932=""),"",IFERROR(C2932*INDEX(Harytlar!$D$5:$D$44,MATCH(B2932,Harytlar!$A$5:$A$44,0)),""))</f>
        <v/>
      </c>
    </row>
    <row r="2933" spans="1:7" x14ac:dyDescent="0.3">
      <c r="A2933" s="17"/>
      <c r="B2933" s="18"/>
      <c r="C2933" s="18"/>
      <c r="D2933" s="18"/>
      <c r="E2933" s="10" t="str">
        <f>IF(B2933="","",IFERROR(INDEX(Harytlar!$C$5:$C$44,MATCH(B2933,Harytlar!$A$5:$A$44,0)),""))</f>
        <v/>
      </c>
      <c r="F2933" s="10" t="str">
        <f t="shared" si="45"/>
        <v/>
      </c>
      <c r="G2933" s="10" t="str">
        <f>IF(OR(C2933="",B2933=""),"",IFERROR(C2933*INDEX(Harytlar!$D$5:$D$44,MATCH(B2933,Harytlar!$A$5:$A$44,0)),""))</f>
        <v/>
      </c>
    </row>
    <row r="2934" spans="1:7" x14ac:dyDescent="0.3">
      <c r="A2934" s="17"/>
      <c r="B2934" s="18"/>
      <c r="C2934" s="18"/>
      <c r="D2934" s="18"/>
      <c r="E2934" s="10" t="str">
        <f>IF(B2934="","",IFERROR(INDEX(Harytlar!$C$5:$C$44,MATCH(B2934,Harytlar!$A$5:$A$44,0)),""))</f>
        <v/>
      </c>
      <c r="F2934" s="10" t="str">
        <f t="shared" si="45"/>
        <v/>
      </c>
      <c r="G2934" s="10" t="str">
        <f>IF(OR(C2934="",B2934=""),"",IFERROR(C2934*INDEX(Harytlar!$D$5:$D$44,MATCH(B2934,Harytlar!$A$5:$A$44,0)),""))</f>
        <v/>
      </c>
    </row>
    <row r="2935" spans="1:7" x14ac:dyDescent="0.3">
      <c r="A2935" s="17"/>
      <c r="B2935" s="18"/>
      <c r="C2935" s="18"/>
      <c r="D2935" s="18"/>
      <c r="E2935" s="10" t="str">
        <f>IF(B2935="","",IFERROR(INDEX(Harytlar!$C$5:$C$44,MATCH(B2935,Harytlar!$A$5:$A$44,0)),""))</f>
        <v/>
      </c>
      <c r="F2935" s="10" t="str">
        <f t="shared" si="45"/>
        <v/>
      </c>
      <c r="G2935" s="10" t="str">
        <f>IF(OR(C2935="",B2935=""),"",IFERROR(C2935*INDEX(Harytlar!$D$5:$D$44,MATCH(B2935,Harytlar!$A$5:$A$44,0)),""))</f>
        <v/>
      </c>
    </row>
    <row r="2936" spans="1:7" x14ac:dyDescent="0.3">
      <c r="A2936" s="17"/>
      <c r="B2936" s="18"/>
      <c r="C2936" s="18"/>
      <c r="D2936" s="18"/>
      <c r="E2936" s="10" t="str">
        <f>IF(B2936="","",IFERROR(INDEX(Harytlar!$C$5:$C$44,MATCH(B2936,Harytlar!$A$5:$A$44,0)),""))</f>
        <v/>
      </c>
      <c r="F2936" s="10" t="str">
        <f t="shared" si="45"/>
        <v/>
      </c>
      <c r="G2936" s="10" t="str">
        <f>IF(OR(C2936="",B2936=""),"",IFERROR(C2936*INDEX(Harytlar!$D$5:$D$44,MATCH(B2936,Harytlar!$A$5:$A$44,0)),""))</f>
        <v/>
      </c>
    </row>
    <row r="2937" spans="1:7" x14ac:dyDescent="0.3">
      <c r="A2937" s="17"/>
      <c r="B2937" s="18"/>
      <c r="C2937" s="18"/>
      <c r="D2937" s="18"/>
      <c r="E2937" s="10" t="str">
        <f>IF(B2937="","",IFERROR(INDEX(Harytlar!$C$5:$C$44,MATCH(B2937,Harytlar!$A$5:$A$44,0)),""))</f>
        <v/>
      </c>
      <c r="F2937" s="10" t="str">
        <f t="shared" si="45"/>
        <v/>
      </c>
      <c r="G2937" s="10" t="str">
        <f>IF(OR(C2937="",B2937=""),"",IFERROR(C2937*INDEX(Harytlar!$D$5:$D$44,MATCH(B2937,Harytlar!$A$5:$A$44,0)),""))</f>
        <v/>
      </c>
    </row>
    <row r="2938" spans="1:7" x14ac:dyDescent="0.3">
      <c r="A2938" s="17"/>
      <c r="B2938" s="18"/>
      <c r="C2938" s="18"/>
      <c r="D2938" s="18"/>
      <c r="E2938" s="10" t="str">
        <f>IF(B2938="","",IFERROR(INDEX(Harytlar!$C$5:$C$44,MATCH(B2938,Harytlar!$A$5:$A$44,0)),""))</f>
        <v/>
      </c>
      <c r="F2938" s="10" t="str">
        <f t="shared" si="45"/>
        <v/>
      </c>
      <c r="G2938" s="10" t="str">
        <f>IF(OR(C2938="",B2938=""),"",IFERROR(C2938*INDEX(Harytlar!$D$5:$D$44,MATCH(B2938,Harytlar!$A$5:$A$44,0)),""))</f>
        <v/>
      </c>
    </row>
    <row r="2939" spans="1:7" x14ac:dyDescent="0.3">
      <c r="A2939" s="17"/>
      <c r="B2939" s="18"/>
      <c r="C2939" s="18"/>
      <c r="D2939" s="18"/>
      <c r="E2939" s="10" t="str">
        <f>IF(B2939="","",IFERROR(INDEX(Harytlar!$C$5:$C$44,MATCH(B2939,Harytlar!$A$5:$A$44,0)),""))</f>
        <v/>
      </c>
      <c r="F2939" s="10" t="str">
        <f t="shared" si="45"/>
        <v/>
      </c>
      <c r="G2939" s="10" t="str">
        <f>IF(OR(C2939="",B2939=""),"",IFERROR(C2939*INDEX(Harytlar!$D$5:$D$44,MATCH(B2939,Harytlar!$A$5:$A$44,0)),""))</f>
        <v/>
      </c>
    </row>
    <row r="2940" spans="1:7" x14ac:dyDescent="0.3">
      <c r="A2940" s="17"/>
      <c r="B2940" s="18"/>
      <c r="C2940" s="18"/>
      <c r="D2940" s="18"/>
      <c r="E2940" s="10" t="str">
        <f>IF(B2940="","",IFERROR(INDEX(Harytlar!$C$5:$C$44,MATCH(B2940,Harytlar!$A$5:$A$44,0)),""))</f>
        <v/>
      </c>
      <c r="F2940" s="10" t="str">
        <f t="shared" si="45"/>
        <v/>
      </c>
      <c r="G2940" s="10" t="str">
        <f>IF(OR(C2940="",B2940=""),"",IFERROR(C2940*INDEX(Harytlar!$D$5:$D$44,MATCH(B2940,Harytlar!$A$5:$A$44,0)),""))</f>
        <v/>
      </c>
    </row>
    <row r="2941" spans="1:7" x14ac:dyDescent="0.3">
      <c r="A2941" s="17"/>
      <c r="B2941" s="18"/>
      <c r="C2941" s="18"/>
      <c r="D2941" s="18"/>
      <c r="E2941" s="10" t="str">
        <f>IF(B2941="","",IFERROR(INDEX(Harytlar!$C$5:$C$44,MATCH(B2941,Harytlar!$A$5:$A$44,0)),""))</f>
        <v/>
      </c>
      <c r="F2941" s="10" t="str">
        <f t="shared" si="45"/>
        <v/>
      </c>
      <c r="G2941" s="10" t="str">
        <f>IF(OR(C2941="",B2941=""),"",IFERROR(C2941*INDEX(Harytlar!$D$5:$D$44,MATCH(B2941,Harytlar!$A$5:$A$44,0)),""))</f>
        <v/>
      </c>
    </row>
    <row r="2942" spans="1:7" x14ac:dyDescent="0.3">
      <c r="A2942" s="17"/>
      <c r="B2942" s="18"/>
      <c r="C2942" s="18"/>
      <c r="D2942" s="18"/>
      <c r="E2942" s="10" t="str">
        <f>IF(B2942="","",IFERROR(INDEX(Harytlar!$C$5:$C$44,MATCH(B2942,Harytlar!$A$5:$A$44,0)),""))</f>
        <v/>
      </c>
      <c r="F2942" s="10" t="str">
        <f t="shared" si="45"/>
        <v/>
      </c>
      <c r="G2942" s="10" t="str">
        <f>IF(OR(C2942="",B2942=""),"",IFERROR(C2942*INDEX(Harytlar!$D$5:$D$44,MATCH(B2942,Harytlar!$A$5:$A$44,0)),""))</f>
        <v/>
      </c>
    </row>
    <row r="2943" spans="1:7" x14ac:dyDescent="0.3">
      <c r="A2943" s="17"/>
      <c r="B2943" s="18"/>
      <c r="C2943" s="18"/>
      <c r="D2943" s="18"/>
      <c r="E2943" s="10" t="str">
        <f>IF(B2943="","",IFERROR(INDEX(Harytlar!$C$5:$C$44,MATCH(B2943,Harytlar!$A$5:$A$44,0)),""))</f>
        <v/>
      </c>
      <c r="F2943" s="10" t="str">
        <f t="shared" si="45"/>
        <v/>
      </c>
      <c r="G2943" s="10" t="str">
        <f>IF(OR(C2943="",B2943=""),"",IFERROR(C2943*INDEX(Harytlar!$D$5:$D$44,MATCH(B2943,Harytlar!$A$5:$A$44,0)),""))</f>
        <v/>
      </c>
    </row>
    <row r="2944" spans="1:7" x14ac:dyDescent="0.3">
      <c r="A2944" s="17"/>
      <c r="B2944" s="18"/>
      <c r="C2944" s="18"/>
      <c r="D2944" s="18"/>
      <c r="E2944" s="10" t="str">
        <f>IF(B2944="","",IFERROR(INDEX(Harytlar!$C$5:$C$44,MATCH(B2944,Harytlar!$A$5:$A$44,0)),""))</f>
        <v/>
      </c>
      <c r="F2944" s="10" t="str">
        <f t="shared" si="45"/>
        <v/>
      </c>
      <c r="G2944" s="10" t="str">
        <f>IF(OR(C2944="",B2944=""),"",IFERROR(C2944*INDEX(Harytlar!$D$5:$D$44,MATCH(B2944,Harytlar!$A$5:$A$44,0)),""))</f>
        <v/>
      </c>
    </row>
    <row r="2945" spans="1:7" x14ac:dyDescent="0.3">
      <c r="A2945" s="17"/>
      <c r="B2945" s="18"/>
      <c r="C2945" s="18"/>
      <c r="D2945" s="18"/>
      <c r="E2945" s="10" t="str">
        <f>IF(B2945="","",IFERROR(INDEX(Harytlar!$C$5:$C$44,MATCH(B2945,Harytlar!$A$5:$A$44,0)),""))</f>
        <v/>
      </c>
      <c r="F2945" s="10" t="str">
        <f t="shared" si="45"/>
        <v/>
      </c>
      <c r="G2945" s="10" t="str">
        <f>IF(OR(C2945="",B2945=""),"",IFERROR(C2945*INDEX(Harytlar!$D$5:$D$44,MATCH(B2945,Harytlar!$A$5:$A$44,0)),""))</f>
        <v/>
      </c>
    </row>
    <row r="2946" spans="1:7" x14ac:dyDescent="0.3">
      <c r="A2946" s="17"/>
      <c r="B2946" s="18"/>
      <c r="C2946" s="18"/>
      <c r="D2946" s="18"/>
      <c r="E2946" s="10" t="str">
        <f>IF(B2946="","",IFERROR(INDEX(Harytlar!$C$5:$C$44,MATCH(B2946,Harytlar!$A$5:$A$44,0)),""))</f>
        <v/>
      </c>
      <c r="F2946" s="10" t="str">
        <f t="shared" si="45"/>
        <v/>
      </c>
      <c r="G2946" s="10" t="str">
        <f>IF(OR(C2946="",B2946=""),"",IFERROR(C2946*INDEX(Harytlar!$D$5:$D$44,MATCH(B2946,Harytlar!$A$5:$A$44,0)),""))</f>
        <v/>
      </c>
    </row>
    <row r="2947" spans="1:7" x14ac:dyDescent="0.3">
      <c r="A2947" s="17"/>
      <c r="B2947" s="18"/>
      <c r="C2947" s="18"/>
      <c r="D2947" s="18"/>
      <c r="E2947" s="10" t="str">
        <f>IF(B2947="","",IFERROR(INDEX(Harytlar!$C$5:$C$44,MATCH(B2947,Harytlar!$A$5:$A$44,0)),""))</f>
        <v/>
      </c>
      <c r="F2947" s="10" t="str">
        <f t="shared" si="45"/>
        <v/>
      </c>
      <c r="G2947" s="10" t="str">
        <f>IF(OR(C2947="",B2947=""),"",IFERROR(C2947*INDEX(Harytlar!$D$5:$D$44,MATCH(B2947,Harytlar!$A$5:$A$44,0)),""))</f>
        <v/>
      </c>
    </row>
    <row r="2948" spans="1:7" x14ac:dyDescent="0.3">
      <c r="A2948" s="17"/>
      <c r="B2948" s="18"/>
      <c r="C2948" s="18"/>
      <c r="D2948" s="18"/>
      <c r="E2948" s="10" t="str">
        <f>IF(B2948="","",IFERROR(INDEX(Harytlar!$C$5:$C$44,MATCH(B2948,Harytlar!$A$5:$A$44,0)),""))</f>
        <v/>
      </c>
      <c r="F2948" s="10" t="str">
        <f t="shared" si="45"/>
        <v/>
      </c>
      <c r="G2948" s="10" t="str">
        <f>IF(OR(C2948="",B2948=""),"",IFERROR(C2948*INDEX(Harytlar!$D$5:$D$44,MATCH(B2948,Harytlar!$A$5:$A$44,0)),""))</f>
        <v/>
      </c>
    </row>
    <row r="2949" spans="1:7" x14ac:dyDescent="0.3">
      <c r="A2949" s="17"/>
      <c r="B2949" s="18"/>
      <c r="C2949" s="18"/>
      <c r="D2949" s="18"/>
      <c r="E2949" s="10" t="str">
        <f>IF(B2949="","",IFERROR(INDEX(Harytlar!$C$5:$C$44,MATCH(B2949,Harytlar!$A$5:$A$44,0)),""))</f>
        <v/>
      </c>
      <c r="F2949" s="10" t="str">
        <f t="shared" si="45"/>
        <v/>
      </c>
      <c r="G2949" s="10" t="str">
        <f>IF(OR(C2949="",B2949=""),"",IFERROR(C2949*INDEX(Harytlar!$D$5:$D$44,MATCH(B2949,Harytlar!$A$5:$A$44,0)),""))</f>
        <v/>
      </c>
    </row>
    <row r="2950" spans="1:7" x14ac:dyDescent="0.3">
      <c r="A2950" s="17"/>
      <c r="B2950" s="18"/>
      <c r="C2950" s="18"/>
      <c r="D2950" s="18"/>
      <c r="E2950" s="10" t="str">
        <f>IF(B2950="","",IFERROR(INDEX(Harytlar!$C$5:$C$44,MATCH(B2950,Harytlar!$A$5:$A$44,0)),""))</f>
        <v/>
      </c>
      <c r="F2950" s="10" t="str">
        <f t="shared" ref="F2950:F3013" si="46">IF(OR(C2950="",E2950=""),"",C2950*E2950)</f>
        <v/>
      </c>
      <c r="G2950" s="10" t="str">
        <f>IF(OR(C2950="",B2950=""),"",IFERROR(C2950*INDEX(Harytlar!$D$5:$D$44,MATCH(B2950,Harytlar!$A$5:$A$44,0)),""))</f>
        <v/>
      </c>
    </row>
    <row r="2951" spans="1:7" x14ac:dyDescent="0.3">
      <c r="A2951" s="17"/>
      <c r="B2951" s="18"/>
      <c r="C2951" s="18"/>
      <c r="D2951" s="18"/>
      <c r="E2951" s="10" t="str">
        <f>IF(B2951="","",IFERROR(INDEX(Harytlar!$C$5:$C$44,MATCH(B2951,Harytlar!$A$5:$A$44,0)),""))</f>
        <v/>
      </c>
      <c r="F2951" s="10" t="str">
        <f t="shared" si="46"/>
        <v/>
      </c>
      <c r="G2951" s="10" t="str">
        <f>IF(OR(C2951="",B2951=""),"",IFERROR(C2951*INDEX(Harytlar!$D$5:$D$44,MATCH(B2951,Harytlar!$A$5:$A$44,0)),""))</f>
        <v/>
      </c>
    </row>
    <row r="2952" spans="1:7" x14ac:dyDescent="0.3">
      <c r="A2952" s="17"/>
      <c r="B2952" s="18"/>
      <c r="C2952" s="18"/>
      <c r="D2952" s="18"/>
      <c r="E2952" s="10" t="str">
        <f>IF(B2952="","",IFERROR(INDEX(Harytlar!$C$5:$C$44,MATCH(B2952,Harytlar!$A$5:$A$44,0)),""))</f>
        <v/>
      </c>
      <c r="F2952" s="10" t="str">
        <f t="shared" si="46"/>
        <v/>
      </c>
      <c r="G2952" s="10" t="str">
        <f>IF(OR(C2952="",B2952=""),"",IFERROR(C2952*INDEX(Harytlar!$D$5:$D$44,MATCH(B2952,Harytlar!$A$5:$A$44,0)),""))</f>
        <v/>
      </c>
    </row>
    <row r="2953" spans="1:7" x14ac:dyDescent="0.3">
      <c r="A2953" s="17"/>
      <c r="B2953" s="18"/>
      <c r="C2953" s="18"/>
      <c r="D2953" s="18"/>
      <c r="E2953" s="10" t="str">
        <f>IF(B2953="","",IFERROR(INDEX(Harytlar!$C$5:$C$44,MATCH(B2953,Harytlar!$A$5:$A$44,0)),""))</f>
        <v/>
      </c>
      <c r="F2953" s="10" t="str">
        <f t="shared" si="46"/>
        <v/>
      </c>
      <c r="G2953" s="10" t="str">
        <f>IF(OR(C2953="",B2953=""),"",IFERROR(C2953*INDEX(Harytlar!$D$5:$D$44,MATCH(B2953,Harytlar!$A$5:$A$44,0)),""))</f>
        <v/>
      </c>
    </row>
    <row r="2954" spans="1:7" x14ac:dyDescent="0.3">
      <c r="A2954" s="17"/>
      <c r="B2954" s="18"/>
      <c r="C2954" s="18"/>
      <c r="D2954" s="18"/>
      <c r="E2954" s="10" t="str">
        <f>IF(B2954="","",IFERROR(INDEX(Harytlar!$C$5:$C$44,MATCH(B2954,Harytlar!$A$5:$A$44,0)),""))</f>
        <v/>
      </c>
      <c r="F2954" s="10" t="str">
        <f t="shared" si="46"/>
        <v/>
      </c>
      <c r="G2954" s="10" t="str">
        <f>IF(OR(C2954="",B2954=""),"",IFERROR(C2954*INDEX(Harytlar!$D$5:$D$44,MATCH(B2954,Harytlar!$A$5:$A$44,0)),""))</f>
        <v/>
      </c>
    </row>
    <row r="2955" spans="1:7" x14ac:dyDescent="0.3">
      <c r="A2955" s="17"/>
      <c r="B2955" s="18"/>
      <c r="C2955" s="18"/>
      <c r="D2955" s="18"/>
      <c r="E2955" s="10" t="str">
        <f>IF(B2955="","",IFERROR(INDEX(Harytlar!$C$5:$C$44,MATCH(B2955,Harytlar!$A$5:$A$44,0)),""))</f>
        <v/>
      </c>
      <c r="F2955" s="10" t="str">
        <f t="shared" si="46"/>
        <v/>
      </c>
      <c r="G2955" s="10" t="str">
        <f>IF(OR(C2955="",B2955=""),"",IFERROR(C2955*INDEX(Harytlar!$D$5:$D$44,MATCH(B2955,Harytlar!$A$5:$A$44,0)),""))</f>
        <v/>
      </c>
    </row>
    <row r="2956" spans="1:7" x14ac:dyDescent="0.3">
      <c r="A2956" s="17"/>
      <c r="B2956" s="18"/>
      <c r="C2956" s="18"/>
      <c r="D2956" s="18"/>
      <c r="E2956" s="10" t="str">
        <f>IF(B2956="","",IFERROR(INDEX(Harytlar!$C$5:$C$44,MATCH(B2956,Harytlar!$A$5:$A$44,0)),""))</f>
        <v/>
      </c>
      <c r="F2956" s="10" t="str">
        <f t="shared" si="46"/>
        <v/>
      </c>
      <c r="G2956" s="10" t="str">
        <f>IF(OR(C2956="",B2956=""),"",IFERROR(C2956*INDEX(Harytlar!$D$5:$D$44,MATCH(B2956,Harytlar!$A$5:$A$44,0)),""))</f>
        <v/>
      </c>
    </row>
    <row r="2957" spans="1:7" x14ac:dyDescent="0.3">
      <c r="A2957" s="17"/>
      <c r="B2957" s="18"/>
      <c r="C2957" s="18"/>
      <c r="D2957" s="18"/>
      <c r="E2957" s="10" t="str">
        <f>IF(B2957="","",IFERROR(INDEX(Harytlar!$C$5:$C$44,MATCH(B2957,Harytlar!$A$5:$A$44,0)),""))</f>
        <v/>
      </c>
      <c r="F2957" s="10" t="str">
        <f t="shared" si="46"/>
        <v/>
      </c>
      <c r="G2957" s="10" t="str">
        <f>IF(OR(C2957="",B2957=""),"",IFERROR(C2957*INDEX(Harytlar!$D$5:$D$44,MATCH(B2957,Harytlar!$A$5:$A$44,0)),""))</f>
        <v/>
      </c>
    </row>
    <row r="2958" spans="1:7" x14ac:dyDescent="0.3">
      <c r="A2958" s="17"/>
      <c r="B2958" s="18"/>
      <c r="C2958" s="18"/>
      <c r="D2958" s="18"/>
      <c r="E2958" s="10" t="str">
        <f>IF(B2958="","",IFERROR(INDEX(Harytlar!$C$5:$C$44,MATCH(B2958,Harytlar!$A$5:$A$44,0)),""))</f>
        <v/>
      </c>
      <c r="F2958" s="10" t="str">
        <f t="shared" si="46"/>
        <v/>
      </c>
      <c r="G2958" s="10" t="str">
        <f>IF(OR(C2958="",B2958=""),"",IFERROR(C2958*INDEX(Harytlar!$D$5:$D$44,MATCH(B2958,Harytlar!$A$5:$A$44,0)),""))</f>
        <v/>
      </c>
    </row>
    <row r="2959" spans="1:7" x14ac:dyDescent="0.3">
      <c r="A2959" s="17"/>
      <c r="B2959" s="18"/>
      <c r="C2959" s="18"/>
      <c r="D2959" s="18"/>
      <c r="E2959" s="10" t="str">
        <f>IF(B2959="","",IFERROR(INDEX(Harytlar!$C$5:$C$44,MATCH(B2959,Harytlar!$A$5:$A$44,0)),""))</f>
        <v/>
      </c>
      <c r="F2959" s="10" t="str">
        <f t="shared" si="46"/>
        <v/>
      </c>
      <c r="G2959" s="10" t="str">
        <f>IF(OR(C2959="",B2959=""),"",IFERROR(C2959*INDEX(Harytlar!$D$5:$D$44,MATCH(B2959,Harytlar!$A$5:$A$44,0)),""))</f>
        <v/>
      </c>
    </row>
    <row r="2960" spans="1:7" x14ac:dyDescent="0.3">
      <c r="A2960" s="17"/>
      <c r="B2960" s="18"/>
      <c r="C2960" s="18"/>
      <c r="D2960" s="18"/>
      <c r="E2960" s="10" t="str">
        <f>IF(B2960="","",IFERROR(INDEX(Harytlar!$C$5:$C$44,MATCH(B2960,Harytlar!$A$5:$A$44,0)),""))</f>
        <v/>
      </c>
      <c r="F2960" s="10" t="str">
        <f t="shared" si="46"/>
        <v/>
      </c>
      <c r="G2960" s="10" t="str">
        <f>IF(OR(C2960="",B2960=""),"",IFERROR(C2960*INDEX(Harytlar!$D$5:$D$44,MATCH(B2960,Harytlar!$A$5:$A$44,0)),""))</f>
        <v/>
      </c>
    </row>
    <row r="2961" spans="1:7" x14ac:dyDescent="0.3">
      <c r="A2961" s="17"/>
      <c r="B2961" s="18"/>
      <c r="C2961" s="18"/>
      <c r="D2961" s="18"/>
      <c r="E2961" s="10" t="str">
        <f>IF(B2961="","",IFERROR(INDEX(Harytlar!$C$5:$C$44,MATCH(B2961,Harytlar!$A$5:$A$44,0)),""))</f>
        <v/>
      </c>
      <c r="F2961" s="10" t="str">
        <f t="shared" si="46"/>
        <v/>
      </c>
      <c r="G2961" s="10" t="str">
        <f>IF(OR(C2961="",B2961=""),"",IFERROR(C2961*INDEX(Harytlar!$D$5:$D$44,MATCH(B2961,Harytlar!$A$5:$A$44,0)),""))</f>
        <v/>
      </c>
    </row>
    <row r="2962" spans="1:7" x14ac:dyDescent="0.3">
      <c r="A2962" s="17"/>
      <c r="B2962" s="18"/>
      <c r="C2962" s="18"/>
      <c r="D2962" s="18"/>
      <c r="E2962" s="10" t="str">
        <f>IF(B2962="","",IFERROR(INDEX(Harytlar!$C$5:$C$44,MATCH(B2962,Harytlar!$A$5:$A$44,0)),""))</f>
        <v/>
      </c>
      <c r="F2962" s="10" t="str">
        <f t="shared" si="46"/>
        <v/>
      </c>
      <c r="G2962" s="10" t="str">
        <f>IF(OR(C2962="",B2962=""),"",IFERROR(C2962*INDEX(Harytlar!$D$5:$D$44,MATCH(B2962,Harytlar!$A$5:$A$44,0)),""))</f>
        <v/>
      </c>
    </row>
    <row r="2963" spans="1:7" x14ac:dyDescent="0.3">
      <c r="A2963" s="17"/>
      <c r="B2963" s="18"/>
      <c r="C2963" s="18"/>
      <c r="D2963" s="18"/>
      <c r="E2963" s="10" t="str">
        <f>IF(B2963="","",IFERROR(INDEX(Harytlar!$C$5:$C$44,MATCH(B2963,Harytlar!$A$5:$A$44,0)),""))</f>
        <v/>
      </c>
      <c r="F2963" s="10" t="str">
        <f t="shared" si="46"/>
        <v/>
      </c>
      <c r="G2963" s="10" t="str">
        <f>IF(OR(C2963="",B2963=""),"",IFERROR(C2963*INDEX(Harytlar!$D$5:$D$44,MATCH(B2963,Harytlar!$A$5:$A$44,0)),""))</f>
        <v/>
      </c>
    </row>
    <row r="2964" spans="1:7" x14ac:dyDescent="0.3">
      <c r="A2964" s="17"/>
      <c r="B2964" s="18"/>
      <c r="C2964" s="18"/>
      <c r="D2964" s="18"/>
      <c r="E2964" s="10" t="str">
        <f>IF(B2964="","",IFERROR(INDEX(Harytlar!$C$5:$C$44,MATCH(B2964,Harytlar!$A$5:$A$44,0)),""))</f>
        <v/>
      </c>
      <c r="F2964" s="10" t="str">
        <f t="shared" si="46"/>
        <v/>
      </c>
      <c r="G2964" s="10" t="str">
        <f>IF(OR(C2964="",B2964=""),"",IFERROR(C2964*INDEX(Harytlar!$D$5:$D$44,MATCH(B2964,Harytlar!$A$5:$A$44,0)),""))</f>
        <v/>
      </c>
    </row>
    <row r="2965" spans="1:7" x14ac:dyDescent="0.3">
      <c r="A2965" s="17"/>
      <c r="B2965" s="18"/>
      <c r="C2965" s="18"/>
      <c r="D2965" s="18"/>
      <c r="E2965" s="10" t="str">
        <f>IF(B2965="","",IFERROR(INDEX(Harytlar!$C$5:$C$44,MATCH(B2965,Harytlar!$A$5:$A$44,0)),""))</f>
        <v/>
      </c>
      <c r="F2965" s="10" t="str">
        <f t="shared" si="46"/>
        <v/>
      </c>
      <c r="G2965" s="10" t="str">
        <f>IF(OR(C2965="",B2965=""),"",IFERROR(C2965*INDEX(Harytlar!$D$5:$D$44,MATCH(B2965,Harytlar!$A$5:$A$44,0)),""))</f>
        <v/>
      </c>
    </row>
    <row r="2966" spans="1:7" x14ac:dyDescent="0.3">
      <c r="A2966" s="17"/>
      <c r="B2966" s="18"/>
      <c r="C2966" s="18"/>
      <c r="D2966" s="18"/>
      <c r="E2966" s="10" t="str">
        <f>IF(B2966="","",IFERROR(INDEX(Harytlar!$C$5:$C$44,MATCH(B2966,Harytlar!$A$5:$A$44,0)),""))</f>
        <v/>
      </c>
      <c r="F2966" s="10" t="str">
        <f t="shared" si="46"/>
        <v/>
      </c>
      <c r="G2966" s="10" t="str">
        <f>IF(OR(C2966="",B2966=""),"",IFERROR(C2966*INDEX(Harytlar!$D$5:$D$44,MATCH(B2966,Harytlar!$A$5:$A$44,0)),""))</f>
        <v/>
      </c>
    </row>
    <row r="2967" spans="1:7" x14ac:dyDescent="0.3">
      <c r="A2967" s="17"/>
      <c r="B2967" s="18"/>
      <c r="C2967" s="18"/>
      <c r="D2967" s="18"/>
      <c r="E2967" s="10" t="str">
        <f>IF(B2967="","",IFERROR(INDEX(Harytlar!$C$5:$C$44,MATCH(B2967,Harytlar!$A$5:$A$44,0)),""))</f>
        <v/>
      </c>
      <c r="F2967" s="10" t="str">
        <f t="shared" si="46"/>
        <v/>
      </c>
      <c r="G2967" s="10" t="str">
        <f>IF(OR(C2967="",B2967=""),"",IFERROR(C2967*INDEX(Harytlar!$D$5:$D$44,MATCH(B2967,Harytlar!$A$5:$A$44,0)),""))</f>
        <v/>
      </c>
    </row>
    <row r="2968" spans="1:7" x14ac:dyDescent="0.3">
      <c r="A2968" s="17"/>
      <c r="B2968" s="18"/>
      <c r="C2968" s="18"/>
      <c r="D2968" s="18"/>
      <c r="E2968" s="10" t="str">
        <f>IF(B2968="","",IFERROR(INDEX(Harytlar!$C$5:$C$44,MATCH(B2968,Harytlar!$A$5:$A$44,0)),""))</f>
        <v/>
      </c>
      <c r="F2968" s="10" t="str">
        <f t="shared" si="46"/>
        <v/>
      </c>
      <c r="G2968" s="10" t="str">
        <f>IF(OR(C2968="",B2968=""),"",IFERROR(C2968*INDEX(Harytlar!$D$5:$D$44,MATCH(B2968,Harytlar!$A$5:$A$44,0)),""))</f>
        <v/>
      </c>
    </row>
    <row r="2969" spans="1:7" x14ac:dyDescent="0.3">
      <c r="A2969" s="17"/>
      <c r="B2969" s="18"/>
      <c r="C2969" s="18"/>
      <c r="D2969" s="18"/>
      <c r="E2969" s="10" t="str">
        <f>IF(B2969="","",IFERROR(INDEX(Harytlar!$C$5:$C$44,MATCH(B2969,Harytlar!$A$5:$A$44,0)),""))</f>
        <v/>
      </c>
      <c r="F2969" s="10" t="str">
        <f t="shared" si="46"/>
        <v/>
      </c>
      <c r="G2969" s="10" t="str">
        <f>IF(OR(C2969="",B2969=""),"",IFERROR(C2969*INDEX(Harytlar!$D$5:$D$44,MATCH(B2969,Harytlar!$A$5:$A$44,0)),""))</f>
        <v/>
      </c>
    </row>
    <row r="2970" spans="1:7" x14ac:dyDescent="0.3">
      <c r="A2970" s="17"/>
      <c r="B2970" s="18"/>
      <c r="C2970" s="18"/>
      <c r="D2970" s="18"/>
      <c r="E2970" s="10" t="str">
        <f>IF(B2970="","",IFERROR(INDEX(Harytlar!$C$5:$C$44,MATCH(B2970,Harytlar!$A$5:$A$44,0)),""))</f>
        <v/>
      </c>
      <c r="F2970" s="10" t="str">
        <f t="shared" si="46"/>
        <v/>
      </c>
      <c r="G2970" s="10" t="str">
        <f>IF(OR(C2970="",B2970=""),"",IFERROR(C2970*INDEX(Harytlar!$D$5:$D$44,MATCH(B2970,Harytlar!$A$5:$A$44,0)),""))</f>
        <v/>
      </c>
    </row>
    <row r="2971" spans="1:7" x14ac:dyDescent="0.3">
      <c r="A2971" s="17"/>
      <c r="B2971" s="18"/>
      <c r="C2971" s="18"/>
      <c r="D2971" s="18"/>
      <c r="E2971" s="10" t="str">
        <f>IF(B2971="","",IFERROR(INDEX(Harytlar!$C$5:$C$44,MATCH(B2971,Harytlar!$A$5:$A$44,0)),""))</f>
        <v/>
      </c>
      <c r="F2971" s="10" t="str">
        <f t="shared" si="46"/>
        <v/>
      </c>
      <c r="G2971" s="10" t="str">
        <f>IF(OR(C2971="",B2971=""),"",IFERROR(C2971*INDEX(Harytlar!$D$5:$D$44,MATCH(B2971,Harytlar!$A$5:$A$44,0)),""))</f>
        <v/>
      </c>
    </row>
    <row r="2972" spans="1:7" x14ac:dyDescent="0.3">
      <c r="A2972" s="17"/>
      <c r="B2972" s="18"/>
      <c r="C2972" s="18"/>
      <c r="D2972" s="18"/>
      <c r="E2972" s="10" t="str">
        <f>IF(B2972="","",IFERROR(INDEX(Harytlar!$C$5:$C$44,MATCH(B2972,Harytlar!$A$5:$A$44,0)),""))</f>
        <v/>
      </c>
      <c r="F2972" s="10" t="str">
        <f t="shared" si="46"/>
        <v/>
      </c>
      <c r="G2972" s="10" t="str">
        <f>IF(OR(C2972="",B2972=""),"",IFERROR(C2972*INDEX(Harytlar!$D$5:$D$44,MATCH(B2972,Harytlar!$A$5:$A$44,0)),""))</f>
        <v/>
      </c>
    </row>
    <row r="2973" spans="1:7" x14ac:dyDescent="0.3">
      <c r="A2973" s="17"/>
      <c r="B2973" s="18"/>
      <c r="C2973" s="18"/>
      <c r="D2973" s="18"/>
      <c r="E2973" s="10" t="str">
        <f>IF(B2973="","",IFERROR(INDEX(Harytlar!$C$5:$C$44,MATCH(B2973,Harytlar!$A$5:$A$44,0)),""))</f>
        <v/>
      </c>
      <c r="F2973" s="10" t="str">
        <f t="shared" si="46"/>
        <v/>
      </c>
      <c r="G2973" s="10" t="str">
        <f>IF(OR(C2973="",B2973=""),"",IFERROR(C2973*INDEX(Harytlar!$D$5:$D$44,MATCH(B2973,Harytlar!$A$5:$A$44,0)),""))</f>
        <v/>
      </c>
    </row>
    <row r="2974" spans="1:7" x14ac:dyDescent="0.3">
      <c r="A2974" s="17"/>
      <c r="B2974" s="18"/>
      <c r="C2974" s="18"/>
      <c r="D2974" s="18"/>
      <c r="E2974" s="10" t="str">
        <f>IF(B2974="","",IFERROR(INDEX(Harytlar!$C$5:$C$44,MATCH(B2974,Harytlar!$A$5:$A$44,0)),""))</f>
        <v/>
      </c>
      <c r="F2974" s="10" t="str">
        <f t="shared" si="46"/>
        <v/>
      </c>
      <c r="G2974" s="10" t="str">
        <f>IF(OR(C2974="",B2974=""),"",IFERROR(C2974*INDEX(Harytlar!$D$5:$D$44,MATCH(B2974,Harytlar!$A$5:$A$44,0)),""))</f>
        <v/>
      </c>
    </row>
    <row r="2975" spans="1:7" x14ac:dyDescent="0.3">
      <c r="A2975" s="17"/>
      <c r="B2975" s="18"/>
      <c r="C2975" s="18"/>
      <c r="D2975" s="18"/>
      <c r="E2975" s="10" t="str">
        <f>IF(B2975="","",IFERROR(INDEX(Harytlar!$C$5:$C$44,MATCH(B2975,Harytlar!$A$5:$A$44,0)),""))</f>
        <v/>
      </c>
      <c r="F2975" s="10" t="str">
        <f t="shared" si="46"/>
        <v/>
      </c>
      <c r="G2975" s="10" t="str">
        <f>IF(OR(C2975="",B2975=""),"",IFERROR(C2975*INDEX(Harytlar!$D$5:$D$44,MATCH(B2975,Harytlar!$A$5:$A$44,0)),""))</f>
        <v/>
      </c>
    </row>
    <row r="2976" spans="1:7" x14ac:dyDescent="0.3">
      <c r="A2976" s="17"/>
      <c r="B2976" s="18"/>
      <c r="C2976" s="18"/>
      <c r="D2976" s="18"/>
      <c r="E2976" s="10" t="str">
        <f>IF(B2976="","",IFERROR(INDEX(Harytlar!$C$5:$C$44,MATCH(B2976,Harytlar!$A$5:$A$44,0)),""))</f>
        <v/>
      </c>
      <c r="F2976" s="10" t="str">
        <f t="shared" si="46"/>
        <v/>
      </c>
      <c r="G2976" s="10" t="str">
        <f>IF(OR(C2976="",B2976=""),"",IFERROR(C2976*INDEX(Harytlar!$D$5:$D$44,MATCH(B2976,Harytlar!$A$5:$A$44,0)),""))</f>
        <v/>
      </c>
    </row>
    <row r="2977" spans="1:7" x14ac:dyDescent="0.3">
      <c r="A2977" s="17"/>
      <c r="B2977" s="18"/>
      <c r="C2977" s="18"/>
      <c r="D2977" s="18"/>
      <c r="E2977" s="10" t="str">
        <f>IF(B2977="","",IFERROR(INDEX(Harytlar!$C$5:$C$44,MATCH(B2977,Harytlar!$A$5:$A$44,0)),""))</f>
        <v/>
      </c>
      <c r="F2977" s="10" t="str">
        <f t="shared" si="46"/>
        <v/>
      </c>
      <c r="G2977" s="10" t="str">
        <f>IF(OR(C2977="",B2977=""),"",IFERROR(C2977*INDEX(Harytlar!$D$5:$D$44,MATCH(B2977,Harytlar!$A$5:$A$44,0)),""))</f>
        <v/>
      </c>
    </row>
    <row r="2978" spans="1:7" x14ac:dyDescent="0.3">
      <c r="A2978" s="17"/>
      <c r="B2978" s="18"/>
      <c r="C2978" s="18"/>
      <c r="D2978" s="18"/>
      <c r="E2978" s="10" t="str">
        <f>IF(B2978="","",IFERROR(INDEX(Harytlar!$C$5:$C$44,MATCH(B2978,Harytlar!$A$5:$A$44,0)),""))</f>
        <v/>
      </c>
      <c r="F2978" s="10" t="str">
        <f t="shared" si="46"/>
        <v/>
      </c>
      <c r="G2978" s="10" t="str">
        <f>IF(OR(C2978="",B2978=""),"",IFERROR(C2978*INDEX(Harytlar!$D$5:$D$44,MATCH(B2978,Harytlar!$A$5:$A$44,0)),""))</f>
        <v/>
      </c>
    </row>
    <row r="2979" spans="1:7" x14ac:dyDescent="0.3">
      <c r="A2979" s="17"/>
      <c r="B2979" s="18"/>
      <c r="C2979" s="18"/>
      <c r="D2979" s="18"/>
      <c r="E2979" s="10" t="str">
        <f>IF(B2979="","",IFERROR(INDEX(Harytlar!$C$5:$C$44,MATCH(B2979,Harytlar!$A$5:$A$44,0)),""))</f>
        <v/>
      </c>
      <c r="F2979" s="10" t="str">
        <f t="shared" si="46"/>
        <v/>
      </c>
      <c r="G2979" s="10" t="str">
        <f>IF(OR(C2979="",B2979=""),"",IFERROR(C2979*INDEX(Harytlar!$D$5:$D$44,MATCH(B2979,Harytlar!$A$5:$A$44,0)),""))</f>
        <v/>
      </c>
    </row>
    <row r="2980" spans="1:7" x14ac:dyDescent="0.3">
      <c r="A2980" s="17"/>
      <c r="B2980" s="18"/>
      <c r="C2980" s="18"/>
      <c r="D2980" s="18"/>
      <c r="E2980" s="10" t="str">
        <f>IF(B2980="","",IFERROR(INDEX(Harytlar!$C$5:$C$44,MATCH(B2980,Harytlar!$A$5:$A$44,0)),""))</f>
        <v/>
      </c>
      <c r="F2980" s="10" t="str">
        <f t="shared" si="46"/>
        <v/>
      </c>
      <c r="G2980" s="10" t="str">
        <f>IF(OR(C2980="",B2980=""),"",IFERROR(C2980*INDEX(Harytlar!$D$5:$D$44,MATCH(B2980,Harytlar!$A$5:$A$44,0)),""))</f>
        <v/>
      </c>
    </row>
    <row r="2981" spans="1:7" x14ac:dyDescent="0.3">
      <c r="A2981" s="17"/>
      <c r="B2981" s="18"/>
      <c r="C2981" s="18"/>
      <c r="D2981" s="18"/>
      <c r="E2981" s="10" t="str">
        <f>IF(B2981="","",IFERROR(INDEX(Harytlar!$C$5:$C$44,MATCH(B2981,Harytlar!$A$5:$A$44,0)),""))</f>
        <v/>
      </c>
      <c r="F2981" s="10" t="str">
        <f t="shared" si="46"/>
        <v/>
      </c>
      <c r="G2981" s="10" t="str">
        <f>IF(OR(C2981="",B2981=""),"",IFERROR(C2981*INDEX(Harytlar!$D$5:$D$44,MATCH(B2981,Harytlar!$A$5:$A$44,0)),""))</f>
        <v/>
      </c>
    </row>
    <row r="2982" spans="1:7" x14ac:dyDescent="0.3">
      <c r="A2982" s="17"/>
      <c r="B2982" s="18"/>
      <c r="C2982" s="18"/>
      <c r="D2982" s="18"/>
      <c r="E2982" s="10" t="str">
        <f>IF(B2982="","",IFERROR(INDEX(Harytlar!$C$5:$C$44,MATCH(B2982,Harytlar!$A$5:$A$44,0)),""))</f>
        <v/>
      </c>
      <c r="F2982" s="10" t="str">
        <f t="shared" si="46"/>
        <v/>
      </c>
      <c r="G2982" s="10" t="str">
        <f>IF(OR(C2982="",B2982=""),"",IFERROR(C2982*INDEX(Harytlar!$D$5:$D$44,MATCH(B2982,Harytlar!$A$5:$A$44,0)),""))</f>
        <v/>
      </c>
    </row>
    <row r="2983" spans="1:7" x14ac:dyDescent="0.3">
      <c r="A2983" s="17"/>
      <c r="B2983" s="18"/>
      <c r="C2983" s="18"/>
      <c r="D2983" s="18"/>
      <c r="E2983" s="10" t="str">
        <f>IF(B2983="","",IFERROR(INDEX(Harytlar!$C$5:$C$44,MATCH(B2983,Harytlar!$A$5:$A$44,0)),""))</f>
        <v/>
      </c>
      <c r="F2983" s="10" t="str">
        <f t="shared" si="46"/>
        <v/>
      </c>
      <c r="G2983" s="10" t="str">
        <f>IF(OR(C2983="",B2983=""),"",IFERROR(C2983*INDEX(Harytlar!$D$5:$D$44,MATCH(B2983,Harytlar!$A$5:$A$44,0)),""))</f>
        <v/>
      </c>
    </row>
    <row r="2984" spans="1:7" x14ac:dyDescent="0.3">
      <c r="A2984" s="17"/>
      <c r="B2984" s="18"/>
      <c r="C2984" s="18"/>
      <c r="D2984" s="18"/>
      <c r="E2984" s="10" t="str">
        <f>IF(B2984="","",IFERROR(INDEX(Harytlar!$C$5:$C$44,MATCH(B2984,Harytlar!$A$5:$A$44,0)),""))</f>
        <v/>
      </c>
      <c r="F2984" s="10" t="str">
        <f t="shared" si="46"/>
        <v/>
      </c>
      <c r="G2984" s="10" t="str">
        <f>IF(OR(C2984="",B2984=""),"",IFERROR(C2984*INDEX(Harytlar!$D$5:$D$44,MATCH(B2984,Harytlar!$A$5:$A$44,0)),""))</f>
        <v/>
      </c>
    </row>
    <row r="2985" spans="1:7" x14ac:dyDescent="0.3">
      <c r="A2985" s="17"/>
      <c r="B2985" s="18"/>
      <c r="C2985" s="18"/>
      <c r="D2985" s="18"/>
      <c r="E2985" s="10" t="str">
        <f>IF(B2985="","",IFERROR(INDEX(Harytlar!$C$5:$C$44,MATCH(B2985,Harytlar!$A$5:$A$44,0)),""))</f>
        <v/>
      </c>
      <c r="F2985" s="10" t="str">
        <f t="shared" si="46"/>
        <v/>
      </c>
      <c r="G2985" s="10" t="str">
        <f>IF(OR(C2985="",B2985=""),"",IFERROR(C2985*INDEX(Harytlar!$D$5:$D$44,MATCH(B2985,Harytlar!$A$5:$A$44,0)),""))</f>
        <v/>
      </c>
    </row>
    <row r="2986" spans="1:7" x14ac:dyDescent="0.3">
      <c r="A2986" s="17"/>
      <c r="B2986" s="18"/>
      <c r="C2986" s="18"/>
      <c r="D2986" s="18"/>
      <c r="E2986" s="10" t="str">
        <f>IF(B2986="","",IFERROR(INDEX(Harytlar!$C$5:$C$44,MATCH(B2986,Harytlar!$A$5:$A$44,0)),""))</f>
        <v/>
      </c>
      <c r="F2986" s="10" t="str">
        <f t="shared" si="46"/>
        <v/>
      </c>
      <c r="G2986" s="10" t="str">
        <f>IF(OR(C2986="",B2986=""),"",IFERROR(C2986*INDEX(Harytlar!$D$5:$D$44,MATCH(B2986,Harytlar!$A$5:$A$44,0)),""))</f>
        <v/>
      </c>
    </row>
    <row r="2987" spans="1:7" x14ac:dyDescent="0.3">
      <c r="A2987" s="17"/>
      <c r="B2987" s="18"/>
      <c r="C2987" s="18"/>
      <c r="D2987" s="18"/>
      <c r="E2987" s="10" t="str">
        <f>IF(B2987="","",IFERROR(INDEX(Harytlar!$C$5:$C$44,MATCH(B2987,Harytlar!$A$5:$A$44,0)),""))</f>
        <v/>
      </c>
      <c r="F2987" s="10" t="str">
        <f t="shared" si="46"/>
        <v/>
      </c>
      <c r="G2987" s="10" t="str">
        <f>IF(OR(C2987="",B2987=""),"",IFERROR(C2987*INDEX(Harytlar!$D$5:$D$44,MATCH(B2987,Harytlar!$A$5:$A$44,0)),""))</f>
        <v/>
      </c>
    </row>
    <row r="2988" spans="1:7" x14ac:dyDescent="0.3">
      <c r="A2988" s="17"/>
      <c r="B2988" s="18"/>
      <c r="C2988" s="18"/>
      <c r="D2988" s="18"/>
      <c r="E2988" s="10" t="str">
        <f>IF(B2988="","",IFERROR(INDEX(Harytlar!$C$5:$C$44,MATCH(B2988,Harytlar!$A$5:$A$44,0)),""))</f>
        <v/>
      </c>
      <c r="F2988" s="10" t="str">
        <f t="shared" si="46"/>
        <v/>
      </c>
      <c r="G2988" s="10" t="str">
        <f>IF(OR(C2988="",B2988=""),"",IFERROR(C2988*INDEX(Harytlar!$D$5:$D$44,MATCH(B2988,Harytlar!$A$5:$A$44,0)),""))</f>
        <v/>
      </c>
    </row>
    <row r="2989" spans="1:7" x14ac:dyDescent="0.3">
      <c r="A2989" s="17"/>
      <c r="B2989" s="18"/>
      <c r="C2989" s="18"/>
      <c r="D2989" s="18"/>
      <c r="E2989" s="10" t="str">
        <f>IF(B2989="","",IFERROR(INDEX(Harytlar!$C$5:$C$44,MATCH(B2989,Harytlar!$A$5:$A$44,0)),""))</f>
        <v/>
      </c>
      <c r="F2989" s="10" t="str">
        <f t="shared" si="46"/>
        <v/>
      </c>
      <c r="G2989" s="10" t="str">
        <f>IF(OR(C2989="",B2989=""),"",IFERROR(C2989*INDEX(Harytlar!$D$5:$D$44,MATCH(B2989,Harytlar!$A$5:$A$44,0)),""))</f>
        <v/>
      </c>
    </row>
    <row r="2990" spans="1:7" x14ac:dyDescent="0.3">
      <c r="A2990" s="17"/>
      <c r="B2990" s="18"/>
      <c r="C2990" s="18"/>
      <c r="D2990" s="18"/>
      <c r="E2990" s="10" t="str">
        <f>IF(B2990="","",IFERROR(INDEX(Harytlar!$C$5:$C$44,MATCH(B2990,Harytlar!$A$5:$A$44,0)),""))</f>
        <v/>
      </c>
      <c r="F2990" s="10" t="str">
        <f t="shared" si="46"/>
        <v/>
      </c>
      <c r="G2990" s="10" t="str">
        <f>IF(OR(C2990="",B2990=""),"",IFERROR(C2990*INDEX(Harytlar!$D$5:$D$44,MATCH(B2990,Harytlar!$A$5:$A$44,0)),""))</f>
        <v/>
      </c>
    </row>
    <row r="2991" spans="1:7" x14ac:dyDescent="0.3">
      <c r="A2991" s="17"/>
      <c r="B2991" s="18"/>
      <c r="C2991" s="18"/>
      <c r="D2991" s="18"/>
      <c r="E2991" s="10" t="str">
        <f>IF(B2991="","",IFERROR(INDEX(Harytlar!$C$5:$C$44,MATCH(B2991,Harytlar!$A$5:$A$44,0)),""))</f>
        <v/>
      </c>
      <c r="F2991" s="10" t="str">
        <f t="shared" si="46"/>
        <v/>
      </c>
      <c r="G2991" s="10" t="str">
        <f>IF(OR(C2991="",B2991=""),"",IFERROR(C2991*INDEX(Harytlar!$D$5:$D$44,MATCH(B2991,Harytlar!$A$5:$A$44,0)),""))</f>
        <v/>
      </c>
    </row>
    <row r="2992" spans="1:7" x14ac:dyDescent="0.3">
      <c r="A2992" s="17"/>
      <c r="B2992" s="18"/>
      <c r="C2992" s="18"/>
      <c r="D2992" s="18"/>
      <c r="E2992" s="10" t="str">
        <f>IF(B2992="","",IFERROR(INDEX(Harytlar!$C$5:$C$44,MATCH(B2992,Harytlar!$A$5:$A$44,0)),""))</f>
        <v/>
      </c>
      <c r="F2992" s="10" t="str">
        <f t="shared" si="46"/>
        <v/>
      </c>
      <c r="G2992" s="10" t="str">
        <f>IF(OR(C2992="",B2992=""),"",IFERROR(C2992*INDEX(Harytlar!$D$5:$D$44,MATCH(B2992,Harytlar!$A$5:$A$44,0)),""))</f>
        <v/>
      </c>
    </row>
    <row r="2993" spans="1:7" x14ac:dyDescent="0.3">
      <c r="A2993" s="17"/>
      <c r="B2993" s="18"/>
      <c r="C2993" s="18"/>
      <c r="D2993" s="18"/>
      <c r="E2993" s="10" t="str">
        <f>IF(B2993="","",IFERROR(INDEX(Harytlar!$C$5:$C$44,MATCH(B2993,Harytlar!$A$5:$A$44,0)),""))</f>
        <v/>
      </c>
      <c r="F2993" s="10" t="str">
        <f t="shared" si="46"/>
        <v/>
      </c>
      <c r="G2993" s="10" t="str">
        <f>IF(OR(C2993="",B2993=""),"",IFERROR(C2993*INDEX(Harytlar!$D$5:$D$44,MATCH(B2993,Harytlar!$A$5:$A$44,0)),""))</f>
        <v/>
      </c>
    </row>
    <row r="2994" spans="1:7" x14ac:dyDescent="0.3">
      <c r="A2994" s="17"/>
      <c r="B2994" s="18"/>
      <c r="C2994" s="18"/>
      <c r="D2994" s="18"/>
      <c r="E2994" s="10" t="str">
        <f>IF(B2994="","",IFERROR(INDEX(Harytlar!$C$5:$C$44,MATCH(B2994,Harytlar!$A$5:$A$44,0)),""))</f>
        <v/>
      </c>
      <c r="F2994" s="10" t="str">
        <f t="shared" si="46"/>
        <v/>
      </c>
      <c r="G2994" s="10" t="str">
        <f>IF(OR(C2994="",B2994=""),"",IFERROR(C2994*INDEX(Harytlar!$D$5:$D$44,MATCH(B2994,Harytlar!$A$5:$A$44,0)),""))</f>
        <v/>
      </c>
    </row>
    <row r="2995" spans="1:7" x14ac:dyDescent="0.3">
      <c r="A2995" s="17"/>
      <c r="B2995" s="18"/>
      <c r="C2995" s="18"/>
      <c r="D2995" s="18"/>
      <c r="E2995" s="10" t="str">
        <f>IF(B2995="","",IFERROR(INDEX(Harytlar!$C$5:$C$44,MATCH(B2995,Harytlar!$A$5:$A$44,0)),""))</f>
        <v/>
      </c>
      <c r="F2995" s="10" t="str">
        <f t="shared" si="46"/>
        <v/>
      </c>
      <c r="G2995" s="10" t="str">
        <f>IF(OR(C2995="",B2995=""),"",IFERROR(C2995*INDEX(Harytlar!$D$5:$D$44,MATCH(B2995,Harytlar!$A$5:$A$44,0)),""))</f>
        <v/>
      </c>
    </row>
    <row r="2996" spans="1:7" x14ac:dyDescent="0.3">
      <c r="A2996" s="17"/>
      <c r="B2996" s="18"/>
      <c r="C2996" s="18"/>
      <c r="D2996" s="18"/>
      <c r="E2996" s="10" t="str">
        <f>IF(B2996="","",IFERROR(INDEX(Harytlar!$C$5:$C$44,MATCH(B2996,Harytlar!$A$5:$A$44,0)),""))</f>
        <v/>
      </c>
      <c r="F2996" s="10" t="str">
        <f t="shared" si="46"/>
        <v/>
      </c>
      <c r="G2996" s="10" t="str">
        <f>IF(OR(C2996="",B2996=""),"",IFERROR(C2996*INDEX(Harytlar!$D$5:$D$44,MATCH(B2996,Harytlar!$A$5:$A$44,0)),""))</f>
        <v/>
      </c>
    </row>
    <row r="2997" spans="1:7" x14ac:dyDescent="0.3">
      <c r="A2997" s="17"/>
      <c r="B2997" s="18"/>
      <c r="C2997" s="18"/>
      <c r="D2997" s="18"/>
      <c r="E2997" s="10" t="str">
        <f>IF(B2997="","",IFERROR(INDEX(Harytlar!$C$5:$C$44,MATCH(B2997,Harytlar!$A$5:$A$44,0)),""))</f>
        <v/>
      </c>
      <c r="F2997" s="10" t="str">
        <f t="shared" si="46"/>
        <v/>
      </c>
      <c r="G2997" s="10" t="str">
        <f>IF(OR(C2997="",B2997=""),"",IFERROR(C2997*INDEX(Harytlar!$D$5:$D$44,MATCH(B2997,Harytlar!$A$5:$A$44,0)),""))</f>
        <v/>
      </c>
    </row>
    <row r="2998" spans="1:7" x14ac:dyDescent="0.3">
      <c r="A2998" s="17"/>
      <c r="B2998" s="18"/>
      <c r="C2998" s="18"/>
      <c r="D2998" s="18"/>
      <c r="E2998" s="10" t="str">
        <f>IF(B2998="","",IFERROR(INDEX(Harytlar!$C$5:$C$44,MATCH(B2998,Harytlar!$A$5:$A$44,0)),""))</f>
        <v/>
      </c>
      <c r="F2998" s="10" t="str">
        <f t="shared" si="46"/>
        <v/>
      </c>
      <c r="G2998" s="10" t="str">
        <f>IF(OR(C2998="",B2998=""),"",IFERROR(C2998*INDEX(Harytlar!$D$5:$D$44,MATCH(B2998,Harytlar!$A$5:$A$44,0)),""))</f>
        <v/>
      </c>
    </row>
    <row r="2999" spans="1:7" x14ac:dyDescent="0.3">
      <c r="A2999" s="17"/>
      <c r="B2999" s="18"/>
      <c r="C2999" s="18"/>
      <c r="D2999" s="18"/>
      <c r="E2999" s="10" t="str">
        <f>IF(B2999="","",IFERROR(INDEX(Harytlar!$C$5:$C$44,MATCH(B2999,Harytlar!$A$5:$A$44,0)),""))</f>
        <v/>
      </c>
      <c r="F2999" s="10" t="str">
        <f t="shared" si="46"/>
        <v/>
      </c>
      <c r="G2999" s="10" t="str">
        <f>IF(OR(C2999="",B2999=""),"",IFERROR(C2999*INDEX(Harytlar!$D$5:$D$44,MATCH(B2999,Harytlar!$A$5:$A$44,0)),""))</f>
        <v/>
      </c>
    </row>
    <row r="3000" spans="1:7" x14ac:dyDescent="0.3">
      <c r="A3000" s="17"/>
      <c r="B3000" s="18"/>
      <c r="C3000" s="18"/>
      <c r="D3000" s="18"/>
      <c r="E3000" s="10" t="str">
        <f>IF(B3000="","",IFERROR(INDEX(Harytlar!$C$5:$C$44,MATCH(B3000,Harytlar!$A$5:$A$44,0)),""))</f>
        <v/>
      </c>
      <c r="F3000" s="10" t="str">
        <f t="shared" si="46"/>
        <v/>
      </c>
      <c r="G3000" s="10" t="str">
        <f>IF(OR(C3000="",B3000=""),"",IFERROR(C3000*INDEX(Harytlar!$D$5:$D$44,MATCH(B3000,Harytlar!$A$5:$A$44,0)),""))</f>
        <v/>
      </c>
    </row>
    <row r="3001" spans="1:7" x14ac:dyDescent="0.3">
      <c r="A3001" s="17"/>
      <c r="B3001" s="18"/>
      <c r="C3001" s="18"/>
      <c r="D3001" s="18"/>
      <c r="E3001" s="10" t="str">
        <f>IF(B3001="","",IFERROR(INDEX(Harytlar!$C$5:$C$44,MATCH(B3001,Harytlar!$A$5:$A$44,0)),""))</f>
        <v/>
      </c>
      <c r="F3001" s="10" t="str">
        <f t="shared" si="46"/>
        <v/>
      </c>
      <c r="G3001" s="10" t="str">
        <f>IF(OR(C3001="",B3001=""),"",IFERROR(C3001*INDEX(Harytlar!$D$5:$D$44,MATCH(B3001,Harytlar!$A$5:$A$44,0)),""))</f>
        <v/>
      </c>
    </row>
    <row r="3002" spans="1:7" x14ac:dyDescent="0.3">
      <c r="A3002" s="17"/>
      <c r="B3002" s="18"/>
      <c r="C3002" s="18"/>
      <c r="D3002" s="18"/>
      <c r="E3002" s="10" t="str">
        <f>IF(B3002="","",IFERROR(INDEX(Harytlar!$C$5:$C$44,MATCH(B3002,Harytlar!$A$5:$A$44,0)),""))</f>
        <v/>
      </c>
      <c r="F3002" s="10" t="str">
        <f t="shared" si="46"/>
        <v/>
      </c>
      <c r="G3002" s="10" t="str">
        <f>IF(OR(C3002="",B3002=""),"",IFERROR(C3002*INDEX(Harytlar!$D$5:$D$44,MATCH(B3002,Harytlar!$A$5:$A$44,0)),""))</f>
        <v/>
      </c>
    </row>
    <row r="3003" spans="1:7" x14ac:dyDescent="0.3">
      <c r="A3003" s="17"/>
      <c r="B3003" s="18"/>
      <c r="C3003" s="18"/>
      <c r="D3003" s="18"/>
      <c r="E3003" s="10" t="str">
        <f>IF(B3003="","",IFERROR(INDEX(Harytlar!$C$5:$C$44,MATCH(B3003,Harytlar!$A$5:$A$44,0)),""))</f>
        <v/>
      </c>
      <c r="F3003" s="10" t="str">
        <f t="shared" si="46"/>
        <v/>
      </c>
      <c r="G3003" s="10" t="str">
        <f>IF(OR(C3003="",B3003=""),"",IFERROR(C3003*INDEX(Harytlar!$D$5:$D$44,MATCH(B3003,Harytlar!$A$5:$A$44,0)),""))</f>
        <v/>
      </c>
    </row>
    <row r="3004" spans="1:7" x14ac:dyDescent="0.3">
      <c r="A3004" s="17"/>
      <c r="B3004" s="18"/>
      <c r="C3004" s="18"/>
      <c r="D3004" s="18"/>
      <c r="E3004" s="10" t="str">
        <f>IF(B3004="","",IFERROR(INDEX(Harytlar!$C$5:$C$44,MATCH(B3004,Harytlar!$A$5:$A$44,0)),""))</f>
        <v/>
      </c>
      <c r="F3004" s="10" t="str">
        <f t="shared" si="46"/>
        <v/>
      </c>
      <c r="G3004" s="10" t="str">
        <f>IF(OR(C3004="",B3004=""),"",IFERROR(C3004*INDEX(Harytlar!$D$5:$D$44,MATCH(B3004,Harytlar!$A$5:$A$44,0)),""))</f>
        <v/>
      </c>
    </row>
    <row r="3005" spans="1:7" x14ac:dyDescent="0.3">
      <c r="A3005" s="17"/>
      <c r="B3005" s="18"/>
      <c r="C3005" s="18"/>
      <c r="D3005" s="18"/>
      <c r="E3005" s="10" t="str">
        <f>IF(B3005="","",IFERROR(INDEX(Harytlar!$C$5:$C$44,MATCH(B3005,Harytlar!$A$5:$A$44,0)),""))</f>
        <v/>
      </c>
      <c r="F3005" s="10" t="str">
        <f t="shared" si="46"/>
        <v/>
      </c>
      <c r="G3005" s="10" t="str">
        <f>IF(OR(C3005="",B3005=""),"",IFERROR(C3005*INDEX(Harytlar!$D$5:$D$44,MATCH(B3005,Harytlar!$A$5:$A$44,0)),""))</f>
        <v/>
      </c>
    </row>
    <row r="3006" spans="1:7" x14ac:dyDescent="0.3">
      <c r="A3006" s="17"/>
      <c r="B3006" s="18"/>
      <c r="C3006" s="18"/>
      <c r="D3006" s="18"/>
      <c r="E3006" s="10" t="str">
        <f>IF(B3006="","",IFERROR(INDEX(Harytlar!$C$5:$C$44,MATCH(B3006,Harytlar!$A$5:$A$44,0)),""))</f>
        <v/>
      </c>
      <c r="F3006" s="10" t="str">
        <f t="shared" si="46"/>
        <v/>
      </c>
      <c r="G3006" s="10" t="str">
        <f>IF(OR(C3006="",B3006=""),"",IFERROR(C3006*INDEX(Harytlar!$D$5:$D$44,MATCH(B3006,Harytlar!$A$5:$A$44,0)),""))</f>
        <v/>
      </c>
    </row>
    <row r="3007" spans="1:7" x14ac:dyDescent="0.3">
      <c r="A3007" s="17"/>
      <c r="B3007" s="18"/>
      <c r="C3007" s="18"/>
      <c r="D3007" s="18"/>
      <c r="E3007" s="10" t="str">
        <f>IF(B3007="","",IFERROR(INDEX(Harytlar!$C$5:$C$44,MATCH(B3007,Harytlar!$A$5:$A$44,0)),""))</f>
        <v/>
      </c>
      <c r="F3007" s="10" t="str">
        <f t="shared" si="46"/>
        <v/>
      </c>
      <c r="G3007" s="10" t="str">
        <f>IF(OR(C3007="",B3007=""),"",IFERROR(C3007*INDEX(Harytlar!$D$5:$D$44,MATCH(B3007,Harytlar!$A$5:$A$44,0)),""))</f>
        <v/>
      </c>
    </row>
    <row r="3008" spans="1:7" x14ac:dyDescent="0.3">
      <c r="A3008" s="17"/>
      <c r="B3008" s="18"/>
      <c r="C3008" s="18"/>
      <c r="D3008" s="18"/>
      <c r="E3008" s="10" t="str">
        <f>IF(B3008="","",IFERROR(INDEX(Harytlar!$C$5:$C$44,MATCH(B3008,Harytlar!$A$5:$A$44,0)),""))</f>
        <v/>
      </c>
      <c r="F3008" s="10" t="str">
        <f t="shared" si="46"/>
        <v/>
      </c>
      <c r="G3008" s="10" t="str">
        <f>IF(OR(C3008="",B3008=""),"",IFERROR(C3008*INDEX(Harytlar!$D$5:$D$44,MATCH(B3008,Harytlar!$A$5:$A$44,0)),""))</f>
        <v/>
      </c>
    </row>
    <row r="3009" spans="1:7" x14ac:dyDescent="0.3">
      <c r="A3009" s="17"/>
      <c r="B3009" s="18"/>
      <c r="C3009" s="18"/>
      <c r="D3009" s="18"/>
      <c r="E3009" s="10" t="str">
        <f>IF(B3009="","",IFERROR(INDEX(Harytlar!$C$5:$C$44,MATCH(B3009,Harytlar!$A$5:$A$44,0)),""))</f>
        <v/>
      </c>
      <c r="F3009" s="10" t="str">
        <f t="shared" si="46"/>
        <v/>
      </c>
      <c r="G3009" s="10" t="str">
        <f>IF(OR(C3009="",B3009=""),"",IFERROR(C3009*INDEX(Harytlar!$D$5:$D$44,MATCH(B3009,Harytlar!$A$5:$A$44,0)),""))</f>
        <v/>
      </c>
    </row>
    <row r="3010" spans="1:7" x14ac:dyDescent="0.3">
      <c r="A3010" s="17"/>
      <c r="B3010" s="18"/>
      <c r="C3010" s="18"/>
      <c r="D3010" s="18"/>
      <c r="E3010" s="10" t="str">
        <f>IF(B3010="","",IFERROR(INDEX(Harytlar!$C$5:$C$44,MATCH(B3010,Harytlar!$A$5:$A$44,0)),""))</f>
        <v/>
      </c>
      <c r="F3010" s="10" t="str">
        <f t="shared" si="46"/>
        <v/>
      </c>
      <c r="G3010" s="10" t="str">
        <f>IF(OR(C3010="",B3010=""),"",IFERROR(C3010*INDEX(Harytlar!$D$5:$D$44,MATCH(B3010,Harytlar!$A$5:$A$44,0)),""))</f>
        <v/>
      </c>
    </row>
    <row r="3011" spans="1:7" x14ac:dyDescent="0.3">
      <c r="A3011" s="17"/>
      <c r="B3011" s="18"/>
      <c r="C3011" s="18"/>
      <c r="D3011" s="18"/>
      <c r="E3011" s="10" t="str">
        <f>IF(B3011="","",IFERROR(INDEX(Harytlar!$C$5:$C$44,MATCH(B3011,Harytlar!$A$5:$A$44,0)),""))</f>
        <v/>
      </c>
      <c r="F3011" s="10" t="str">
        <f t="shared" si="46"/>
        <v/>
      </c>
      <c r="G3011" s="10" t="str">
        <f>IF(OR(C3011="",B3011=""),"",IFERROR(C3011*INDEX(Harytlar!$D$5:$D$44,MATCH(B3011,Harytlar!$A$5:$A$44,0)),""))</f>
        <v/>
      </c>
    </row>
    <row r="3012" spans="1:7" x14ac:dyDescent="0.3">
      <c r="A3012" s="17"/>
      <c r="B3012" s="18"/>
      <c r="C3012" s="18"/>
      <c r="D3012" s="18"/>
      <c r="E3012" s="10" t="str">
        <f>IF(B3012="","",IFERROR(INDEX(Harytlar!$C$5:$C$44,MATCH(B3012,Harytlar!$A$5:$A$44,0)),""))</f>
        <v/>
      </c>
      <c r="F3012" s="10" t="str">
        <f t="shared" si="46"/>
        <v/>
      </c>
      <c r="G3012" s="10" t="str">
        <f>IF(OR(C3012="",B3012=""),"",IFERROR(C3012*INDEX(Harytlar!$D$5:$D$44,MATCH(B3012,Harytlar!$A$5:$A$44,0)),""))</f>
        <v/>
      </c>
    </row>
    <row r="3013" spans="1:7" x14ac:dyDescent="0.3">
      <c r="A3013" s="17"/>
      <c r="B3013" s="18"/>
      <c r="C3013" s="18"/>
      <c r="D3013" s="18"/>
      <c r="E3013" s="10" t="str">
        <f>IF(B3013="","",IFERROR(INDEX(Harytlar!$C$5:$C$44,MATCH(B3013,Harytlar!$A$5:$A$44,0)),""))</f>
        <v/>
      </c>
      <c r="F3013" s="10" t="str">
        <f t="shared" si="46"/>
        <v/>
      </c>
      <c r="G3013" s="10" t="str">
        <f>IF(OR(C3013="",B3013=""),"",IFERROR(C3013*INDEX(Harytlar!$D$5:$D$44,MATCH(B3013,Harytlar!$A$5:$A$44,0)),""))</f>
        <v/>
      </c>
    </row>
    <row r="3014" spans="1:7" x14ac:dyDescent="0.3">
      <c r="A3014" s="17"/>
      <c r="B3014" s="18"/>
      <c r="C3014" s="18"/>
      <c r="D3014" s="18"/>
      <c r="E3014" s="10" t="str">
        <f>IF(B3014="","",IFERROR(INDEX(Harytlar!$C$5:$C$44,MATCH(B3014,Harytlar!$A$5:$A$44,0)),""))</f>
        <v/>
      </c>
      <c r="F3014" s="10" t="str">
        <f t="shared" ref="F3014:F3077" si="47">IF(OR(C3014="",E3014=""),"",C3014*E3014)</f>
        <v/>
      </c>
      <c r="G3014" s="10" t="str">
        <f>IF(OR(C3014="",B3014=""),"",IFERROR(C3014*INDEX(Harytlar!$D$5:$D$44,MATCH(B3014,Harytlar!$A$5:$A$44,0)),""))</f>
        <v/>
      </c>
    </row>
    <row r="3015" spans="1:7" x14ac:dyDescent="0.3">
      <c r="A3015" s="17"/>
      <c r="B3015" s="18"/>
      <c r="C3015" s="18"/>
      <c r="D3015" s="18"/>
      <c r="E3015" s="10" t="str">
        <f>IF(B3015="","",IFERROR(INDEX(Harytlar!$C$5:$C$44,MATCH(B3015,Harytlar!$A$5:$A$44,0)),""))</f>
        <v/>
      </c>
      <c r="F3015" s="10" t="str">
        <f t="shared" si="47"/>
        <v/>
      </c>
      <c r="G3015" s="10" t="str">
        <f>IF(OR(C3015="",B3015=""),"",IFERROR(C3015*INDEX(Harytlar!$D$5:$D$44,MATCH(B3015,Harytlar!$A$5:$A$44,0)),""))</f>
        <v/>
      </c>
    </row>
    <row r="3016" spans="1:7" x14ac:dyDescent="0.3">
      <c r="A3016" s="17"/>
      <c r="B3016" s="18"/>
      <c r="C3016" s="18"/>
      <c r="D3016" s="18"/>
      <c r="E3016" s="10" t="str">
        <f>IF(B3016="","",IFERROR(INDEX(Harytlar!$C$5:$C$44,MATCH(B3016,Harytlar!$A$5:$A$44,0)),""))</f>
        <v/>
      </c>
      <c r="F3016" s="10" t="str">
        <f t="shared" si="47"/>
        <v/>
      </c>
      <c r="G3016" s="10" t="str">
        <f>IF(OR(C3016="",B3016=""),"",IFERROR(C3016*INDEX(Harytlar!$D$5:$D$44,MATCH(B3016,Harytlar!$A$5:$A$44,0)),""))</f>
        <v/>
      </c>
    </row>
    <row r="3017" spans="1:7" x14ac:dyDescent="0.3">
      <c r="A3017" s="17"/>
      <c r="B3017" s="18"/>
      <c r="C3017" s="18"/>
      <c r="D3017" s="18"/>
      <c r="E3017" s="10" t="str">
        <f>IF(B3017="","",IFERROR(INDEX(Harytlar!$C$5:$C$44,MATCH(B3017,Harytlar!$A$5:$A$44,0)),""))</f>
        <v/>
      </c>
      <c r="F3017" s="10" t="str">
        <f t="shared" si="47"/>
        <v/>
      </c>
      <c r="G3017" s="10" t="str">
        <f>IF(OR(C3017="",B3017=""),"",IFERROR(C3017*INDEX(Harytlar!$D$5:$D$44,MATCH(B3017,Harytlar!$A$5:$A$44,0)),""))</f>
        <v/>
      </c>
    </row>
    <row r="3018" spans="1:7" x14ac:dyDescent="0.3">
      <c r="A3018" s="17"/>
      <c r="B3018" s="18"/>
      <c r="C3018" s="18"/>
      <c r="D3018" s="18"/>
      <c r="E3018" s="10" t="str">
        <f>IF(B3018="","",IFERROR(INDEX(Harytlar!$C$5:$C$44,MATCH(B3018,Harytlar!$A$5:$A$44,0)),""))</f>
        <v/>
      </c>
      <c r="F3018" s="10" t="str">
        <f t="shared" si="47"/>
        <v/>
      </c>
      <c r="G3018" s="10" t="str">
        <f>IF(OR(C3018="",B3018=""),"",IFERROR(C3018*INDEX(Harytlar!$D$5:$D$44,MATCH(B3018,Harytlar!$A$5:$A$44,0)),""))</f>
        <v/>
      </c>
    </row>
    <row r="3019" spans="1:7" x14ac:dyDescent="0.3">
      <c r="A3019" s="17"/>
      <c r="B3019" s="18"/>
      <c r="C3019" s="18"/>
      <c r="D3019" s="18"/>
      <c r="E3019" s="10" t="str">
        <f>IF(B3019="","",IFERROR(INDEX(Harytlar!$C$5:$C$44,MATCH(B3019,Harytlar!$A$5:$A$44,0)),""))</f>
        <v/>
      </c>
      <c r="F3019" s="10" t="str">
        <f t="shared" si="47"/>
        <v/>
      </c>
      <c r="G3019" s="10" t="str">
        <f>IF(OR(C3019="",B3019=""),"",IFERROR(C3019*INDEX(Harytlar!$D$5:$D$44,MATCH(B3019,Harytlar!$A$5:$A$44,0)),""))</f>
        <v/>
      </c>
    </row>
    <row r="3020" spans="1:7" x14ac:dyDescent="0.3">
      <c r="A3020" s="17"/>
      <c r="B3020" s="18"/>
      <c r="C3020" s="18"/>
      <c r="D3020" s="18"/>
      <c r="E3020" s="10" t="str">
        <f>IF(B3020="","",IFERROR(INDEX(Harytlar!$C$5:$C$44,MATCH(B3020,Harytlar!$A$5:$A$44,0)),""))</f>
        <v/>
      </c>
      <c r="F3020" s="10" t="str">
        <f t="shared" si="47"/>
        <v/>
      </c>
      <c r="G3020" s="10" t="str">
        <f>IF(OR(C3020="",B3020=""),"",IFERROR(C3020*INDEX(Harytlar!$D$5:$D$44,MATCH(B3020,Harytlar!$A$5:$A$44,0)),""))</f>
        <v/>
      </c>
    </row>
    <row r="3021" spans="1:7" x14ac:dyDescent="0.3">
      <c r="A3021" s="17"/>
      <c r="B3021" s="18"/>
      <c r="C3021" s="18"/>
      <c r="D3021" s="18"/>
      <c r="E3021" s="10" t="str">
        <f>IF(B3021="","",IFERROR(INDEX(Harytlar!$C$5:$C$44,MATCH(B3021,Harytlar!$A$5:$A$44,0)),""))</f>
        <v/>
      </c>
      <c r="F3021" s="10" t="str">
        <f t="shared" si="47"/>
        <v/>
      </c>
      <c r="G3021" s="10" t="str">
        <f>IF(OR(C3021="",B3021=""),"",IFERROR(C3021*INDEX(Harytlar!$D$5:$D$44,MATCH(B3021,Harytlar!$A$5:$A$44,0)),""))</f>
        <v/>
      </c>
    </row>
    <row r="3022" spans="1:7" x14ac:dyDescent="0.3">
      <c r="A3022" s="17"/>
      <c r="B3022" s="18"/>
      <c r="C3022" s="18"/>
      <c r="D3022" s="18"/>
      <c r="E3022" s="10" t="str">
        <f>IF(B3022="","",IFERROR(INDEX(Harytlar!$C$5:$C$44,MATCH(B3022,Harytlar!$A$5:$A$44,0)),""))</f>
        <v/>
      </c>
      <c r="F3022" s="10" t="str">
        <f t="shared" si="47"/>
        <v/>
      </c>
      <c r="G3022" s="10" t="str">
        <f>IF(OR(C3022="",B3022=""),"",IFERROR(C3022*INDEX(Harytlar!$D$5:$D$44,MATCH(B3022,Harytlar!$A$5:$A$44,0)),""))</f>
        <v/>
      </c>
    </row>
    <row r="3023" spans="1:7" x14ac:dyDescent="0.3">
      <c r="A3023" s="17"/>
      <c r="B3023" s="18"/>
      <c r="C3023" s="18"/>
      <c r="D3023" s="18"/>
      <c r="E3023" s="10" t="str">
        <f>IF(B3023="","",IFERROR(INDEX(Harytlar!$C$5:$C$44,MATCH(B3023,Harytlar!$A$5:$A$44,0)),""))</f>
        <v/>
      </c>
      <c r="F3023" s="10" t="str">
        <f t="shared" si="47"/>
        <v/>
      </c>
      <c r="G3023" s="10" t="str">
        <f>IF(OR(C3023="",B3023=""),"",IFERROR(C3023*INDEX(Harytlar!$D$5:$D$44,MATCH(B3023,Harytlar!$A$5:$A$44,0)),""))</f>
        <v/>
      </c>
    </row>
    <row r="3024" spans="1:7" x14ac:dyDescent="0.3">
      <c r="A3024" s="17"/>
      <c r="B3024" s="18"/>
      <c r="C3024" s="18"/>
      <c r="D3024" s="18"/>
      <c r="E3024" s="10" t="str">
        <f>IF(B3024="","",IFERROR(INDEX(Harytlar!$C$5:$C$44,MATCH(B3024,Harytlar!$A$5:$A$44,0)),""))</f>
        <v/>
      </c>
      <c r="F3024" s="10" t="str">
        <f t="shared" si="47"/>
        <v/>
      </c>
      <c r="G3024" s="10" t="str">
        <f>IF(OR(C3024="",B3024=""),"",IFERROR(C3024*INDEX(Harytlar!$D$5:$D$44,MATCH(B3024,Harytlar!$A$5:$A$44,0)),""))</f>
        <v/>
      </c>
    </row>
    <row r="3025" spans="1:7" x14ac:dyDescent="0.3">
      <c r="A3025" s="17"/>
      <c r="B3025" s="18"/>
      <c r="C3025" s="18"/>
      <c r="D3025" s="18"/>
      <c r="E3025" s="10" t="str">
        <f>IF(B3025="","",IFERROR(INDEX(Harytlar!$C$5:$C$44,MATCH(B3025,Harytlar!$A$5:$A$44,0)),""))</f>
        <v/>
      </c>
      <c r="F3025" s="10" t="str">
        <f t="shared" si="47"/>
        <v/>
      </c>
      <c r="G3025" s="10" t="str">
        <f>IF(OR(C3025="",B3025=""),"",IFERROR(C3025*INDEX(Harytlar!$D$5:$D$44,MATCH(B3025,Harytlar!$A$5:$A$44,0)),""))</f>
        <v/>
      </c>
    </row>
    <row r="3026" spans="1:7" x14ac:dyDescent="0.3">
      <c r="A3026" s="17"/>
      <c r="B3026" s="18"/>
      <c r="C3026" s="18"/>
      <c r="D3026" s="18"/>
      <c r="E3026" s="10" t="str">
        <f>IF(B3026="","",IFERROR(INDEX(Harytlar!$C$5:$C$44,MATCH(B3026,Harytlar!$A$5:$A$44,0)),""))</f>
        <v/>
      </c>
      <c r="F3026" s="10" t="str">
        <f t="shared" si="47"/>
        <v/>
      </c>
      <c r="G3026" s="10" t="str">
        <f>IF(OR(C3026="",B3026=""),"",IFERROR(C3026*INDEX(Harytlar!$D$5:$D$44,MATCH(B3026,Harytlar!$A$5:$A$44,0)),""))</f>
        <v/>
      </c>
    </row>
    <row r="3027" spans="1:7" x14ac:dyDescent="0.3">
      <c r="A3027" s="17"/>
      <c r="B3027" s="18"/>
      <c r="C3027" s="18"/>
      <c r="D3027" s="18"/>
      <c r="E3027" s="10" t="str">
        <f>IF(B3027="","",IFERROR(INDEX(Harytlar!$C$5:$C$44,MATCH(B3027,Harytlar!$A$5:$A$44,0)),""))</f>
        <v/>
      </c>
      <c r="F3027" s="10" t="str">
        <f t="shared" si="47"/>
        <v/>
      </c>
      <c r="G3027" s="10" t="str">
        <f>IF(OR(C3027="",B3027=""),"",IFERROR(C3027*INDEX(Harytlar!$D$5:$D$44,MATCH(B3027,Harytlar!$A$5:$A$44,0)),""))</f>
        <v/>
      </c>
    </row>
    <row r="3028" spans="1:7" x14ac:dyDescent="0.3">
      <c r="A3028" s="17"/>
      <c r="B3028" s="18"/>
      <c r="C3028" s="18"/>
      <c r="D3028" s="18"/>
      <c r="E3028" s="10" t="str">
        <f>IF(B3028="","",IFERROR(INDEX(Harytlar!$C$5:$C$44,MATCH(B3028,Harytlar!$A$5:$A$44,0)),""))</f>
        <v/>
      </c>
      <c r="F3028" s="10" t="str">
        <f t="shared" si="47"/>
        <v/>
      </c>
      <c r="G3028" s="10" t="str">
        <f>IF(OR(C3028="",B3028=""),"",IFERROR(C3028*INDEX(Harytlar!$D$5:$D$44,MATCH(B3028,Harytlar!$A$5:$A$44,0)),""))</f>
        <v/>
      </c>
    </row>
    <row r="3029" spans="1:7" x14ac:dyDescent="0.3">
      <c r="A3029" s="17"/>
      <c r="B3029" s="18"/>
      <c r="C3029" s="18"/>
      <c r="D3029" s="18"/>
      <c r="E3029" s="10" t="str">
        <f>IF(B3029="","",IFERROR(INDEX(Harytlar!$C$5:$C$44,MATCH(B3029,Harytlar!$A$5:$A$44,0)),""))</f>
        <v/>
      </c>
      <c r="F3029" s="10" t="str">
        <f t="shared" si="47"/>
        <v/>
      </c>
      <c r="G3029" s="10" t="str">
        <f>IF(OR(C3029="",B3029=""),"",IFERROR(C3029*INDEX(Harytlar!$D$5:$D$44,MATCH(B3029,Harytlar!$A$5:$A$44,0)),""))</f>
        <v/>
      </c>
    </row>
    <row r="3030" spans="1:7" x14ac:dyDescent="0.3">
      <c r="A3030" s="17"/>
      <c r="B3030" s="18"/>
      <c r="C3030" s="18"/>
      <c r="D3030" s="18"/>
      <c r="E3030" s="10" t="str">
        <f>IF(B3030="","",IFERROR(INDEX(Harytlar!$C$5:$C$44,MATCH(B3030,Harytlar!$A$5:$A$44,0)),""))</f>
        <v/>
      </c>
      <c r="F3030" s="10" t="str">
        <f t="shared" si="47"/>
        <v/>
      </c>
      <c r="G3030" s="10" t="str">
        <f>IF(OR(C3030="",B3030=""),"",IFERROR(C3030*INDEX(Harytlar!$D$5:$D$44,MATCH(B3030,Harytlar!$A$5:$A$44,0)),""))</f>
        <v/>
      </c>
    </row>
    <row r="3031" spans="1:7" x14ac:dyDescent="0.3">
      <c r="A3031" s="17"/>
      <c r="B3031" s="18"/>
      <c r="C3031" s="18"/>
      <c r="D3031" s="18"/>
      <c r="E3031" s="10" t="str">
        <f>IF(B3031="","",IFERROR(INDEX(Harytlar!$C$5:$C$44,MATCH(B3031,Harytlar!$A$5:$A$44,0)),""))</f>
        <v/>
      </c>
      <c r="F3031" s="10" t="str">
        <f t="shared" si="47"/>
        <v/>
      </c>
      <c r="G3031" s="10" t="str">
        <f>IF(OR(C3031="",B3031=""),"",IFERROR(C3031*INDEX(Harytlar!$D$5:$D$44,MATCH(B3031,Harytlar!$A$5:$A$44,0)),""))</f>
        <v/>
      </c>
    </row>
    <row r="3032" spans="1:7" x14ac:dyDescent="0.3">
      <c r="A3032" s="17"/>
      <c r="B3032" s="18"/>
      <c r="C3032" s="18"/>
      <c r="D3032" s="18"/>
      <c r="E3032" s="10" t="str">
        <f>IF(B3032="","",IFERROR(INDEX(Harytlar!$C$5:$C$44,MATCH(B3032,Harytlar!$A$5:$A$44,0)),""))</f>
        <v/>
      </c>
      <c r="F3032" s="10" t="str">
        <f t="shared" si="47"/>
        <v/>
      </c>
      <c r="G3032" s="10" t="str">
        <f>IF(OR(C3032="",B3032=""),"",IFERROR(C3032*INDEX(Harytlar!$D$5:$D$44,MATCH(B3032,Harytlar!$A$5:$A$44,0)),""))</f>
        <v/>
      </c>
    </row>
    <row r="3033" spans="1:7" x14ac:dyDescent="0.3">
      <c r="A3033" s="17"/>
      <c r="B3033" s="18"/>
      <c r="C3033" s="18"/>
      <c r="D3033" s="18"/>
      <c r="E3033" s="10" t="str">
        <f>IF(B3033="","",IFERROR(INDEX(Harytlar!$C$5:$C$44,MATCH(B3033,Harytlar!$A$5:$A$44,0)),""))</f>
        <v/>
      </c>
      <c r="F3033" s="10" t="str">
        <f t="shared" si="47"/>
        <v/>
      </c>
      <c r="G3033" s="10" t="str">
        <f>IF(OR(C3033="",B3033=""),"",IFERROR(C3033*INDEX(Harytlar!$D$5:$D$44,MATCH(B3033,Harytlar!$A$5:$A$44,0)),""))</f>
        <v/>
      </c>
    </row>
    <row r="3034" spans="1:7" x14ac:dyDescent="0.3">
      <c r="A3034" s="17"/>
      <c r="B3034" s="18"/>
      <c r="C3034" s="18"/>
      <c r="D3034" s="18"/>
      <c r="E3034" s="10" t="str">
        <f>IF(B3034="","",IFERROR(INDEX(Harytlar!$C$5:$C$44,MATCH(B3034,Harytlar!$A$5:$A$44,0)),""))</f>
        <v/>
      </c>
      <c r="F3034" s="10" t="str">
        <f t="shared" si="47"/>
        <v/>
      </c>
      <c r="G3034" s="10" t="str">
        <f>IF(OR(C3034="",B3034=""),"",IFERROR(C3034*INDEX(Harytlar!$D$5:$D$44,MATCH(B3034,Harytlar!$A$5:$A$44,0)),""))</f>
        <v/>
      </c>
    </row>
    <row r="3035" spans="1:7" x14ac:dyDescent="0.3">
      <c r="A3035" s="17"/>
      <c r="B3035" s="18"/>
      <c r="C3035" s="18"/>
      <c r="D3035" s="18"/>
      <c r="E3035" s="10" t="str">
        <f>IF(B3035="","",IFERROR(INDEX(Harytlar!$C$5:$C$44,MATCH(B3035,Harytlar!$A$5:$A$44,0)),""))</f>
        <v/>
      </c>
      <c r="F3035" s="10" t="str">
        <f t="shared" si="47"/>
        <v/>
      </c>
      <c r="G3035" s="10" t="str">
        <f>IF(OR(C3035="",B3035=""),"",IFERROR(C3035*INDEX(Harytlar!$D$5:$D$44,MATCH(B3035,Harytlar!$A$5:$A$44,0)),""))</f>
        <v/>
      </c>
    </row>
    <row r="3036" spans="1:7" x14ac:dyDescent="0.3">
      <c r="A3036" s="17"/>
      <c r="B3036" s="18"/>
      <c r="C3036" s="18"/>
      <c r="D3036" s="18"/>
      <c r="E3036" s="10" t="str">
        <f>IF(B3036="","",IFERROR(INDEX(Harytlar!$C$5:$C$44,MATCH(B3036,Harytlar!$A$5:$A$44,0)),""))</f>
        <v/>
      </c>
      <c r="F3036" s="10" t="str">
        <f t="shared" si="47"/>
        <v/>
      </c>
      <c r="G3036" s="10" t="str">
        <f>IF(OR(C3036="",B3036=""),"",IFERROR(C3036*INDEX(Harytlar!$D$5:$D$44,MATCH(B3036,Harytlar!$A$5:$A$44,0)),""))</f>
        <v/>
      </c>
    </row>
    <row r="3037" spans="1:7" x14ac:dyDescent="0.3">
      <c r="A3037" s="17"/>
      <c r="B3037" s="18"/>
      <c r="C3037" s="18"/>
      <c r="D3037" s="18"/>
      <c r="E3037" s="10" t="str">
        <f>IF(B3037="","",IFERROR(INDEX(Harytlar!$C$5:$C$44,MATCH(B3037,Harytlar!$A$5:$A$44,0)),""))</f>
        <v/>
      </c>
      <c r="F3037" s="10" t="str">
        <f t="shared" si="47"/>
        <v/>
      </c>
      <c r="G3037" s="10" t="str">
        <f>IF(OR(C3037="",B3037=""),"",IFERROR(C3037*INDEX(Harytlar!$D$5:$D$44,MATCH(B3037,Harytlar!$A$5:$A$44,0)),""))</f>
        <v/>
      </c>
    </row>
    <row r="3038" spans="1:7" x14ac:dyDescent="0.3">
      <c r="A3038" s="17"/>
      <c r="B3038" s="18"/>
      <c r="C3038" s="18"/>
      <c r="D3038" s="18"/>
      <c r="E3038" s="10" t="str">
        <f>IF(B3038="","",IFERROR(INDEX(Harytlar!$C$5:$C$44,MATCH(B3038,Harytlar!$A$5:$A$44,0)),""))</f>
        <v/>
      </c>
      <c r="F3038" s="10" t="str">
        <f t="shared" si="47"/>
        <v/>
      </c>
      <c r="G3038" s="10" t="str">
        <f>IF(OR(C3038="",B3038=""),"",IFERROR(C3038*INDEX(Harytlar!$D$5:$D$44,MATCH(B3038,Harytlar!$A$5:$A$44,0)),""))</f>
        <v/>
      </c>
    </row>
    <row r="3039" spans="1:7" x14ac:dyDescent="0.3">
      <c r="A3039" s="17"/>
      <c r="B3039" s="18"/>
      <c r="C3039" s="18"/>
      <c r="D3039" s="18"/>
      <c r="E3039" s="10" t="str">
        <f>IF(B3039="","",IFERROR(INDEX(Harytlar!$C$5:$C$44,MATCH(B3039,Harytlar!$A$5:$A$44,0)),""))</f>
        <v/>
      </c>
      <c r="F3039" s="10" t="str">
        <f t="shared" si="47"/>
        <v/>
      </c>
      <c r="G3039" s="10" t="str">
        <f>IF(OR(C3039="",B3039=""),"",IFERROR(C3039*INDEX(Harytlar!$D$5:$D$44,MATCH(B3039,Harytlar!$A$5:$A$44,0)),""))</f>
        <v/>
      </c>
    </row>
    <row r="3040" spans="1:7" x14ac:dyDescent="0.3">
      <c r="A3040" s="17"/>
      <c r="B3040" s="18"/>
      <c r="C3040" s="18"/>
      <c r="D3040" s="18"/>
      <c r="E3040" s="10" t="str">
        <f>IF(B3040="","",IFERROR(INDEX(Harytlar!$C$5:$C$44,MATCH(B3040,Harytlar!$A$5:$A$44,0)),""))</f>
        <v/>
      </c>
      <c r="F3040" s="10" t="str">
        <f t="shared" si="47"/>
        <v/>
      </c>
      <c r="G3040" s="10" t="str">
        <f>IF(OR(C3040="",B3040=""),"",IFERROR(C3040*INDEX(Harytlar!$D$5:$D$44,MATCH(B3040,Harytlar!$A$5:$A$44,0)),""))</f>
        <v/>
      </c>
    </row>
    <row r="3041" spans="1:7" x14ac:dyDescent="0.3">
      <c r="A3041" s="17"/>
      <c r="B3041" s="18"/>
      <c r="C3041" s="18"/>
      <c r="D3041" s="18"/>
      <c r="E3041" s="10" t="str">
        <f>IF(B3041="","",IFERROR(INDEX(Harytlar!$C$5:$C$44,MATCH(B3041,Harytlar!$A$5:$A$44,0)),""))</f>
        <v/>
      </c>
      <c r="F3041" s="10" t="str">
        <f t="shared" si="47"/>
        <v/>
      </c>
      <c r="G3041" s="10" t="str">
        <f>IF(OR(C3041="",B3041=""),"",IFERROR(C3041*INDEX(Harytlar!$D$5:$D$44,MATCH(B3041,Harytlar!$A$5:$A$44,0)),""))</f>
        <v/>
      </c>
    </row>
    <row r="3042" spans="1:7" x14ac:dyDescent="0.3">
      <c r="A3042" s="17"/>
      <c r="B3042" s="18"/>
      <c r="C3042" s="18"/>
      <c r="D3042" s="18"/>
      <c r="E3042" s="10" t="str">
        <f>IF(B3042="","",IFERROR(INDEX(Harytlar!$C$5:$C$44,MATCH(B3042,Harytlar!$A$5:$A$44,0)),""))</f>
        <v/>
      </c>
      <c r="F3042" s="10" t="str">
        <f t="shared" si="47"/>
        <v/>
      </c>
      <c r="G3042" s="10" t="str">
        <f>IF(OR(C3042="",B3042=""),"",IFERROR(C3042*INDEX(Harytlar!$D$5:$D$44,MATCH(B3042,Harytlar!$A$5:$A$44,0)),""))</f>
        <v/>
      </c>
    </row>
    <row r="3043" spans="1:7" x14ac:dyDescent="0.3">
      <c r="A3043" s="17"/>
      <c r="B3043" s="18"/>
      <c r="C3043" s="18"/>
      <c r="D3043" s="18"/>
      <c r="E3043" s="10" t="str">
        <f>IF(B3043="","",IFERROR(INDEX(Harytlar!$C$5:$C$44,MATCH(B3043,Harytlar!$A$5:$A$44,0)),""))</f>
        <v/>
      </c>
      <c r="F3043" s="10" t="str">
        <f t="shared" si="47"/>
        <v/>
      </c>
      <c r="G3043" s="10" t="str">
        <f>IF(OR(C3043="",B3043=""),"",IFERROR(C3043*INDEX(Harytlar!$D$5:$D$44,MATCH(B3043,Harytlar!$A$5:$A$44,0)),""))</f>
        <v/>
      </c>
    </row>
    <row r="3044" spans="1:7" x14ac:dyDescent="0.3">
      <c r="A3044" s="17"/>
      <c r="B3044" s="18"/>
      <c r="C3044" s="18"/>
      <c r="D3044" s="18"/>
      <c r="E3044" s="10" t="str">
        <f>IF(B3044="","",IFERROR(INDEX(Harytlar!$C$5:$C$44,MATCH(B3044,Harytlar!$A$5:$A$44,0)),""))</f>
        <v/>
      </c>
      <c r="F3044" s="10" t="str">
        <f t="shared" si="47"/>
        <v/>
      </c>
      <c r="G3044" s="10" t="str">
        <f>IF(OR(C3044="",B3044=""),"",IFERROR(C3044*INDEX(Harytlar!$D$5:$D$44,MATCH(B3044,Harytlar!$A$5:$A$44,0)),""))</f>
        <v/>
      </c>
    </row>
    <row r="3045" spans="1:7" x14ac:dyDescent="0.3">
      <c r="A3045" s="17"/>
      <c r="B3045" s="18"/>
      <c r="C3045" s="18"/>
      <c r="D3045" s="18"/>
      <c r="E3045" s="10" t="str">
        <f>IF(B3045="","",IFERROR(INDEX(Harytlar!$C$5:$C$44,MATCH(B3045,Harytlar!$A$5:$A$44,0)),""))</f>
        <v/>
      </c>
      <c r="F3045" s="10" t="str">
        <f t="shared" si="47"/>
        <v/>
      </c>
      <c r="G3045" s="10" t="str">
        <f>IF(OR(C3045="",B3045=""),"",IFERROR(C3045*INDEX(Harytlar!$D$5:$D$44,MATCH(B3045,Harytlar!$A$5:$A$44,0)),""))</f>
        <v/>
      </c>
    </row>
    <row r="3046" spans="1:7" x14ac:dyDescent="0.3">
      <c r="A3046" s="17"/>
      <c r="B3046" s="18"/>
      <c r="C3046" s="18"/>
      <c r="D3046" s="18"/>
      <c r="E3046" s="10" t="str">
        <f>IF(B3046="","",IFERROR(INDEX(Harytlar!$C$5:$C$44,MATCH(B3046,Harytlar!$A$5:$A$44,0)),""))</f>
        <v/>
      </c>
      <c r="F3046" s="10" t="str">
        <f t="shared" si="47"/>
        <v/>
      </c>
      <c r="G3046" s="10" t="str">
        <f>IF(OR(C3046="",B3046=""),"",IFERROR(C3046*INDEX(Harytlar!$D$5:$D$44,MATCH(B3046,Harytlar!$A$5:$A$44,0)),""))</f>
        <v/>
      </c>
    </row>
    <row r="3047" spans="1:7" x14ac:dyDescent="0.3">
      <c r="A3047" s="17"/>
      <c r="B3047" s="18"/>
      <c r="C3047" s="18"/>
      <c r="D3047" s="18"/>
      <c r="E3047" s="10" t="str">
        <f>IF(B3047="","",IFERROR(INDEX(Harytlar!$C$5:$C$44,MATCH(B3047,Harytlar!$A$5:$A$44,0)),""))</f>
        <v/>
      </c>
      <c r="F3047" s="10" t="str">
        <f t="shared" si="47"/>
        <v/>
      </c>
      <c r="G3047" s="10" t="str">
        <f>IF(OR(C3047="",B3047=""),"",IFERROR(C3047*INDEX(Harytlar!$D$5:$D$44,MATCH(B3047,Harytlar!$A$5:$A$44,0)),""))</f>
        <v/>
      </c>
    </row>
    <row r="3048" spans="1:7" x14ac:dyDescent="0.3">
      <c r="A3048" s="17"/>
      <c r="B3048" s="18"/>
      <c r="C3048" s="18"/>
      <c r="D3048" s="18"/>
      <c r="E3048" s="10" t="str">
        <f>IF(B3048="","",IFERROR(INDEX(Harytlar!$C$5:$C$44,MATCH(B3048,Harytlar!$A$5:$A$44,0)),""))</f>
        <v/>
      </c>
      <c r="F3048" s="10" t="str">
        <f t="shared" si="47"/>
        <v/>
      </c>
      <c r="G3048" s="10" t="str">
        <f>IF(OR(C3048="",B3048=""),"",IFERROR(C3048*INDEX(Harytlar!$D$5:$D$44,MATCH(B3048,Harytlar!$A$5:$A$44,0)),""))</f>
        <v/>
      </c>
    </row>
    <row r="3049" spans="1:7" x14ac:dyDescent="0.3">
      <c r="A3049" s="17"/>
      <c r="B3049" s="18"/>
      <c r="C3049" s="18"/>
      <c r="D3049" s="18"/>
      <c r="E3049" s="10" t="str">
        <f>IF(B3049="","",IFERROR(INDEX(Harytlar!$C$5:$C$44,MATCH(B3049,Harytlar!$A$5:$A$44,0)),""))</f>
        <v/>
      </c>
      <c r="F3049" s="10" t="str">
        <f t="shared" si="47"/>
        <v/>
      </c>
      <c r="G3049" s="10" t="str">
        <f>IF(OR(C3049="",B3049=""),"",IFERROR(C3049*INDEX(Harytlar!$D$5:$D$44,MATCH(B3049,Harytlar!$A$5:$A$44,0)),""))</f>
        <v/>
      </c>
    </row>
    <row r="3050" spans="1:7" x14ac:dyDescent="0.3">
      <c r="A3050" s="17"/>
      <c r="B3050" s="18"/>
      <c r="C3050" s="18"/>
      <c r="D3050" s="18"/>
      <c r="E3050" s="10" t="str">
        <f>IF(B3050="","",IFERROR(INDEX(Harytlar!$C$5:$C$44,MATCH(B3050,Harytlar!$A$5:$A$44,0)),""))</f>
        <v/>
      </c>
      <c r="F3050" s="10" t="str">
        <f t="shared" si="47"/>
        <v/>
      </c>
      <c r="G3050" s="10" t="str">
        <f>IF(OR(C3050="",B3050=""),"",IFERROR(C3050*INDEX(Harytlar!$D$5:$D$44,MATCH(B3050,Harytlar!$A$5:$A$44,0)),""))</f>
        <v/>
      </c>
    </row>
    <row r="3051" spans="1:7" x14ac:dyDescent="0.3">
      <c r="A3051" s="17"/>
      <c r="B3051" s="18"/>
      <c r="C3051" s="18"/>
      <c r="D3051" s="18"/>
      <c r="E3051" s="10" t="str">
        <f>IF(B3051="","",IFERROR(INDEX(Harytlar!$C$5:$C$44,MATCH(B3051,Harytlar!$A$5:$A$44,0)),""))</f>
        <v/>
      </c>
      <c r="F3051" s="10" t="str">
        <f t="shared" si="47"/>
        <v/>
      </c>
      <c r="G3051" s="10" t="str">
        <f>IF(OR(C3051="",B3051=""),"",IFERROR(C3051*INDEX(Harytlar!$D$5:$D$44,MATCH(B3051,Harytlar!$A$5:$A$44,0)),""))</f>
        <v/>
      </c>
    </row>
    <row r="3052" spans="1:7" x14ac:dyDescent="0.3">
      <c r="A3052" s="17"/>
      <c r="B3052" s="18"/>
      <c r="C3052" s="18"/>
      <c r="D3052" s="18"/>
      <c r="E3052" s="10" t="str">
        <f>IF(B3052="","",IFERROR(INDEX(Harytlar!$C$5:$C$44,MATCH(B3052,Harytlar!$A$5:$A$44,0)),""))</f>
        <v/>
      </c>
      <c r="F3052" s="10" t="str">
        <f t="shared" si="47"/>
        <v/>
      </c>
      <c r="G3052" s="10" t="str">
        <f>IF(OR(C3052="",B3052=""),"",IFERROR(C3052*INDEX(Harytlar!$D$5:$D$44,MATCH(B3052,Harytlar!$A$5:$A$44,0)),""))</f>
        <v/>
      </c>
    </row>
    <row r="3053" spans="1:7" x14ac:dyDescent="0.3">
      <c r="A3053" s="17"/>
      <c r="B3053" s="18"/>
      <c r="C3053" s="18"/>
      <c r="D3053" s="18"/>
      <c r="E3053" s="10" t="str">
        <f>IF(B3053="","",IFERROR(INDEX(Harytlar!$C$5:$C$44,MATCH(B3053,Harytlar!$A$5:$A$44,0)),""))</f>
        <v/>
      </c>
      <c r="F3053" s="10" t="str">
        <f t="shared" si="47"/>
        <v/>
      </c>
      <c r="G3053" s="10" t="str">
        <f>IF(OR(C3053="",B3053=""),"",IFERROR(C3053*INDEX(Harytlar!$D$5:$D$44,MATCH(B3053,Harytlar!$A$5:$A$44,0)),""))</f>
        <v/>
      </c>
    </row>
    <row r="3054" spans="1:7" x14ac:dyDescent="0.3">
      <c r="A3054" s="17"/>
      <c r="B3054" s="18"/>
      <c r="C3054" s="18"/>
      <c r="D3054" s="18"/>
      <c r="E3054" s="10" t="str">
        <f>IF(B3054="","",IFERROR(INDEX(Harytlar!$C$5:$C$44,MATCH(B3054,Harytlar!$A$5:$A$44,0)),""))</f>
        <v/>
      </c>
      <c r="F3054" s="10" t="str">
        <f t="shared" si="47"/>
        <v/>
      </c>
      <c r="G3054" s="10" t="str">
        <f>IF(OR(C3054="",B3054=""),"",IFERROR(C3054*INDEX(Harytlar!$D$5:$D$44,MATCH(B3054,Harytlar!$A$5:$A$44,0)),""))</f>
        <v/>
      </c>
    </row>
    <row r="3055" spans="1:7" x14ac:dyDescent="0.3">
      <c r="A3055" s="17"/>
      <c r="B3055" s="18"/>
      <c r="C3055" s="18"/>
      <c r="D3055" s="18"/>
      <c r="E3055" s="10" t="str">
        <f>IF(B3055="","",IFERROR(INDEX(Harytlar!$C$5:$C$44,MATCH(B3055,Harytlar!$A$5:$A$44,0)),""))</f>
        <v/>
      </c>
      <c r="F3055" s="10" t="str">
        <f t="shared" si="47"/>
        <v/>
      </c>
      <c r="G3055" s="10" t="str">
        <f>IF(OR(C3055="",B3055=""),"",IFERROR(C3055*INDEX(Harytlar!$D$5:$D$44,MATCH(B3055,Harytlar!$A$5:$A$44,0)),""))</f>
        <v/>
      </c>
    </row>
    <row r="3056" spans="1:7" x14ac:dyDescent="0.3">
      <c r="A3056" s="17"/>
      <c r="B3056" s="18"/>
      <c r="C3056" s="18"/>
      <c r="D3056" s="18"/>
      <c r="E3056" s="10" t="str">
        <f>IF(B3056="","",IFERROR(INDEX(Harytlar!$C$5:$C$44,MATCH(B3056,Harytlar!$A$5:$A$44,0)),""))</f>
        <v/>
      </c>
      <c r="F3056" s="10" t="str">
        <f t="shared" si="47"/>
        <v/>
      </c>
      <c r="G3056" s="10" t="str">
        <f>IF(OR(C3056="",B3056=""),"",IFERROR(C3056*INDEX(Harytlar!$D$5:$D$44,MATCH(B3056,Harytlar!$A$5:$A$44,0)),""))</f>
        <v/>
      </c>
    </row>
    <row r="3057" spans="1:7" x14ac:dyDescent="0.3">
      <c r="A3057" s="17"/>
      <c r="B3057" s="18"/>
      <c r="C3057" s="18"/>
      <c r="D3057" s="18"/>
      <c r="E3057" s="10" t="str">
        <f>IF(B3057="","",IFERROR(INDEX(Harytlar!$C$5:$C$44,MATCH(B3057,Harytlar!$A$5:$A$44,0)),""))</f>
        <v/>
      </c>
      <c r="F3057" s="10" t="str">
        <f t="shared" si="47"/>
        <v/>
      </c>
      <c r="G3057" s="10" t="str">
        <f>IF(OR(C3057="",B3057=""),"",IFERROR(C3057*INDEX(Harytlar!$D$5:$D$44,MATCH(B3057,Harytlar!$A$5:$A$44,0)),""))</f>
        <v/>
      </c>
    </row>
    <row r="3058" spans="1:7" x14ac:dyDescent="0.3">
      <c r="A3058" s="17"/>
      <c r="B3058" s="18"/>
      <c r="C3058" s="18"/>
      <c r="D3058" s="18"/>
      <c r="E3058" s="10" t="str">
        <f>IF(B3058="","",IFERROR(INDEX(Harytlar!$C$5:$C$44,MATCH(B3058,Harytlar!$A$5:$A$44,0)),""))</f>
        <v/>
      </c>
      <c r="F3058" s="10" t="str">
        <f t="shared" si="47"/>
        <v/>
      </c>
      <c r="G3058" s="10" t="str">
        <f>IF(OR(C3058="",B3058=""),"",IFERROR(C3058*INDEX(Harytlar!$D$5:$D$44,MATCH(B3058,Harytlar!$A$5:$A$44,0)),""))</f>
        <v/>
      </c>
    </row>
    <row r="3059" spans="1:7" x14ac:dyDescent="0.3">
      <c r="A3059" s="17"/>
      <c r="B3059" s="18"/>
      <c r="C3059" s="18"/>
      <c r="D3059" s="18"/>
      <c r="E3059" s="10" t="str">
        <f>IF(B3059="","",IFERROR(INDEX(Harytlar!$C$5:$C$44,MATCH(B3059,Harytlar!$A$5:$A$44,0)),""))</f>
        <v/>
      </c>
      <c r="F3059" s="10" t="str">
        <f t="shared" si="47"/>
        <v/>
      </c>
      <c r="G3059" s="10" t="str">
        <f>IF(OR(C3059="",B3059=""),"",IFERROR(C3059*INDEX(Harytlar!$D$5:$D$44,MATCH(B3059,Harytlar!$A$5:$A$44,0)),""))</f>
        <v/>
      </c>
    </row>
    <row r="3060" spans="1:7" x14ac:dyDescent="0.3">
      <c r="A3060" s="17"/>
      <c r="B3060" s="18"/>
      <c r="C3060" s="18"/>
      <c r="D3060" s="18"/>
      <c r="E3060" s="10" t="str">
        <f>IF(B3060="","",IFERROR(INDEX(Harytlar!$C$5:$C$44,MATCH(B3060,Harytlar!$A$5:$A$44,0)),""))</f>
        <v/>
      </c>
      <c r="F3060" s="10" t="str">
        <f t="shared" si="47"/>
        <v/>
      </c>
      <c r="G3060" s="10" t="str">
        <f>IF(OR(C3060="",B3060=""),"",IFERROR(C3060*INDEX(Harytlar!$D$5:$D$44,MATCH(B3060,Harytlar!$A$5:$A$44,0)),""))</f>
        <v/>
      </c>
    </row>
    <row r="3061" spans="1:7" x14ac:dyDescent="0.3">
      <c r="A3061" s="17"/>
      <c r="B3061" s="18"/>
      <c r="C3061" s="18"/>
      <c r="D3061" s="18"/>
      <c r="E3061" s="10" t="str">
        <f>IF(B3061="","",IFERROR(INDEX(Harytlar!$C$5:$C$44,MATCH(B3061,Harytlar!$A$5:$A$44,0)),""))</f>
        <v/>
      </c>
      <c r="F3061" s="10" t="str">
        <f t="shared" si="47"/>
        <v/>
      </c>
      <c r="G3061" s="10" t="str">
        <f>IF(OR(C3061="",B3061=""),"",IFERROR(C3061*INDEX(Harytlar!$D$5:$D$44,MATCH(B3061,Harytlar!$A$5:$A$44,0)),""))</f>
        <v/>
      </c>
    </row>
    <row r="3062" spans="1:7" x14ac:dyDescent="0.3">
      <c r="A3062" s="17"/>
      <c r="B3062" s="18"/>
      <c r="C3062" s="18"/>
      <c r="D3062" s="18"/>
      <c r="E3062" s="10" t="str">
        <f>IF(B3062="","",IFERROR(INDEX(Harytlar!$C$5:$C$44,MATCH(B3062,Harytlar!$A$5:$A$44,0)),""))</f>
        <v/>
      </c>
      <c r="F3062" s="10" t="str">
        <f t="shared" si="47"/>
        <v/>
      </c>
      <c r="G3062" s="10" t="str">
        <f>IF(OR(C3062="",B3062=""),"",IFERROR(C3062*INDEX(Harytlar!$D$5:$D$44,MATCH(B3062,Harytlar!$A$5:$A$44,0)),""))</f>
        <v/>
      </c>
    </row>
    <row r="3063" spans="1:7" x14ac:dyDescent="0.3">
      <c r="A3063" s="17"/>
      <c r="B3063" s="18"/>
      <c r="C3063" s="18"/>
      <c r="D3063" s="18"/>
      <c r="E3063" s="10" t="str">
        <f>IF(B3063="","",IFERROR(INDEX(Harytlar!$C$5:$C$44,MATCH(B3063,Harytlar!$A$5:$A$44,0)),""))</f>
        <v/>
      </c>
      <c r="F3063" s="10" t="str">
        <f t="shared" si="47"/>
        <v/>
      </c>
      <c r="G3063" s="10" t="str">
        <f>IF(OR(C3063="",B3063=""),"",IFERROR(C3063*INDEX(Harytlar!$D$5:$D$44,MATCH(B3063,Harytlar!$A$5:$A$44,0)),""))</f>
        <v/>
      </c>
    </row>
    <row r="3064" spans="1:7" x14ac:dyDescent="0.3">
      <c r="A3064" s="17"/>
      <c r="B3064" s="18"/>
      <c r="C3064" s="18"/>
      <c r="D3064" s="18"/>
      <c r="E3064" s="10" t="str">
        <f>IF(B3064="","",IFERROR(INDEX(Harytlar!$C$5:$C$44,MATCH(B3064,Harytlar!$A$5:$A$44,0)),""))</f>
        <v/>
      </c>
      <c r="F3064" s="10" t="str">
        <f t="shared" si="47"/>
        <v/>
      </c>
      <c r="G3064" s="10" t="str">
        <f>IF(OR(C3064="",B3064=""),"",IFERROR(C3064*INDEX(Harytlar!$D$5:$D$44,MATCH(B3064,Harytlar!$A$5:$A$44,0)),""))</f>
        <v/>
      </c>
    </row>
    <row r="3065" spans="1:7" x14ac:dyDescent="0.3">
      <c r="A3065" s="17"/>
      <c r="B3065" s="18"/>
      <c r="C3065" s="18"/>
      <c r="D3065" s="18"/>
      <c r="E3065" s="10" t="str">
        <f>IF(B3065="","",IFERROR(INDEX(Harytlar!$C$5:$C$44,MATCH(B3065,Harytlar!$A$5:$A$44,0)),""))</f>
        <v/>
      </c>
      <c r="F3065" s="10" t="str">
        <f t="shared" si="47"/>
        <v/>
      </c>
      <c r="G3065" s="10" t="str">
        <f>IF(OR(C3065="",B3065=""),"",IFERROR(C3065*INDEX(Harytlar!$D$5:$D$44,MATCH(B3065,Harytlar!$A$5:$A$44,0)),""))</f>
        <v/>
      </c>
    </row>
    <row r="3066" spans="1:7" x14ac:dyDescent="0.3">
      <c r="A3066" s="17"/>
      <c r="B3066" s="18"/>
      <c r="C3066" s="18"/>
      <c r="D3066" s="18"/>
      <c r="E3066" s="10" t="str">
        <f>IF(B3066="","",IFERROR(INDEX(Harytlar!$C$5:$C$44,MATCH(B3066,Harytlar!$A$5:$A$44,0)),""))</f>
        <v/>
      </c>
      <c r="F3066" s="10" t="str">
        <f t="shared" si="47"/>
        <v/>
      </c>
      <c r="G3066" s="10" t="str">
        <f>IF(OR(C3066="",B3066=""),"",IFERROR(C3066*INDEX(Harytlar!$D$5:$D$44,MATCH(B3066,Harytlar!$A$5:$A$44,0)),""))</f>
        <v/>
      </c>
    </row>
    <row r="3067" spans="1:7" x14ac:dyDescent="0.3">
      <c r="A3067" s="17"/>
      <c r="B3067" s="18"/>
      <c r="C3067" s="18"/>
      <c r="D3067" s="18"/>
      <c r="E3067" s="10" t="str">
        <f>IF(B3067="","",IFERROR(INDEX(Harytlar!$C$5:$C$44,MATCH(B3067,Harytlar!$A$5:$A$44,0)),""))</f>
        <v/>
      </c>
      <c r="F3067" s="10" t="str">
        <f t="shared" si="47"/>
        <v/>
      </c>
      <c r="G3067" s="10" t="str">
        <f>IF(OR(C3067="",B3067=""),"",IFERROR(C3067*INDEX(Harytlar!$D$5:$D$44,MATCH(B3067,Harytlar!$A$5:$A$44,0)),""))</f>
        <v/>
      </c>
    </row>
    <row r="3068" spans="1:7" x14ac:dyDescent="0.3">
      <c r="A3068" s="17"/>
      <c r="B3068" s="18"/>
      <c r="C3068" s="18"/>
      <c r="D3068" s="18"/>
      <c r="E3068" s="10" t="str">
        <f>IF(B3068="","",IFERROR(INDEX(Harytlar!$C$5:$C$44,MATCH(B3068,Harytlar!$A$5:$A$44,0)),""))</f>
        <v/>
      </c>
      <c r="F3068" s="10" t="str">
        <f t="shared" si="47"/>
        <v/>
      </c>
      <c r="G3068" s="10" t="str">
        <f>IF(OR(C3068="",B3068=""),"",IFERROR(C3068*INDEX(Harytlar!$D$5:$D$44,MATCH(B3068,Harytlar!$A$5:$A$44,0)),""))</f>
        <v/>
      </c>
    </row>
    <row r="3069" spans="1:7" x14ac:dyDescent="0.3">
      <c r="A3069" s="17"/>
      <c r="B3069" s="18"/>
      <c r="C3069" s="18"/>
      <c r="D3069" s="18"/>
      <c r="E3069" s="10" t="str">
        <f>IF(B3069="","",IFERROR(INDEX(Harytlar!$C$5:$C$44,MATCH(B3069,Harytlar!$A$5:$A$44,0)),""))</f>
        <v/>
      </c>
      <c r="F3069" s="10" t="str">
        <f t="shared" si="47"/>
        <v/>
      </c>
      <c r="G3069" s="10" t="str">
        <f>IF(OR(C3069="",B3069=""),"",IFERROR(C3069*INDEX(Harytlar!$D$5:$D$44,MATCH(B3069,Harytlar!$A$5:$A$44,0)),""))</f>
        <v/>
      </c>
    </row>
    <row r="3070" spans="1:7" x14ac:dyDescent="0.3">
      <c r="A3070" s="17"/>
      <c r="B3070" s="18"/>
      <c r="C3070" s="18"/>
      <c r="D3070" s="18"/>
      <c r="E3070" s="10" t="str">
        <f>IF(B3070="","",IFERROR(INDEX(Harytlar!$C$5:$C$44,MATCH(B3070,Harytlar!$A$5:$A$44,0)),""))</f>
        <v/>
      </c>
      <c r="F3070" s="10" t="str">
        <f t="shared" si="47"/>
        <v/>
      </c>
      <c r="G3070" s="10" t="str">
        <f>IF(OR(C3070="",B3070=""),"",IFERROR(C3070*INDEX(Harytlar!$D$5:$D$44,MATCH(B3070,Harytlar!$A$5:$A$44,0)),""))</f>
        <v/>
      </c>
    </row>
    <row r="3071" spans="1:7" x14ac:dyDescent="0.3">
      <c r="A3071" s="17"/>
      <c r="B3071" s="18"/>
      <c r="C3071" s="18"/>
      <c r="D3071" s="18"/>
      <c r="E3071" s="10" t="str">
        <f>IF(B3071="","",IFERROR(INDEX(Harytlar!$C$5:$C$44,MATCH(B3071,Harytlar!$A$5:$A$44,0)),""))</f>
        <v/>
      </c>
      <c r="F3071" s="10" t="str">
        <f t="shared" si="47"/>
        <v/>
      </c>
      <c r="G3071" s="10" t="str">
        <f>IF(OR(C3071="",B3071=""),"",IFERROR(C3071*INDEX(Harytlar!$D$5:$D$44,MATCH(B3071,Harytlar!$A$5:$A$44,0)),""))</f>
        <v/>
      </c>
    </row>
    <row r="3072" spans="1:7" x14ac:dyDescent="0.3">
      <c r="A3072" s="17"/>
      <c r="B3072" s="18"/>
      <c r="C3072" s="18"/>
      <c r="D3072" s="18"/>
      <c r="E3072" s="10" t="str">
        <f>IF(B3072="","",IFERROR(INDEX(Harytlar!$C$5:$C$44,MATCH(B3072,Harytlar!$A$5:$A$44,0)),""))</f>
        <v/>
      </c>
      <c r="F3072" s="10" t="str">
        <f t="shared" si="47"/>
        <v/>
      </c>
      <c r="G3072" s="10" t="str">
        <f>IF(OR(C3072="",B3072=""),"",IFERROR(C3072*INDEX(Harytlar!$D$5:$D$44,MATCH(B3072,Harytlar!$A$5:$A$44,0)),""))</f>
        <v/>
      </c>
    </row>
    <row r="3073" spans="1:7" x14ac:dyDescent="0.3">
      <c r="A3073" s="17"/>
      <c r="B3073" s="18"/>
      <c r="C3073" s="18"/>
      <c r="D3073" s="18"/>
      <c r="E3073" s="10" t="str">
        <f>IF(B3073="","",IFERROR(INDEX(Harytlar!$C$5:$C$44,MATCH(B3073,Harytlar!$A$5:$A$44,0)),""))</f>
        <v/>
      </c>
      <c r="F3073" s="10" t="str">
        <f t="shared" si="47"/>
        <v/>
      </c>
      <c r="G3073" s="10" t="str">
        <f>IF(OR(C3073="",B3073=""),"",IFERROR(C3073*INDEX(Harytlar!$D$5:$D$44,MATCH(B3073,Harytlar!$A$5:$A$44,0)),""))</f>
        <v/>
      </c>
    </row>
    <row r="3074" spans="1:7" x14ac:dyDescent="0.3">
      <c r="A3074" s="17"/>
      <c r="B3074" s="18"/>
      <c r="C3074" s="18"/>
      <c r="D3074" s="18"/>
      <c r="E3074" s="10" t="str">
        <f>IF(B3074="","",IFERROR(INDEX(Harytlar!$C$5:$C$44,MATCH(B3074,Harytlar!$A$5:$A$44,0)),""))</f>
        <v/>
      </c>
      <c r="F3074" s="10" t="str">
        <f t="shared" si="47"/>
        <v/>
      </c>
      <c r="G3074" s="10" t="str">
        <f>IF(OR(C3074="",B3074=""),"",IFERROR(C3074*INDEX(Harytlar!$D$5:$D$44,MATCH(B3074,Harytlar!$A$5:$A$44,0)),""))</f>
        <v/>
      </c>
    </row>
    <row r="3075" spans="1:7" x14ac:dyDescent="0.3">
      <c r="A3075" s="17"/>
      <c r="B3075" s="18"/>
      <c r="C3075" s="18"/>
      <c r="D3075" s="18"/>
      <c r="E3075" s="10" t="str">
        <f>IF(B3075="","",IFERROR(INDEX(Harytlar!$C$5:$C$44,MATCH(B3075,Harytlar!$A$5:$A$44,0)),""))</f>
        <v/>
      </c>
      <c r="F3075" s="10" t="str">
        <f t="shared" si="47"/>
        <v/>
      </c>
      <c r="G3075" s="10" t="str">
        <f>IF(OR(C3075="",B3075=""),"",IFERROR(C3075*INDEX(Harytlar!$D$5:$D$44,MATCH(B3075,Harytlar!$A$5:$A$44,0)),""))</f>
        <v/>
      </c>
    </row>
    <row r="3076" spans="1:7" x14ac:dyDescent="0.3">
      <c r="A3076" s="17"/>
      <c r="B3076" s="18"/>
      <c r="C3076" s="18"/>
      <c r="D3076" s="18"/>
      <c r="E3076" s="10" t="str">
        <f>IF(B3076="","",IFERROR(INDEX(Harytlar!$C$5:$C$44,MATCH(B3076,Harytlar!$A$5:$A$44,0)),""))</f>
        <v/>
      </c>
      <c r="F3076" s="10" t="str">
        <f t="shared" si="47"/>
        <v/>
      </c>
      <c r="G3076" s="10" t="str">
        <f>IF(OR(C3076="",B3076=""),"",IFERROR(C3076*INDEX(Harytlar!$D$5:$D$44,MATCH(B3076,Harytlar!$A$5:$A$44,0)),""))</f>
        <v/>
      </c>
    </row>
    <row r="3077" spans="1:7" x14ac:dyDescent="0.3">
      <c r="A3077" s="17"/>
      <c r="B3077" s="18"/>
      <c r="C3077" s="18"/>
      <c r="D3077" s="18"/>
      <c r="E3077" s="10" t="str">
        <f>IF(B3077="","",IFERROR(INDEX(Harytlar!$C$5:$C$44,MATCH(B3077,Harytlar!$A$5:$A$44,0)),""))</f>
        <v/>
      </c>
      <c r="F3077" s="10" t="str">
        <f t="shared" si="47"/>
        <v/>
      </c>
      <c r="G3077" s="10" t="str">
        <f>IF(OR(C3077="",B3077=""),"",IFERROR(C3077*INDEX(Harytlar!$D$5:$D$44,MATCH(B3077,Harytlar!$A$5:$A$44,0)),""))</f>
        <v/>
      </c>
    </row>
    <row r="3078" spans="1:7" x14ac:dyDescent="0.3">
      <c r="A3078" s="17"/>
      <c r="B3078" s="18"/>
      <c r="C3078" s="18"/>
      <c r="D3078" s="18"/>
      <c r="E3078" s="10" t="str">
        <f>IF(B3078="","",IFERROR(INDEX(Harytlar!$C$5:$C$44,MATCH(B3078,Harytlar!$A$5:$A$44,0)),""))</f>
        <v/>
      </c>
      <c r="F3078" s="10" t="str">
        <f t="shared" ref="F3078:F3141" si="48">IF(OR(C3078="",E3078=""),"",C3078*E3078)</f>
        <v/>
      </c>
      <c r="G3078" s="10" t="str">
        <f>IF(OR(C3078="",B3078=""),"",IFERROR(C3078*INDEX(Harytlar!$D$5:$D$44,MATCH(B3078,Harytlar!$A$5:$A$44,0)),""))</f>
        <v/>
      </c>
    </row>
    <row r="3079" spans="1:7" x14ac:dyDescent="0.3">
      <c r="A3079" s="17"/>
      <c r="B3079" s="18"/>
      <c r="C3079" s="18"/>
      <c r="D3079" s="18"/>
      <c r="E3079" s="10" t="str">
        <f>IF(B3079="","",IFERROR(INDEX(Harytlar!$C$5:$C$44,MATCH(B3079,Harytlar!$A$5:$A$44,0)),""))</f>
        <v/>
      </c>
      <c r="F3079" s="10" t="str">
        <f t="shared" si="48"/>
        <v/>
      </c>
      <c r="G3079" s="10" t="str">
        <f>IF(OR(C3079="",B3079=""),"",IFERROR(C3079*INDEX(Harytlar!$D$5:$D$44,MATCH(B3079,Harytlar!$A$5:$A$44,0)),""))</f>
        <v/>
      </c>
    </row>
    <row r="3080" spans="1:7" x14ac:dyDescent="0.3">
      <c r="A3080" s="17"/>
      <c r="B3080" s="18"/>
      <c r="C3080" s="18"/>
      <c r="D3080" s="18"/>
      <c r="E3080" s="10" t="str">
        <f>IF(B3080="","",IFERROR(INDEX(Harytlar!$C$5:$C$44,MATCH(B3080,Harytlar!$A$5:$A$44,0)),""))</f>
        <v/>
      </c>
      <c r="F3080" s="10" t="str">
        <f t="shared" si="48"/>
        <v/>
      </c>
      <c r="G3080" s="10" t="str">
        <f>IF(OR(C3080="",B3080=""),"",IFERROR(C3080*INDEX(Harytlar!$D$5:$D$44,MATCH(B3080,Harytlar!$A$5:$A$44,0)),""))</f>
        <v/>
      </c>
    </row>
    <row r="3081" spans="1:7" x14ac:dyDescent="0.3">
      <c r="A3081" s="17"/>
      <c r="B3081" s="18"/>
      <c r="C3081" s="18"/>
      <c r="D3081" s="18"/>
      <c r="E3081" s="10" t="str">
        <f>IF(B3081="","",IFERROR(INDEX(Harytlar!$C$5:$C$44,MATCH(B3081,Harytlar!$A$5:$A$44,0)),""))</f>
        <v/>
      </c>
      <c r="F3081" s="10" t="str">
        <f t="shared" si="48"/>
        <v/>
      </c>
      <c r="G3081" s="10" t="str">
        <f>IF(OR(C3081="",B3081=""),"",IFERROR(C3081*INDEX(Harytlar!$D$5:$D$44,MATCH(B3081,Harytlar!$A$5:$A$44,0)),""))</f>
        <v/>
      </c>
    </row>
    <row r="3082" spans="1:7" x14ac:dyDescent="0.3">
      <c r="A3082" s="17"/>
      <c r="B3082" s="18"/>
      <c r="C3082" s="18"/>
      <c r="D3082" s="18"/>
      <c r="E3082" s="10" t="str">
        <f>IF(B3082="","",IFERROR(INDEX(Harytlar!$C$5:$C$44,MATCH(B3082,Harytlar!$A$5:$A$44,0)),""))</f>
        <v/>
      </c>
      <c r="F3082" s="10" t="str">
        <f t="shared" si="48"/>
        <v/>
      </c>
      <c r="G3082" s="10" t="str">
        <f>IF(OR(C3082="",B3082=""),"",IFERROR(C3082*INDEX(Harytlar!$D$5:$D$44,MATCH(B3082,Harytlar!$A$5:$A$44,0)),""))</f>
        <v/>
      </c>
    </row>
    <row r="3083" spans="1:7" x14ac:dyDescent="0.3">
      <c r="A3083" s="17"/>
      <c r="B3083" s="18"/>
      <c r="C3083" s="18"/>
      <c r="D3083" s="18"/>
      <c r="E3083" s="10" t="str">
        <f>IF(B3083="","",IFERROR(INDEX(Harytlar!$C$5:$C$44,MATCH(B3083,Harytlar!$A$5:$A$44,0)),""))</f>
        <v/>
      </c>
      <c r="F3083" s="10" t="str">
        <f t="shared" si="48"/>
        <v/>
      </c>
      <c r="G3083" s="10" t="str">
        <f>IF(OR(C3083="",B3083=""),"",IFERROR(C3083*INDEX(Harytlar!$D$5:$D$44,MATCH(B3083,Harytlar!$A$5:$A$44,0)),""))</f>
        <v/>
      </c>
    </row>
    <row r="3084" spans="1:7" x14ac:dyDescent="0.3">
      <c r="A3084" s="17"/>
      <c r="B3084" s="18"/>
      <c r="C3084" s="18"/>
      <c r="D3084" s="18"/>
      <c r="E3084" s="10" t="str">
        <f>IF(B3084="","",IFERROR(INDEX(Harytlar!$C$5:$C$44,MATCH(B3084,Harytlar!$A$5:$A$44,0)),""))</f>
        <v/>
      </c>
      <c r="F3084" s="10" t="str">
        <f t="shared" si="48"/>
        <v/>
      </c>
      <c r="G3084" s="10" t="str">
        <f>IF(OR(C3084="",B3084=""),"",IFERROR(C3084*INDEX(Harytlar!$D$5:$D$44,MATCH(B3084,Harytlar!$A$5:$A$44,0)),""))</f>
        <v/>
      </c>
    </row>
    <row r="3085" spans="1:7" x14ac:dyDescent="0.3">
      <c r="A3085" s="17"/>
      <c r="B3085" s="18"/>
      <c r="C3085" s="18"/>
      <c r="D3085" s="18"/>
      <c r="E3085" s="10" t="str">
        <f>IF(B3085="","",IFERROR(INDEX(Harytlar!$C$5:$C$44,MATCH(B3085,Harytlar!$A$5:$A$44,0)),""))</f>
        <v/>
      </c>
      <c r="F3085" s="10" t="str">
        <f t="shared" si="48"/>
        <v/>
      </c>
      <c r="G3085" s="10" t="str">
        <f>IF(OR(C3085="",B3085=""),"",IFERROR(C3085*INDEX(Harytlar!$D$5:$D$44,MATCH(B3085,Harytlar!$A$5:$A$44,0)),""))</f>
        <v/>
      </c>
    </row>
    <row r="3086" spans="1:7" x14ac:dyDescent="0.3">
      <c r="A3086" s="17"/>
      <c r="B3086" s="18"/>
      <c r="C3086" s="18"/>
      <c r="D3086" s="18"/>
      <c r="E3086" s="10" t="str">
        <f>IF(B3086="","",IFERROR(INDEX(Harytlar!$C$5:$C$44,MATCH(B3086,Harytlar!$A$5:$A$44,0)),""))</f>
        <v/>
      </c>
      <c r="F3086" s="10" t="str">
        <f t="shared" si="48"/>
        <v/>
      </c>
      <c r="G3086" s="10" t="str">
        <f>IF(OR(C3086="",B3086=""),"",IFERROR(C3086*INDEX(Harytlar!$D$5:$D$44,MATCH(B3086,Harytlar!$A$5:$A$44,0)),""))</f>
        <v/>
      </c>
    </row>
    <row r="3087" spans="1:7" x14ac:dyDescent="0.3">
      <c r="A3087" s="17"/>
      <c r="B3087" s="18"/>
      <c r="C3087" s="18"/>
      <c r="D3087" s="18"/>
      <c r="E3087" s="10" t="str">
        <f>IF(B3087="","",IFERROR(INDEX(Harytlar!$C$5:$C$44,MATCH(B3087,Harytlar!$A$5:$A$44,0)),""))</f>
        <v/>
      </c>
      <c r="F3087" s="10" t="str">
        <f t="shared" si="48"/>
        <v/>
      </c>
      <c r="G3087" s="10" t="str">
        <f>IF(OR(C3087="",B3087=""),"",IFERROR(C3087*INDEX(Harytlar!$D$5:$D$44,MATCH(B3087,Harytlar!$A$5:$A$44,0)),""))</f>
        <v/>
      </c>
    </row>
    <row r="3088" spans="1:7" x14ac:dyDescent="0.3">
      <c r="A3088" s="17"/>
      <c r="B3088" s="18"/>
      <c r="C3088" s="18"/>
      <c r="D3088" s="18"/>
      <c r="E3088" s="10" t="str">
        <f>IF(B3088="","",IFERROR(INDEX(Harytlar!$C$5:$C$44,MATCH(B3088,Harytlar!$A$5:$A$44,0)),""))</f>
        <v/>
      </c>
      <c r="F3088" s="10" t="str">
        <f t="shared" si="48"/>
        <v/>
      </c>
      <c r="G3088" s="10" t="str">
        <f>IF(OR(C3088="",B3088=""),"",IFERROR(C3088*INDEX(Harytlar!$D$5:$D$44,MATCH(B3088,Harytlar!$A$5:$A$44,0)),""))</f>
        <v/>
      </c>
    </row>
    <row r="3089" spans="1:7" x14ac:dyDescent="0.3">
      <c r="A3089" s="17"/>
      <c r="B3089" s="18"/>
      <c r="C3089" s="18"/>
      <c r="D3089" s="18"/>
      <c r="E3089" s="10" t="str">
        <f>IF(B3089="","",IFERROR(INDEX(Harytlar!$C$5:$C$44,MATCH(B3089,Harytlar!$A$5:$A$44,0)),""))</f>
        <v/>
      </c>
      <c r="F3089" s="10" t="str">
        <f t="shared" si="48"/>
        <v/>
      </c>
      <c r="G3089" s="10" t="str">
        <f>IF(OR(C3089="",B3089=""),"",IFERROR(C3089*INDEX(Harytlar!$D$5:$D$44,MATCH(B3089,Harytlar!$A$5:$A$44,0)),""))</f>
        <v/>
      </c>
    </row>
    <row r="3090" spans="1:7" x14ac:dyDescent="0.3">
      <c r="A3090" s="17"/>
      <c r="B3090" s="18"/>
      <c r="C3090" s="18"/>
      <c r="D3090" s="18"/>
      <c r="E3090" s="10" t="str">
        <f>IF(B3090="","",IFERROR(INDEX(Harytlar!$C$5:$C$44,MATCH(B3090,Harytlar!$A$5:$A$44,0)),""))</f>
        <v/>
      </c>
      <c r="F3090" s="10" t="str">
        <f t="shared" si="48"/>
        <v/>
      </c>
      <c r="G3090" s="10" t="str">
        <f>IF(OR(C3090="",B3090=""),"",IFERROR(C3090*INDEX(Harytlar!$D$5:$D$44,MATCH(B3090,Harytlar!$A$5:$A$44,0)),""))</f>
        <v/>
      </c>
    </row>
    <row r="3091" spans="1:7" x14ac:dyDescent="0.3">
      <c r="A3091" s="17"/>
      <c r="B3091" s="18"/>
      <c r="C3091" s="18"/>
      <c r="D3091" s="18"/>
      <c r="E3091" s="10" t="str">
        <f>IF(B3091="","",IFERROR(INDEX(Harytlar!$C$5:$C$44,MATCH(B3091,Harytlar!$A$5:$A$44,0)),""))</f>
        <v/>
      </c>
      <c r="F3091" s="10" t="str">
        <f t="shared" si="48"/>
        <v/>
      </c>
      <c r="G3091" s="10" t="str">
        <f>IF(OR(C3091="",B3091=""),"",IFERROR(C3091*INDEX(Harytlar!$D$5:$D$44,MATCH(B3091,Harytlar!$A$5:$A$44,0)),""))</f>
        <v/>
      </c>
    </row>
    <row r="3092" spans="1:7" x14ac:dyDescent="0.3">
      <c r="A3092" s="17"/>
      <c r="B3092" s="18"/>
      <c r="C3092" s="18"/>
      <c r="D3092" s="18"/>
      <c r="E3092" s="10" t="str">
        <f>IF(B3092="","",IFERROR(INDEX(Harytlar!$C$5:$C$44,MATCH(B3092,Harytlar!$A$5:$A$44,0)),""))</f>
        <v/>
      </c>
      <c r="F3092" s="10" t="str">
        <f t="shared" si="48"/>
        <v/>
      </c>
      <c r="G3092" s="10" t="str">
        <f>IF(OR(C3092="",B3092=""),"",IFERROR(C3092*INDEX(Harytlar!$D$5:$D$44,MATCH(B3092,Harytlar!$A$5:$A$44,0)),""))</f>
        <v/>
      </c>
    </row>
    <row r="3093" spans="1:7" x14ac:dyDescent="0.3">
      <c r="A3093" s="17"/>
      <c r="B3093" s="18"/>
      <c r="C3093" s="18"/>
      <c r="D3093" s="18"/>
      <c r="E3093" s="10" t="str">
        <f>IF(B3093="","",IFERROR(INDEX(Harytlar!$C$5:$C$44,MATCH(B3093,Harytlar!$A$5:$A$44,0)),""))</f>
        <v/>
      </c>
      <c r="F3093" s="10" t="str">
        <f t="shared" si="48"/>
        <v/>
      </c>
      <c r="G3093" s="10" t="str">
        <f>IF(OR(C3093="",B3093=""),"",IFERROR(C3093*INDEX(Harytlar!$D$5:$D$44,MATCH(B3093,Harytlar!$A$5:$A$44,0)),""))</f>
        <v/>
      </c>
    </row>
    <row r="3094" spans="1:7" x14ac:dyDescent="0.3">
      <c r="A3094" s="17"/>
      <c r="B3094" s="18"/>
      <c r="C3094" s="18"/>
      <c r="D3094" s="18"/>
      <c r="E3094" s="10" t="str">
        <f>IF(B3094="","",IFERROR(INDEX(Harytlar!$C$5:$C$44,MATCH(B3094,Harytlar!$A$5:$A$44,0)),""))</f>
        <v/>
      </c>
      <c r="F3094" s="10" t="str">
        <f t="shared" si="48"/>
        <v/>
      </c>
      <c r="G3094" s="10" t="str">
        <f>IF(OR(C3094="",B3094=""),"",IFERROR(C3094*INDEX(Harytlar!$D$5:$D$44,MATCH(B3094,Harytlar!$A$5:$A$44,0)),""))</f>
        <v/>
      </c>
    </row>
    <row r="3095" spans="1:7" x14ac:dyDescent="0.3">
      <c r="A3095" s="17"/>
      <c r="B3095" s="18"/>
      <c r="C3095" s="18"/>
      <c r="D3095" s="18"/>
      <c r="E3095" s="10" t="str">
        <f>IF(B3095="","",IFERROR(INDEX(Harytlar!$C$5:$C$44,MATCH(B3095,Harytlar!$A$5:$A$44,0)),""))</f>
        <v/>
      </c>
      <c r="F3095" s="10" t="str">
        <f t="shared" si="48"/>
        <v/>
      </c>
      <c r="G3095" s="10" t="str">
        <f>IF(OR(C3095="",B3095=""),"",IFERROR(C3095*INDEX(Harytlar!$D$5:$D$44,MATCH(B3095,Harytlar!$A$5:$A$44,0)),""))</f>
        <v/>
      </c>
    </row>
    <row r="3096" spans="1:7" x14ac:dyDescent="0.3">
      <c r="A3096" s="17"/>
      <c r="B3096" s="18"/>
      <c r="C3096" s="18"/>
      <c r="D3096" s="18"/>
      <c r="E3096" s="10" t="str">
        <f>IF(B3096="","",IFERROR(INDEX(Harytlar!$C$5:$C$44,MATCH(B3096,Harytlar!$A$5:$A$44,0)),""))</f>
        <v/>
      </c>
      <c r="F3096" s="10" t="str">
        <f t="shared" si="48"/>
        <v/>
      </c>
      <c r="G3096" s="10" t="str">
        <f>IF(OR(C3096="",B3096=""),"",IFERROR(C3096*INDEX(Harytlar!$D$5:$D$44,MATCH(B3096,Harytlar!$A$5:$A$44,0)),""))</f>
        <v/>
      </c>
    </row>
    <row r="3097" spans="1:7" x14ac:dyDescent="0.3">
      <c r="A3097" s="17"/>
      <c r="B3097" s="18"/>
      <c r="C3097" s="18"/>
      <c r="D3097" s="18"/>
      <c r="E3097" s="10" t="str">
        <f>IF(B3097="","",IFERROR(INDEX(Harytlar!$C$5:$C$44,MATCH(B3097,Harytlar!$A$5:$A$44,0)),""))</f>
        <v/>
      </c>
      <c r="F3097" s="10" t="str">
        <f t="shared" si="48"/>
        <v/>
      </c>
      <c r="G3097" s="10" t="str">
        <f>IF(OR(C3097="",B3097=""),"",IFERROR(C3097*INDEX(Harytlar!$D$5:$D$44,MATCH(B3097,Harytlar!$A$5:$A$44,0)),""))</f>
        <v/>
      </c>
    </row>
    <row r="3098" spans="1:7" x14ac:dyDescent="0.3">
      <c r="A3098" s="17"/>
      <c r="B3098" s="18"/>
      <c r="C3098" s="18"/>
      <c r="D3098" s="18"/>
      <c r="E3098" s="10" t="str">
        <f>IF(B3098="","",IFERROR(INDEX(Harytlar!$C$5:$C$44,MATCH(B3098,Harytlar!$A$5:$A$44,0)),""))</f>
        <v/>
      </c>
      <c r="F3098" s="10" t="str">
        <f t="shared" si="48"/>
        <v/>
      </c>
      <c r="G3098" s="10" t="str">
        <f>IF(OR(C3098="",B3098=""),"",IFERROR(C3098*INDEX(Harytlar!$D$5:$D$44,MATCH(B3098,Harytlar!$A$5:$A$44,0)),""))</f>
        <v/>
      </c>
    </row>
    <row r="3099" spans="1:7" x14ac:dyDescent="0.3">
      <c r="A3099" s="17"/>
      <c r="B3099" s="18"/>
      <c r="C3099" s="18"/>
      <c r="D3099" s="18"/>
      <c r="E3099" s="10" t="str">
        <f>IF(B3099="","",IFERROR(INDEX(Harytlar!$C$5:$C$44,MATCH(B3099,Harytlar!$A$5:$A$44,0)),""))</f>
        <v/>
      </c>
      <c r="F3099" s="10" t="str">
        <f t="shared" si="48"/>
        <v/>
      </c>
      <c r="G3099" s="10" t="str">
        <f>IF(OR(C3099="",B3099=""),"",IFERROR(C3099*INDEX(Harytlar!$D$5:$D$44,MATCH(B3099,Harytlar!$A$5:$A$44,0)),""))</f>
        <v/>
      </c>
    </row>
    <row r="3100" spans="1:7" x14ac:dyDescent="0.3">
      <c r="A3100" s="17"/>
      <c r="B3100" s="18"/>
      <c r="C3100" s="18"/>
      <c r="D3100" s="18"/>
      <c r="E3100" s="10" t="str">
        <f>IF(B3100="","",IFERROR(INDEX(Harytlar!$C$5:$C$44,MATCH(B3100,Harytlar!$A$5:$A$44,0)),""))</f>
        <v/>
      </c>
      <c r="F3100" s="10" t="str">
        <f t="shared" si="48"/>
        <v/>
      </c>
      <c r="G3100" s="10" t="str">
        <f>IF(OR(C3100="",B3100=""),"",IFERROR(C3100*INDEX(Harytlar!$D$5:$D$44,MATCH(B3100,Harytlar!$A$5:$A$44,0)),""))</f>
        <v/>
      </c>
    </row>
    <row r="3101" spans="1:7" x14ac:dyDescent="0.3">
      <c r="A3101" s="17"/>
      <c r="B3101" s="18"/>
      <c r="C3101" s="18"/>
      <c r="D3101" s="18"/>
      <c r="E3101" s="10" t="str">
        <f>IF(B3101="","",IFERROR(INDEX(Harytlar!$C$5:$C$44,MATCH(B3101,Harytlar!$A$5:$A$44,0)),""))</f>
        <v/>
      </c>
      <c r="F3101" s="10" t="str">
        <f t="shared" si="48"/>
        <v/>
      </c>
      <c r="G3101" s="10" t="str">
        <f>IF(OR(C3101="",B3101=""),"",IFERROR(C3101*INDEX(Harytlar!$D$5:$D$44,MATCH(B3101,Harytlar!$A$5:$A$44,0)),""))</f>
        <v/>
      </c>
    </row>
    <row r="3102" spans="1:7" x14ac:dyDescent="0.3">
      <c r="A3102" s="17"/>
      <c r="B3102" s="18"/>
      <c r="C3102" s="18"/>
      <c r="D3102" s="18"/>
      <c r="E3102" s="10" t="str">
        <f>IF(B3102="","",IFERROR(INDEX(Harytlar!$C$5:$C$44,MATCH(B3102,Harytlar!$A$5:$A$44,0)),""))</f>
        <v/>
      </c>
      <c r="F3102" s="10" t="str">
        <f t="shared" si="48"/>
        <v/>
      </c>
      <c r="G3102" s="10" t="str">
        <f>IF(OR(C3102="",B3102=""),"",IFERROR(C3102*INDEX(Harytlar!$D$5:$D$44,MATCH(B3102,Harytlar!$A$5:$A$44,0)),""))</f>
        <v/>
      </c>
    </row>
    <row r="3103" spans="1:7" x14ac:dyDescent="0.3">
      <c r="A3103" s="17"/>
      <c r="B3103" s="18"/>
      <c r="C3103" s="18"/>
      <c r="D3103" s="18"/>
      <c r="E3103" s="10" t="str">
        <f>IF(B3103="","",IFERROR(INDEX(Harytlar!$C$5:$C$44,MATCH(B3103,Harytlar!$A$5:$A$44,0)),""))</f>
        <v/>
      </c>
      <c r="F3103" s="10" t="str">
        <f t="shared" si="48"/>
        <v/>
      </c>
      <c r="G3103" s="10" t="str">
        <f>IF(OR(C3103="",B3103=""),"",IFERROR(C3103*INDEX(Harytlar!$D$5:$D$44,MATCH(B3103,Harytlar!$A$5:$A$44,0)),""))</f>
        <v/>
      </c>
    </row>
    <row r="3104" spans="1:7" x14ac:dyDescent="0.3">
      <c r="A3104" s="17"/>
      <c r="B3104" s="18"/>
      <c r="C3104" s="18"/>
      <c r="D3104" s="18"/>
      <c r="E3104" s="10" t="str">
        <f>IF(B3104="","",IFERROR(INDEX(Harytlar!$C$5:$C$44,MATCH(B3104,Harytlar!$A$5:$A$44,0)),""))</f>
        <v/>
      </c>
      <c r="F3104" s="10" t="str">
        <f t="shared" si="48"/>
        <v/>
      </c>
      <c r="G3104" s="10" t="str">
        <f>IF(OR(C3104="",B3104=""),"",IFERROR(C3104*INDEX(Harytlar!$D$5:$D$44,MATCH(B3104,Harytlar!$A$5:$A$44,0)),""))</f>
        <v/>
      </c>
    </row>
    <row r="3105" spans="1:7" x14ac:dyDescent="0.3">
      <c r="A3105" s="17"/>
      <c r="B3105" s="18"/>
      <c r="C3105" s="18"/>
      <c r="D3105" s="18"/>
      <c r="E3105" s="10" t="str">
        <f>IF(B3105="","",IFERROR(INDEX(Harytlar!$C$5:$C$44,MATCH(B3105,Harytlar!$A$5:$A$44,0)),""))</f>
        <v/>
      </c>
      <c r="F3105" s="10" t="str">
        <f t="shared" si="48"/>
        <v/>
      </c>
      <c r="G3105" s="10" t="str">
        <f>IF(OR(C3105="",B3105=""),"",IFERROR(C3105*INDEX(Harytlar!$D$5:$D$44,MATCH(B3105,Harytlar!$A$5:$A$44,0)),""))</f>
        <v/>
      </c>
    </row>
    <row r="3106" spans="1:7" x14ac:dyDescent="0.3">
      <c r="A3106" s="17"/>
      <c r="B3106" s="18"/>
      <c r="C3106" s="18"/>
      <c r="D3106" s="18"/>
      <c r="E3106" s="10" t="str">
        <f>IF(B3106="","",IFERROR(INDEX(Harytlar!$C$5:$C$44,MATCH(B3106,Harytlar!$A$5:$A$44,0)),""))</f>
        <v/>
      </c>
      <c r="F3106" s="10" t="str">
        <f t="shared" si="48"/>
        <v/>
      </c>
      <c r="G3106" s="10" t="str">
        <f>IF(OR(C3106="",B3106=""),"",IFERROR(C3106*INDEX(Harytlar!$D$5:$D$44,MATCH(B3106,Harytlar!$A$5:$A$44,0)),""))</f>
        <v/>
      </c>
    </row>
    <row r="3107" spans="1:7" x14ac:dyDescent="0.3">
      <c r="A3107" s="17"/>
      <c r="B3107" s="18"/>
      <c r="C3107" s="18"/>
      <c r="D3107" s="18"/>
      <c r="E3107" s="10" t="str">
        <f>IF(B3107="","",IFERROR(INDEX(Harytlar!$C$5:$C$44,MATCH(B3107,Harytlar!$A$5:$A$44,0)),""))</f>
        <v/>
      </c>
      <c r="F3107" s="10" t="str">
        <f t="shared" si="48"/>
        <v/>
      </c>
      <c r="G3107" s="10" t="str">
        <f>IF(OR(C3107="",B3107=""),"",IFERROR(C3107*INDEX(Harytlar!$D$5:$D$44,MATCH(B3107,Harytlar!$A$5:$A$44,0)),""))</f>
        <v/>
      </c>
    </row>
    <row r="3108" spans="1:7" x14ac:dyDescent="0.3">
      <c r="A3108" s="17"/>
      <c r="B3108" s="18"/>
      <c r="C3108" s="18"/>
      <c r="D3108" s="18"/>
      <c r="E3108" s="10" t="str">
        <f>IF(B3108="","",IFERROR(INDEX(Harytlar!$C$5:$C$44,MATCH(B3108,Harytlar!$A$5:$A$44,0)),""))</f>
        <v/>
      </c>
      <c r="F3108" s="10" t="str">
        <f t="shared" si="48"/>
        <v/>
      </c>
      <c r="G3108" s="10" t="str">
        <f>IF(OR(C3108="",B3108=""),"",IFERROR(C3108*INDEX(Harytlar!$D$5:$D$44,MATCH(B3108,Harytlar!$A$5:$A$44,0)),""))</f>
        <v/>
      </c>
    </row>
    <row r="3109" spans="1:7" x14ac:dyDescent="0.3">
      <c r="A3109" s="17"/>
      <c r="B3109" s="18"/>
      <c r="C3109" s="18"/>
      <c r="D3109" s="18"/>
      <c r="E3109" s="10" t="str">
        <f>IF(B3109="","",IFERROR(INDEX(Harytlar!$C$5:$C$44,MATCH(B3109,Harytlar!$A$5:$A$44,0)),""))</f>
        <v/>
      </c>
      <c r="F3109" s="10" t="str">
        <f t="shared" si="48"/>
        <v/>
      </c>
      <c r="G3109" s="10" t="str">
        <f>IF(OR(C3109="",B3109=""),"",IFERROR(C3109*INDEX(Harytlar!$D$5:$D$44,MATCH(B3109,Harytlar!$A$5:$A$44,0)),""))</f>
        <v/>
      </c>
    </row>
    <row r="3110" spans="1:7" x14ac:dyDescent="0.3">
      <c r="A3110" s="17"/>
      <c r="B3110" s="18"/>
      <c r="C3110" s="18"/>
      <c r="D3110" s="18"/>
      <c r="E3110" s="10" t="str">
        <f>IF(B3110="","",IFERROR(INDEX(Harytlar!$C$5:$C$44,MATCH(B3110,Harytlar!$A$5:$A$44,0)),""))</f>
        <v/>
      </c>
      <c r="F3110" s="10" t="str">
        <f t="shared" si="48"/>
        <v/>
      </c>
      <c r="G3110" s="10" t="str">
        <f>IF(OR(C3110="",B3110=""),"",IFERROR(C3110*INDEX(Harytlar!$D$5:$D$44,MATCH(B3110,Harytlar!$A$5:$A$44,0)),""))</f>
        <v/>
      </c>
    </row>
    <row r="3111" spans="1:7" x14ac:dyDescent="0.3">
      <c r="A3111" s="17"/>
      <c r="B3111" s="18"/>
      <c r="C3111" s="18"/>
      <c r="D3111" s="18"/>
      <c r="E3111" s="10" t="str">
        <f>IF(B3111="","",IFERROR(INDEX(Harytlar!$C$5:$C$44,MATCH(B3111,Harytlar!$A$5:$A$44,0)),""))</f>
        <v/>
      </c>
      <c r="F3111" s="10" t="str">
        <f t="shared" si="48"/>
        <v/>
      </c>
      <c r="G3111" s="10" t="str">
        <f>IF(OR(C3111="",B3111=""),"",IFERROR(C3111*INDEX(Harytlar!$D$5:$D$44,MATCH(B3111,Harytlar!$A$5:$A$44,0)),""))</f>
        <v/>
      </c>
    </row>
    <row r="3112" spans="1:7" x14ac:dyDescent="0.3">
      <c r="A3112" s="17"/>
      <c r="B3112" s="18"/>
      <c r="C3112" s="18"/>
      <c r="D3112" s="18"/>
      <c r="E3112" s="10" t="str">
        <f>IF(B3112="","",IFERROR(INDEX(Harytlar!$C$5:$C$44,MATCH(B3112,Harytlar!$A$5:$A$44,0)),""))</f>
        <v/>
      </c>
      <c r="F3112" s="10" t="str">
        <f t="shared" si="48"/>
        <v/>
      </c>
      <c r="G3112" s="10" t="str">
        <f>IF(OR(C3112="",B3112=""),"",IFERROR(C3112*INDEX(Harytlar!$D$5:$D$44,MATCH(B3112,Harytlar!$A$5:$A$44,0)),""))</f>
        <v/>
      </c>
    </row>
    <row r="3113" spans="1:7" x14ac:dyDescent="0.3">
      <c r="A3113" s="17"/>
      <c r="B3113" s="18"/>
      <c r="C3113" s="18"/>
      <c r="D3113" s="18"/>
      <c r="E3113" s="10" t="str">
        <f>IF(B3113="","",IFERROR(INDEX(Harytlar!$C$5:$C$44,MATCH(B3113,Harytlar!$A$5:$A$44,0)),""))</f>
        <v/>
      </c>
      <c r="F3113" s="10" t="str">
        <f t="shared" si="48"/>
        <v/>
      </c>
      <c r="G3113" s="10" t="str">
        <f>IF(OR(C3113="",B3113=""),"",IFERROR(C3113*INDEX(Harytlar!$D$5:$D$44,MATCH(B3113,Harytlar!$A$5:$A$44,0)),""))</f>
        <v/>
      </c>
    </row>
    <row r="3114" spans="1:7" x14ac:dyDescent="0.3">
      <c r="A3114" s="17"/>
      <c r="B3114" s="18"/>
      <c r="C3114" s="18"/>
      <c r="D3114" s="18"/>
      <c r="E3114" s="10" t="str">
        <f>IF(B3114="","",IFERROR(INDEX(Harytlar!$C$5:$C$44,MATCH(B3114,Harytlar!$A$5:$A$44,0)),""))</f>
        <v/>
      </c>
      <c r="F3114" s="10" t="str">
        <f t="shared" si="48"/>
        <v/>
      </c>
      <c r="G3114" s="10" t="str">
        <f>IF(OR(C3114="",B3114=""),"",IFERROR(C3114*INDEX(Harytlar!$D$5:$D$44,MATCH(B3114,Harytlar!$A$5:$A$44,0)),""))</f>
        <v/>
      </c>
    </row>
    <row r="3115" spans="1:7" x14ac:dyDescent="0.3">
      <c r="A3115" s="17"/>
      <c r="B3115" s="18"/>
      <c r="C3115" s="18"/>
      <c r="D3115" s="18"/>
      <c r="E3115" s="10" t="str">
        <f>IF(B3115="","",IFERROR(INDEX(Harytlar!$C$5:$C$44,MATCH(B3115,Harytlar!$A$5:$A$44,0)),""))</f>
        <v/>
      </c>
      <c r="F3115" s="10" t="str">
        <f t="shared" si="48"/>
        <v/>
      </c>
      <c r="G3115" s="10" t="str">
        <f>IF(OR(C3115="",B3115=""),"",IFERROR(C3115*INDEX(Harytlar!$D$5:$D$44,MATCH(B3115,Harytlar!$A$5:$A$44,0)),""))</f>
        <v/>
      </c>
    </row>
    <row r="3116" spans="1:7" x14ac:dyDescent="0.3">
      <c r="A3116" s="17"/>
      <c r="B3116" s="18"/>
      <c r="C3116" s="18"/>
      <c r="D3116" s="18"/>
      <c r="E3116" s="10" t="str">
        <f>IF(B3116="","",IFERROR(INDEX(Harytlar!$C$5:$C$44,MATCH(B3116,Harytlar!$A$5:$A$44,0)),""))</f>
        <v/>
      </c>
      <c r="F3116" s="10" t="str">
        <f t="shared" si="48"/>
        <v/>
      </c>
      <c r="G3116" s="10" t="str">
        <f>IF(OR(C3116="",B3116=""),"",IFERROR(C3116*INDEX(Harytlar!$D$5:$D$44,MATCH(B3116,Harytlar!$A$5:$A$44,0)),""))</f>
        <v/>
      </c>
    </row>
    <row r="3117" spans="1:7" x14ac:dyDescent="0.3">
      <c r="A3117" s="17"/>
      <c r="B3117" s="18"/>
      <c r="C3117" s="18"/>
      <c r="D3117" s="18"/>
      <c r="E3117" s="10" t="str">
        <f>IF(B3117="","",IFERROR(INDEX(Harytlar!$C$5:$C$44,MATCH(B3117,Harytlar!$A$5:$A$44,0)),""))</f>
        <v/>
      </c>
      <c r="F3117" s="10" t="str">
        <f t="shared" si="48"/>
        <v/>
      </c>
      <c r="G3117" s="10" t="str">
        <f>IF(OR(C3117="",B3117=""),"",IFERROR(C3117*INDEX(Harytlar!$D$5:$D$44,MATCH(B3117,Harytlar!$A$5:$A$44,0)),""))</f>
        <v/>
      </c>
    </row>
    <row r="3118" spans="1:7" x14ac:dyDescent="0.3">
      <c r="A3118" s="17"/>
      <c r="B3118" s="18"/>
      <c r="C3118" s="18"/>
      <c r="D3118" s="18"/>
      <c r="E3118" s="10" t="str">
        <f>IF(B3118="","",IFERROR(INDEX(Harytlar!$C$5:$C$44,MATCH(B3118,Harytlar!$A$5:$A$44,0)),""))</f>
        <v/>
      </c>
      <c r="F3118" s="10" t="str">
        <f t="shared" si="48"/>
        <v/>
      </c>
      <c r="G3118" s="10" t="str">
        <f>IF(OR(C3118="",B3118=""),"",IFERROR(C3118*INDEX(Harytlar!$D$5:$D$44,MATCH(B3118,Harytlar!$A$5:$A$44,0)),""))</f>
        <v/>
      </c>
    </row>
    <row r="3119" spans="1:7" x14ac:dyDescent="0.3">
      <c r="A3119" s="17"/>
      <c r="B3119" s="18"/>
      <c r="C3119" s="18"/>
      <c r="D3119" s="18"/>
      <c r="E3119" s="10" t="str">
        <f>IF(B3119="","",IFERROR(INDEX(Harytlar!$C$5:$C$44,MATCH(B3119,Harytlar!$A$5:$A$44,0)),""))</f>
        <v/>
      </c>
      <c r="F3119" s="10" t="str">
        <f t="shared" si="48"/>
        <v/>
      </c>
      <c r="G3119" s="10" t="str">
        <f>IF(OR(C3119="",B3119=""),"",IFERROR(C3119*INDEX(Harytlar!$D$5:$D$44,MATCH(B3119,Harytlar!$A$5:$A$44,0)),""))</f>
        <v/>
      </c>
    </row>
    <row r="3120" spans="1:7" x14ac:dyDescent="0.3">
      <c r="A3120" s="17"/>
      <c r="B3120" s="18"/>
      <c r="C3120" s="18"/>
      <c r="D3120" s="18"/>
      <c r="E3120" s="10" t="str">
        <f>IF(B3120="","",IFERROR(INDEX(Harytlar!$C$5:$C$44,MATCH(B3120,Harytlar!$A$5:$A$44,0)),""))</f>
        <v/>
      </c>
      <c r="F3120" s="10" t="str">
        <f t="shared" si="48"/>
        <v/>
      </c>
      <c r="G3120" s="10" t="str">
        <f>IF(OR(C3120="",B3120=""),"",IFERROR(C3120*INDEX(Harytlar!$D$5:$D$44,MATCH(B3120,Harytlar!$A$5:$A$44,0)),""))</f>
        <v/>
      </c>
    </row>
    <row r="3121" spans="1:7" x14ac:dyDescent="0.3">
      <c r="A3121" s="17"/>
      <c r="B3121" s="18"/>
      <c r="C3121" s="18"/>
      <c r="D3121" s="18"/>
      <c r="E3121" s="10" t="str">
        <f>IF(B3121="","",IFERROR(INDEX(Harytlar!$C$5:$C$44,MATCH(B3121,Harytlar!$A$5:$A$44,0)),""))</f>
        <v/>
      </c>
      <c r="F3121" s="10" t="str">
        <f t="shared" si="48"/>
        <v/>
      </c>
      <c r="G3121" s="10" t="str">
        <f>IF(OR(C3121="",B3121=""),"",IFERROR(C3121*INDEX(Harytlar!$D$5:$D$44,MATCH(B3121,Harytlar!$A$5:$A$44,0)),""))</f>
        <v/>
      </c>
    </row>
    <row r="3122" spans="1:7" x14ac:dyDescent="0.3">
      <c r="A3122" s="17"/>
      <c r="B3122" s="18"/>
      <c r="C3122" s="18"/>
      <c r="D3122" s="18"/>
      <c r="E3122" s="10" t="str">
        <f>IF(B3122="","",IFERROR(INDEX(Harytlar!$C$5:$C$44,MATCH(B3122,Harytlar!$A$5:$A$44,0)),""))</f>
        <v/>
      </c>
      <c r="F3122" s="10" t="str">
        <f t="shared" si="48"/>
        <v/>
      </c>
      <c r="G3122" s="10" t="str">
        <f>IF(OR(C3122="",B3122=""),"",IFERROR(C3122*INDEX(Harytlar!$D$5:$D$44,MATCH(B3122,Harytlar!$A$5:$A$44,0)),""))</f>
        <v/>
      </c>
    </row>
    <row r="3123" spans="1:7" x14ac:dyDescent="0.3">
      <c r="A3123" s="17"/>
      <c r="B3123" s="18"/>
      <c r="C3123" s="18"/>
      <c r="D3123" s="18"/>
      <c r="E3123" s="10" t="str">
        <f>IF(B3123="","",IFERROR(INDEX(Harytlar!$C$5:$C$44,MATCH(B3123,Harytlar!$A$5:$A$44,0)),""))</f>
        <v/>
      </c>
      <c r="F3123" s="10" t="str">
        <f t="shared" si="48"/>
        <v/>
      </c>
      <c r="G3123" s="10" t="str">
        <f>IF(OR(C3123="",B3123=""),"",IFERROR(C3123*INDEX(Harytlar!$D$5:$D$44,MATCH(B3123,Harytlar!$A$5:$A$44,0)),""))</f>
        <v/>
      </c>
    </row>
    <row r="3124" spans="1:7" x14ac:dyDescent="0.3">
      <c r="A3124" s="17"/>
      <c r="B3124" s="18"/>
      <c r="C3124" s="18"/>
      <c r="D3124" s="18"/>
      <c r="E3124" s="10" t="str">
        <f>IF(B3124="","",IFERROR(INDEX(Harytlar!$C$5:$C$44,MATCH(B3124,Harytlar!$A$5:$A$44,0)),""))</f>
        <v/>
      </c>
      <c r="F3124" s="10" t="str">
        <f t="shared" si="48"/>
        <v/>
      </c>
      <c r="G3124" s="10" t="str">
        <f>IF(OR(C3124="",B3124=""),"",IFERROR(C3124*INDEX(Harytlar!$D$5:$D$44,MATCH(B3124,Harytlar!$A$5:$A$44,0)),""))</f>
        <v/>
      </c>
    </row>
    <row r="3125" spans="1:7" x14ac:dyDescent="0.3">
      <c r="A3125" s="17"/>
      <c r="B3125" s="18"/>
      <c r="C3125" s="18"/>
      <c r="D3125" s="18"/>
      <c r="E3125" s="10" t="str">
        <f>IF(B3125="","",IFERROR(INDEX(Harytlar!$C$5:$C$44,MATCH(B3125,Harytlar!$A$5:$A$44,0)),""))</f>
        <v/>
      </c>
      <c r="F3125" s="10" t="str">
        <f t="shared" si="48"/>
        <v/>
      </c>
      <c r="G3125" s="10" t="str">
        <f>IF(OR(C3125="",B3125=""),"",IFERROR(C3125*INDEX(Harytlar!$D$5:$D$44,MATCH(B3125,Harytlar!$A$5:$A$44,0)),""))</f>
        <v/>
      </c>
    </row>
    <row r="3126" spans="1:7" x14ac:dyDescent="0.3">
      <c r="A3126" s="17"/>
      <c r="B3126" s="18"/>
      <c r="C3126" s="18"/>
      <c r="D3126" s="18"/>
      <c r="E3126" s="10" t="str">
        <f>IF(B3126="","",IFERROR(INDEX(Harytlar!$C$5:$C$44,MATCH(B3126,Harytlar!$A$5:$A$44,0)),""))</f>
        <v/>
      </c>
      <c r="F3126" s="10" t="str">
        <f t="shared" si="48"/>
        <v/>
      </c>
      <c r="G3126" s="10" t="str">
        <f>IF(OR(C3126="",B3126=""),"",IFERROR(C3126*INDEX(Harytlar!$D$5:$D$44,MATCH(B3126,Harytlar!$A$5:$A$44,0)),""))</f>
        <v/>
      </c>
    </row>
    <row r="3127" spans="1:7" x14ac:dyDescent="0.3">
      <c r="A3127" s="17"/>
      <c r="B3127" s="18"/>
      <c r="C3127" s="18"/>
      <c r="D3127" s="18"/>
      <c r="E3127" s="10" t="str">
        <f>IF(B3127="","",IFERROR(INDEX(Harytlar!$C$5:$C$44,MATCH(B3127,Harytlar!$A$5:$A$44,0)),""))</f>
        <v/>
      </c>
      <c r="F3127" s="10" t="str">
        <f t="shared" si="48"/>
        <v/>
      </c>
      <c r="G3127" s="10" t="str">
        <f>IF(OR(C3127="",B3127=""),"",IFERROR(C3127*INDEX(Harytlar!$D$5:$D$44,MATCH(B3127,Harytlar!$A$5:$A$44,0)),""))</f>
        <v/>
      </c>
    </row>
    <row r="3128" spans="1:7" x14ac:dyDescent="0.3">
      <c r="A3128" s="17"/>
      <c r="B3128" s="18"/>
      <c r="C3128" s="18"/>
      <c r="D3128" s="18"/>
      <c r="E3128" s="10" t="str">
        <f>IF(B3128="","",IFERROR(INDEX(Harytlar!$C$5:$C$44,MATCH(B3128,Harytlar!$A$5:$A$44,0)),""))</f>
        <v/>
      </c>
      <c r="F3128" s="10" t="str">
        <f t="shared" si="48"/>
        <v/>
      </c>
      <c r="G3128" s="10" t="str">
        <f>IF(OR(C3128="",B3128=""),"",IFERROR(C3128*INDEX(Harytlar!$D$5:$D$44,MATCH(B3128,Harytlar!$A$5:$A$44,0)),""))</f>
        <v/>
      </c>
    </row>
    <row r="3129" spans="1:7" x14ac:dyDescent="0.3">
      <c r="A3129" s="17"/>
      <c r="B3129" s="18"/>
      <c r="C3129" s="18"/>
      <c r="D3129" s="18"/>
      <c r="E3129" s="10" t="str">
        <f>IF(B3129="","",IFERROR(INDEX(Harytlar!$C$5:$C$44,MATCH(B3129,Harytlar!$A$5:$A$44,0)),""))</f>
        <v/>
      </c>
      <c r="F3129" s="10" t="str">
        <f t="shared" si="48"/>
        <v/>
      </c>
      <c r="G3129" s="10" t="str">
        <f>IF(OR(C3129="",B3129=""),"",IFERROR(C3129*INDEX(Harytlar!$D$5:$D$44,MATCH(B3129,Harytlar!$A$5:$A$44,0)),""))</f>
        <v/>
      </c>
    </row>
    <row r="3130" spans="1:7" x14ac:dyDescent="0.3">
      <c r="A3130" s="17"/>
      <c r="B3130" s="18"/>
      <c r="C3130" s="18"/>
      <c r="D3130" s="18"/>
      <c r="E3130" s="10" t="str">
        <f>IF(B3130="","",IFERROR(INDEX(Harytlar!$C$5:$C$44,MATCH(B3130,Harytlar!$A$5:$A$44,0)),""))</f>
        <v/>
      </c>
      <c r="F3130" s="10" t="str">
        <f t="shared" si="48"/>
        <v/>
      </c>
      <c r="G3130" s="10" t="str">
        <f>IF(OR(C3130="",B3130=""),"",IFERROR(C3130*INDEX(Harytlar!$D$5:$D$44,MATCH(B3130,Harytlar!$A$5:$A$44,0)),""))</f>
        <v/>
      </c>
    </row>
    <row r="3131" spans="1:7" x14ac:dyDescent="0.3">
      <c r="A3131" s="17"/>
      <c r="B3131" s="18"/>
      <c r="C3131" s="18"/>
      <c r="D3131" s="18"/>
      <c r="E3131" s="10" t="str">
        <f>IF(B3131="","",IFERROR(INDEX(Harytlar!$C$5:$C$44,MATCH(B3131,Harytlar!$A$5:$A$44,0)),""))</f>
        <v/>
      </c>
      <c r="F3131" s="10" t="str">
        <f t="shared" si="48"/>
        <v/>
      </c>
      <c r="G3131" s="10" t="str">
        <f>IF(OR(C3131="",B3131=""),"",IFERROR(C3131*INDEX(Harytlar!$D$5:$D$44,MATCH(B3131,Harytlar!$A$5:$A$44,0)),""))</f>
        <v/>
      </c>
    </row>
    <row r="3132" spans="1:7" x14ac:dyDescent="0.3">
      <c r="A3132" s="17"/>
      <c r="B3132" s="18"/>
      <c r="C3132" s="18"/>
      <c r="D3132" s="18"/>
      <c r="E3132" s="10" t="str">
        <f>IF(B3132="","",IFERROR(INDEX(Harytlar!$C$5:$C$44,MATCH(B3132,Harytlar!$A$5:$A$44,0)),""))</f>
        <v/>
      </c>
      <c r="F3132" s="10" t="str">
        <f t="shared" si="48"/>
        <v/>
      </c>
      <c r="G3132" s="10" t="str">
        <f>IF(OR(C3132="",B3132=""),"",IFERROR(C3132*INDEX(Harytlar!$D$5:$D$44,MATCH(B3132,Harytlar!$A$5:$A$44,0)),""))</f>
        <v/>
      </c>
    </row>
    <row r="3133" spans="1:7" x14ac:dyDescent="0.3">
      <c r="A3133" s="17"/>
      <c r="B3133" s="18"/>
      <c r="C3133" s="18"/>
      <c r="D3133" s="18"/>
      <c r="E3133" s="10" t="str">
        <f>IF(B3133="","",IFERROR(INDEX(Harytlar!$C$5:$C$44,MATCH(B3133,Harytlar!$A$5:$A$44,0)),""))</f>
        <v/>
      </c>
      <c r="F3133" s="10" t="str">
        <f t="shared" si="48"/>
        <v/>
      </c>
      <c r="G3133" s="10" t="str">
        <f>IF(OR(C3133="",B3133=""),"",IFERROR(C3133*INDEX(Harytlar!$D$5:$D$44,MATCH(B3133,Harytlar!$A$5:$A$44,0)),""))</f>
        <v/>
      </c>
    </row>
    <row r="3134" spans="1:7" x14ac:dyDescent="0.3">
      <c r="A3134" s="17"/>
      <c r="B3134" s="18"/>
      <c r="C3134" s="18"/>
      <c r="D3134" s="18"/>
      <c r="E3134" s="10" t="str">
        <f>IF(B3134="","",IFERROR(INDEX(Harytlar!$C$5:$C$44,MATCH(B3134,Harytlar!$A$5:$A$44,0)),""))</f>
        <v/>
      </c>
      <c r="F3134" s="10" t="str">
        <f t="shared" si="48"/>
        <v/>
      </c>
      <c r="G3134" s="10" t="str">
        <f>IF(OR(C3134="",B3134=""),"",IFERROR(C3134*INDEX(Harytlar!$D$5:$D$44,MATCH(B3134,Harytlar!$A$5:$A$44,0)),""))</f>
        <v/>
      </c>
    </row>
    <row r="3135" spans="1:7" x14ac:dyDescent="0.3">
      <c r="A3135" s="17"/>
      <c r="B3135" s="18"/>
      <c r="C3135" s="18"/>
      <c r="D3135" s="18"/>
      <c r="E3135" s="10" t="str">
        <f>IF(B3135="","",IFERROR(INDEX(Harytlar!$C$5:$C$44,MATCH(B3135,Harytlar!$A$5:$A$44,0)),""))</f>
        <v/>
      </c>
      <c r="F3135" s="10" t="str">
        <f t="shared" si="48"/>
        <v/>
      </c>
      <c r="G3135" s="10" t="str">
        <f>IF(OR(C3135="",B3135=""),"",IFERROR(C3135*INDEX(Harytlar!$D$5:$D$44,MATCH(B3135,Harytlar!$A$5:$A$44,0)),""))</f>
        <v/>
      </c>
    </row>
    <row r="3136" spans="1:7" x14ac:dyDescent="0.3">
      <c r="A3136" s="17"/>
      <c r="B3136" s="18"/>
      <c r="C3136" s="18"/>
      <c r="D3136" s="18"/>
      <c r="E3136" s="10" t="str">
        <f>IF(B3136="","",IFERROR(INDEX(Harytlar!$C$5:$C$44,MATCH(B3136,Harytlar!$A$5:$A$44,0)),""))</f>
        <v/>
      </c>
      <c r="F3136" s="10" t="str">
        <f t="shared" si="48"/>
        <v/>
      </c>
      <c r="G3136" s="10" t="str">
        <f>IF(OR(C3136="",B3136=""),"",IFERROR(C3136*INDEX(Harytlar!$D$5:$D$44,MATCH(B3136,Harytlar!$A$5:$A$44,0)),""))</f>
        <v/>
      </c>
    </row>
    <row r="3137" spans="1:7" x14ac:dyDescent="0.3">
      <c r="A3137" s="17"/>
      <c r="B3137" s="18"/>
      <c r="C3137" s="18"/>
      <c r="D3137" s="18"/>
      <c r="E3137" s="10" t="str">
        <f>IF(B3137="","",IFERROR(INDEX(Harytlar!$C$5:$C$44,MATCH(B3137,Harytlar!$A$5:$A$44,0)),""))</f>
        <v/>
      </c>
      <c r="F3137" s="10" t="str">
        <f t="shared" si="48"/>
        <v/>
      </c>
      <c r="G3137" s="10" t="str">
        <f>IF(OR(C3137="",B3137=""),"",IFERROR(C3137*INDEX(Harytlar!$D$5:$D$44,MATCH(B3137,Harytlar!$A$5:$A$44,0)),""))</f>
        <v/>
      </c>
    </row>
    <row r="3138" spans="1:7" x14ac:dyDescent="0.3">
      <c r="A3138" s="17"/>
      <c r="B3138" s="18"/>
      <c r="C3138" s="18"/>
      <c r="D3138" s="18"/>
      <c r="E3138" s="10" t="str">
        <f>IF(B3138="","",IFERROR(INDEX(Harytlar!$C$5:$C$44,MATCH(B3138,Harytlar!$A$5:$A$44,0)),""))</f>
        <v/>
      </c>
      <c r="F3138" s="10" t="str">
        <f t="shared" si="48"/>
        <v/>
      </c>
      <c r="G3138" s="10" t="str">
        <f>IF(OR(C3138="",B3138=""),"",IFERROR(C3138*INDEX(Harytlar!$D$5:$D$44,MATCH(B3138,Harytlar!$A$5:$A$44,0)),""))</f>
        <v/>
      </c>
    </row>
    <row r="3139" spans="1:7" x14ac:dyDescent="0.3">
      <c r="A3139" s="17"/>
      <c r="B3139" s="18"/>
      <c r="C3139" s="18"/>
      <c r="D3139" s="18"/>
      <c r="E3139" s="10" t="str">
        <f>IF(B3139="","",IFERROR(INDEX(Harytlar!$C$5:$C$44,MATCH(B3139,Harytlar!$A$5:$A$44,0)),""))</f>
        <v/>
      </c>
      <c r="F3139" s="10" t="str">
        <f t="shared" si="48"/>
        <v/>
      </c>
      <c r="G3139" s="10" t="str">
        <f>IF(OR(C3139="",B3139=""),"",IFERROR(C3139*INDEX(Harytlar!$D$5:$D$44,MATCH(B3139,Harytlar!$A$5:$A$44,0)),""))</f>
        <v/>
      </c>
    </row>
    <row r="3140" spans="1:7" x14ac:dyDescent="0.3">
      <c r="A3140" s="17"/>
      <c r="B3140" s="18"/>
      <c r="C3140" s="18"/>
      <c r="D3140" s="18"/>
      <c r="E3140" s="10" t="str">
        <f>IF(B3140="","",IFERROR(INDEX(Harytlar!$C$5:$C$44,MATCH(B3140,Harytlar!$A$5:$A$44,0)),""))</f>
        <v/>
      </c>
      <c r="F3140" s="10" t="str">
        <f t="shared" si="48"/>
        <v/>
      </c>
      <c r="G3140" s="10" t="str">
        <f>IF(OR(C3140="",B3140=""),"",IFERROR(C3140*INDEX(Harytlar!$D$5:$D$44,MATCH(B3140,Harytlar!$A$5:$A$44,0)),""))</f>
        <v/>
      </c>
    </row>
    <row r="3141" spans="1:7" x14ac:dyDescent="0.3">
      <c r="A3141" s="17"/>
      <c r="B3141" s="18"/>
      <c r="C3141" s="18"/>
      <c r="D3141" s="18"/>
      <c r="E3141" s="10" t="str">
        <f>IF(B3141="","",IFERROR(INDEX(Harytlar!$C$5:$C$44,MATCH(B3141,Harytlar!$A$5:$A$44,0)),""))</f>
        <v/>
      </c>
      <c r="F3141" s="10" t="str">
        <f t="shared" si="48"/>
        <v/>
      </c>
      <c r="G3141" s="10" t="str">
        <f>IF(OR(C3141="",B3141=""),"",IFERROR(C3141*INDEX(Harytlar!$D$5:$D$44,MATCH(B3141,Harytlar!$A$5:$A$44,0)),""))</f>
        <v/>
      </c>
    </row>
    <row r="3142" spans="1:7" x14ac:dyDescent="0.3">
      <c r="A3142" s="17"/>
      <c r="B3142" s="18"/>
      <c r="C3142" s="18"/>
      <c r="D3142" s="18"/>
      <c r="E3142" s="10" t="str">
        <f>IF(B3142="","",IFERROR(INDEX(Harytlar!$C$5:$C$44,MATCH(B3142,Harytlar!$A$5:$A$44,0)),""))</f>
        <v/>
      </c>
      <c r="F3142" s="10" t="str">
        <f t="shared" ref="F3142:F3205" si="49">IF(OR(C3142="",E3142=""),"",C3142*E3142)</f>
        <v/>
      </c>
      <c r="G3142" s="10" t="str">
        <f>IF(OR(C3142="",B3142=""),"",IFERROR(C3142*INDEX(Harytlar!$D$5:$D$44,MATCH(B3142,Harytlar!$A$5:$A$44,0)),""))</f>
        <v/>
      </c>
    </row>
    <row r="3143" spans="1:7" x14ac:dyDescent="0.3">
      <c r="A3143" s="17"/>
      <c r="B3143" s="18"/>
      <c r="C3143" s="18"/>
      <c r="D3143" s="18"/>
      <c r="E3143" s="10" t="str">
        <f>IF(B3143="","",IFERROR(INDEX(Harytlar!$C$5:$C$44,MATCH(B3143,Harytlar!$A$5:$A$44,0)),""))</f>
        <v/>
      </c>
      <c r="F3143" s="10" t="str">
        <f t="shared" si="49"/>
        <v/>
      </c>
      <c r="G3143" s="10" t="str">
        <f>IF(OR(C3143="",B3143=""),"",IFERROR(C3143*INDEX(Harytlar!$D$5:$D$44,MATCH(B3143,Harytlar!$A$5:$A$44,0)),""))</f>
        <v/>
      </c>
    </row>
    <row r="3144" spans="1:7" x14ac:dyDescent="0.3">
      <c r="A3144" s="17"/>
      <c r="B3144" s="18"/>
      <c r="C3144" s="18"/>
      <c r="D3144" s="18"/>
      <c r="E3144" s="10" t="str">
        <f>IF(B3144="","",IFERROR(INDEX(Harytlar!$C$5:$C$44,MATCH(B3144,Harytlar!$A$5:$A$44,0)),""))</f>
        <v/>
      </c>
      <c r="F3144" s="10" t="str">
        <f t="shared" si="49"/>
        <v/>
      </c>
      <c r="G3144" s="10" t="str">
        <f>IF(OR(C3144="",B3144=""),"",IFERROR(C3144*INDEX(Harytlar!$D$5:$D$44,MATCH(B3144,Harytlar!$A$5:$A$44,0)),""))</f>
        <v/>
      </c>
    </row>
    <row r="3145" spans="1:7" x14ac:dyDescent="0.3">
      <c r="A3145" s="17"/>
      <c r="B3145" s="18"/>
      <c r="C3145" s="18"/>
      <c r="D3145" s="18"/>
      <c r="E3145" s="10" t="str">
        <f>IF(B3145="","",IFERROR(INDEX(Harytlar!$C$5:$C$44,MATCH(B3145,Harytlar!$A$5:$A$44,0)),""))</f>
        <v/>
      </c>
      <c r="F3145" s="10" t="str">
        <f t="shared" si="49"/>
        <v/>
      </c>
      <c r="G3145" s="10" t="str">
        <f>IF(OR(C3145="",B3145=""),"",IFERROR(C3145*INDEX(Harytlar!$D$5:$D$44,MATCH(B3145,Harytlar!$A$5:$A$44,0)),""))</f>
        <v/>
      </c>
    </row>
    <row r="3146" spans="1:7" x14ac:dyDescent="0.3">
      <c r="A3146" s="17"/>
      <c r="B3146" s="18"/>
      <c r="C3146" s="18"/>
      <c r="D3146" s="18"/>
      <c r="E3146" s="10" t="str">
        <f>IF(B3146="","",IFERROR(INDEX(Harytlar!$C$5:$C$44,MATCH(B3146,Harytlar!$A$5:$A$44,0)),""))</f>
        <v/>
      </c>
      <c r="F3146" s="10" t="str">
        <f t="shared" si="49"/>
        <v/>
      </c>
      <c r="G3146" s="10" t="str">
        <f>IF(OR(C3146="",B3146=""),"",IFERROR(C3146*INDEX(Harytlar!$D$5:$D$44,MATCH(B3146,Harytlar!$A$5:$A$44,0)),""))</f>
        <v/>
      </c>
    </row>
    <row r="3147" spans="1:7" x14ac:dyDescent="0.3">
      <c r="A3147" s="17"/>
      <c r="B3147" s="18"/>
      <c r="C3147" s="18"/>
      <c r="D3147" s="18"/>
      <c r="E3147" s="10" t="str">
        <f>IF(B3147="","",IFERROR(INDEX(Harytlar!$C$5:$C$44,MATCH(B3147,Harytlar!$A$5:$A$44,0)),""))</f>
        <v/>
      </c>
      <c r="F3147" s="10" t="str">
        <f t="shared" si="49"/>
        <v/>
      </c>
      <c r="G3147" s="10" t="str">
        <f>IF(OR(C3147="",B3147=""),"",IFERROR(C3147*INDEX(Harytlar!$D$5:$D$44,MATCH(B3147,Harytlar!$A$5:$A$44,0)),""))</f>
        <v/>
      </c>
    </row>
    <row r="3148" spans="1:7" x14ac:dyDescent="0.3">
      <c r="A3148" s="17"/>
      <c r="B3148" s="18"/>
      <c r="C3148" s="18"/>
      <c r="D3148" s="18"/>
      <c r="E3148" s="10" t="str">
        <f>IF(B3148="","",IFERROR(INDEX(Harytlar!$C$5:$C$44,MATCH(B3148,Harytlar!$A$5:$A$44,0)),""))</f>
        <v/>
      </c>
      <c r="F3148" s="10" t="str">
        <f t="shared" si="49"/>
        <v/>
      </c>
      <c r="G3148" s="10" t="str">
        <f>IF(OR(C3148="",B3148=""),"",IFERROR(C3148*INDEX(Harytlar!$D$5:$D$44,MATCH(B3148,Harytlar!$A$5:$A$44,0)),""))</f>
        <v/>
      </c>
    </row>
    <row r="3149" spans="1:7" x14ac:dyDescent="0.3">
      <c r="A3149" s="17"/>
      <c r="B3149" s="18"/>
      <c r="C3149" s="18"/>
      <c r="D3149" s="18"/>
      <c r="E3149" s="10" t="str">
        <f>IF(B3149="","",IFERROR(INDEX(Harytlar!$C$5:$C$44,MATCH(B3149,Harytlar!$A$5:$A$44,0)),""))</f>
        <v/>
      </c>
      <c r="F3149" s="10" t="str">
        <f t="shared" si="49"/>
        <v/>
      </c>
      <c r="G3149" s="10" t="str">
        <f>IF(OR(C3149="",B3149=""),"",IFERROR(C3149*INDEX(Harytlar!$D$5:$D$44,MATCH(B3149,Harytlar!$A$5:$A$44,0)),""))</f>
        <v/>
      </c>
    </row>
    <row r="3150" spans="1:7" x14ac:dyDescent="0.3">
      <c r="A3150" s="17"/>
      <c r="B3150" s="18"/>
      <c r="C3150" s="18"/>
      <c r="D3150" s="18"/>
      <c r="E3150" s="10" t="str">
        <f>IF(B3150="","",IFERROR(INDEX(Harytlar!$C$5:$C$44,MATCH(B3150,Harytlar!$A$5:$A$44,0)),""))</f>
        <v/>
      </c>
      <c r="F3150" s="10" t="str">
        <f t="shared" si="49"/>
        <v/>
      </c>
      <c r="G3150" s="10" t="str">
        <f>IF(OR(C3150="",B3150=""),"",IFERROR(C3150*INDEX(Harytlar!$D$5:$D$44,MATCH(B3150,Harytlar!$A$5:$A$44,0)),""))</f>
        <v/>
      </c>
    </row>
    <row r="3151" spans="1:7" x14ac:dyDescent="0.3">
      <c r="A3151" s="17"/>
      <c r="B3151" s="18"/>
      <c r="C3151" s="18"/>
      <c r="D3151" s="18"/>
      <c r="E3151" s="10" t="str">
        <f>IF(B3151="","",IFERROR(INDEX(Harytlar!$C$5:$C$44,MATCH(B3151,Harytlar!$A$5:$A$44,0)),""))</f>
        <v/>
      </c>
      <c r="F3151" s="10" t="str">
        <f t="shared" si="49"/>
        <v/>
      </c>
      <c r="G3151" s="10" t="str">
        <f>IF(OR(C3151="",B3151=""),"",IFERROR(C3151*INDEX(Harytlar!$D$5:$D$44,MATCH(B3151,Harytlar!$A$5:$A$44,0)),""))</f>
        <v/>
      </c>
    </row>
    <row r="3152" spans="1:7" x14ac:dyDescent="0.3">
      <c r="A3152" s="17"/>
      <c r="B3152" s="18"/>
      <c r="C3152" s="18"/>
      <c r="D3152" s="18"/>
      <c r="E3152" s="10" t="str">
        <f>IF(B3152="","",IFERROR(INDEX(Harytlar!$C$5:$C$44,MATCH(B3152,Harytlar!$A$5:$A$44,0)),""))</f>
        <v/>
      </c>
      <c r="F3152" s="10" t="str">
        <f t="shared" si="49"/>
        <v/>
      </c>
      <c r="G3152" s="10" t="str">
        <f>IF(OR(C3152="",B3152=""),"",IFERROR(C3152*INDEX(Harytlar!$D$5:$D$44,MATCH(B3152,Harytlar!$A$5:$A$44,0)),""))</f>
        <v/>
      </c>
    </row>
    <row r="3153" spans="1:7" x14ac:dyDescent="0.3">
      <c r="A3153" s="17"/>
      <c r="B3153" s="18"/>
      <c r="C3153" s="18"/>
      <c r="D3153" s="18"/>
      <c r="E3153" s="10" t="str">
        <f>IF(B3153="","",IFERROR(INDEX(Harytlar!$C$5:$C$44,MATCH(B3153,Harytlar!$A$5:$A$44,0)),""))</f>
        <v/>
      </c>
      <c r="F3153" s="10" t="str">
        <f t="shared" si="49"/>
        <v/>
      </c>
      <c r="G3153" s="10" t="str">
        <f>IF(OR(C3153="",B3153=""),"",IFERROR(C3153*INDEX(Harytlar!$D$5:$D$44,MATCH(B3153,Harytlar!$A$5:$A$44,0)),""))</f>
        <v/>
      </c>
    </row>
    <row r="3154" spans="1:7" x14ac:dyDescent="0.3">
      <c r="A3154" s="17"/>
      <c r="B3154" s="18"/>
      <c r="C3154" s="18"/>
      <c r="D3154" s="18"/>
      <c r="E3154" s="10" t="str">
        <f>IF(B3154="","",IFERROR(INDEX(Harytlar!$C$5:$C$44,MATCH(B3154,Harytlar!$A$5:$A$44,0)),""))</f>
        <v/>
      </c>
      <c r="F3154" s="10" t="str">
        <f t="shared" si="49"/>
        <v/>
      </c>
      <c r="G3154" s="10" t="str">
        <f>IF(OR(C3154="",B3154=""),"",IFERROR(C3154*INDEX(Harytlar!$D$5:$D$44,MATCH(B3154,Harytlar!$A$5:$A$44,0)),""))</f>
        <v/>
      </c>
    </row>
    <row r="3155" spans="1:7" x14ac:dyDescent="0.3">
      <c r="A3155" s="17"/>
      <c r="B3155" s="18"/>
      <c r="C3155" s="18"/>
      <c r="D3155" s="18"/>
      <c r="E3155" s="10" t="str">
        <f>IF(B3155="","",IFERROR(INDEX(Harytlar!$C$5:$C$44,MATCH(B3155,Harytlar!$A$5:$A$44,0)),""))</f>
        <v/>
      </c>
      <c r="F3155" s="10" t="str">
        <f t="shared" si="49"/>
        <v/>
      </c>
      <c r="G3155" s="10" t="str">
        <f>IF(OR(C3155="",B3155=""),"",IFERROR(C3155*INDEX(Harytlar!$D$5:$D$44,MATCH(B3155,Harytlar!$A$5:$A$44,0)),""))</f>
        <v/>
      </c>
    </row>
    <row r="3156" spans="1:7" x14ac:dyDescent="0.3">
      <c r="A3156" s="17"/>
      <c r="B3156" s="18"/>
      <c r="C3156" s="18"/>
      <c r="D3156" s="18"/>
      <c r="E3156" s="10" t="str">
        <f>IF(B3156="","",IFERROR(INDEX(Harytlar!$C$5:$C$44,MATCH(B3156,Harytlar!$A$5:$A$44,0)),""))</f>
        <v/>
      </c>
      <c r="F3156" s="10" t="str">
        <f t="shared" si="49"/>
        <v/>
      </c>
      <c r="G3156" s="10" t="str">
        <f>IF(OR(C3156="",B3156=""),"",IFERROR(C3156*INDEX(Harytlar!$D$5:$D$44,MATCH(B3156,Harytlar!$A$5:$A$44,0)),""))</f>
        <v/>
      </c>
    </row>
    <row r="3157" spans="1:7" x14ac:dyDescent="0.3">
      <c r="A3157" s="17"/>
      <c r="B3157" s="18"/>
      <c r="C3157" s="18"/>
      <c r="D3157" s="18"/>
      <c r="E3157" s="10" t="str">
        <f>IF(B3157="","",IFERROR(INDEX(Harytlar!$C$5:$C$44,MATCH(B3157,Harytlar!$A$5:$A$44,0)),""))</f>
        <v/>
      </c>
      <c r="F3157" s="10" t="str">
        <f t="shared" si="49"/>
        <v/>
      </c>
      <c r="G3157" s="10" t="str">
        <f>IF(OR(C3157="",B3157=""),"",IFERROR(C3157*INDEX(Harytlar!$D$5:$D$44,MATCH(B3157,Harytlar!$A$5:$A$44,0)),""))</f>
        <v/>
      </c>
    </row>
    <row r="3158" spans="1:7" x14ac:dyDescent="0.3">
      <c r="A3158" s="17"/>
      <c r="B3158" s="18"/>
      <c r="C3158" s="18"/>
      <c r="D3158" s="18"/>
      <c r="E3158" s="10" t="str">
        <f>IF(B3158="","",IFERROR(INDEX(Harytlar!$C$5:$C$44,MATCH(B3158,Harytlar!$A$5:$A$44,0)),""))</f>
        <v/>
      </c>
      <c r="F3158" s="10" t="str">
        <f t="shared" si="49"/>
        <v/>
      </c>
      <c r="G3158" s="10" t="str">
        <f>IF(OR(C3158="",B3158=""),"",IFERROR(C3158*INDEX(Harytlar!$D$5:$D$44,MATCH(B3158,Harytlar!$A$5:$A$44,0)),""))</f>
        <v/>
      </c>
    </row>
    <row r="3159" spans="1:7" x14ac:dyDescent="0.3">
      <c r="A3159" s="17"/>
      <c r="B3159" s="18"/>
      <c r="C3159" s="18"/>
      <c r="D3159" s="18"/>
      <c r="E3159" s="10" t="str">
        <f>IF(B3159="","",IFERROR(INDEX(Harytlar!$C$5:$C$44,MATCH(B3159,Harytlar!$A$5:$A$44,0)),""))</f>
        <v/>
      </c>
      <c r="F3159" s="10" t="str">
        <f t="shared" si="49"/>
        <v/>
      </c>
      <c r="G3159" s="10" t="str">
        <f>IF(OR(C3159="",B3159=""),"",IFERROR(C3159*INDEX(Harytlar!$D$5:$D$44,MATCH(B3159,Harytlar!$A$5:$A$44,0)),""))</f>
        <v/>
      </c>
    </row>
    <row r="3160" spans="1:7" x14ac:dyDescent="0.3">
      <c r="A3160" s="17"/>
      <c r="B3160" s="18"/>
      <c r="C3160" s="18"/>
      <c r="D3160" s="18"/>
      <c r="E3160" s="10" t="str">
        <f>IF(B3160="","",IFERROR(INDEX(Harytlar!$C$5:$C$44,MATCH(B3160,Harytlar!$A$5:$A$44,0)),""))</f>
        <v/>
      </c>
      <c r="F3160" s="10" t="str">
        <f t="shared" si="49"/>
        <v/>
      </c>
      <c r="G3160" s="10" t="str">
        <f>IF(OR(C3160="",B3160=""),"",IFERROR(C3160*INDEX(Harytlar!$D$5:$D$44,MATCH(B3160,Harytlar!$A$5:$A$44,0)),""))</f>
        <v/>
      </c>
    </row>
    <row r="3161" spans="1:7" x14ac:dyDescent="0.3">
      <c r="A3161" s="17"/>
      <c r="B3161" s="18"/>
      <c r="C3161" s="18"/>
      <c r="D3161" s="18"/>
      <c r="E3161" s="10" t="str">
        <f>IF(B3161="","",IFERROR(INDEX(Harytlar!$C$5:$C$44,MATCH(B3161,Harytlar!$A$5:$A$44,0)),""))</f>
        <v/>
      </c>
      <c r="F3161" s="10" t="str">
        <f t="shared" si="49"/>
        <v/>
      </c>
      <c r="G3161" s="10" t="str">
        <f>IF(OR(C3161="",B3161=""),"",IFERROR(C3161*INDEX(Harytlar!$D$5:$D$44,MATCH(B3161,Harytlar!$A$5:$A$44,0)),""))</f>
        <v/>
      </c>
    </row>
    <row r="3162" spans="1:7" x14ac:dyDescent="0.3">
      <c r="A3162" s="17"/>
      <c r="B3162" s="18"/>
      <c r="C3162" s="18"/>
      <c r="D3162" s="18"/>
      <c r="E3162" s="10" t="str">
        <f>IF(B3162="","",IFERROR(INDEX(Harytlar!$C$5:$C$44,MATCH(B3162,Harytlar!$A$5:$A$44,0)),""))</f>
        <v/>
      </c>
      <c r="F3162" s="10" t="str">
        <f t="shared" si="49"/>
        <v/>
      </c>
      <c r="G3162" s="10" t="str">
        <f>IF(OR(C3162="",B3162=""),"",IFERROR(C3162*INDEX(Harytlar!$D$5:$D$44,MATCH(B3162,Harytlar!$A$5:$A$44,0)),""))</f>
        <v/>
      </c>
    </row>
    <row r="3163" spans="1:7" x14ac:dyDescent="0.3">
      <c r="A3163" s="17"/>
      <c r="B3163" s="18"/>
      <c r="C3163" s="18"/>
      <c r="D3163" s="18"/>
      <c r="E3163" s="10" t="str">
        <f>IF(B3163="","",IFERROR(INDEX(Harytlar!$C$5:$C$44,MATCH(B3163,Harytlar!$A$5:$A$44,0)),""))</f>
        <v/>
      </c>
      <c r="F3163" s="10" t="str">
        <f t="shared" si="49"/>
        <v/>
      </c>
      <c r="G3163" s="10" t="str">
        <f>IF(OR(C3163="",B3163=""),"",IFERROR(C3163*INDEX(Harytlar!$D$5:$D$44,MATCH(B3163,Harytlar!$A$5:$A$44,0)),""))</f>
        <v/>
      </c>
    </row>
    <row r="3164" spans="1:7" x14ac:dyDescent="0.3">
      <c r="A3164" s="17"/>
      <c r="B3164" s="18"/>
      <c r="C3164" s="18"/>
      <c r="D3164" s="18"/>
      <c r="E3164" s="10" t="str">
        <f>IF(B3164="","",IFERROR(INDEX(Harytlar!$C$5:$C$44,MATCH(B3164,Harytlar!$A$5:$A$44,0)),""))</f>
        <v/>
      </c>
      <c r="F3164" s="10" t="str">
        <f t="shared" si="49"/>
        <v/>
      </c>
      <c r="G3164" s="10" t="str">
        <f>IF(OR(C3164="",B3164=""),"",IFERROR(C3164*INDEX(Harytlar!$D$5:$D$44,MATCH(B3164,Harytlar!$A$5:$A$44,0)),""))</f>
        <v/>
      </c>
    </row>
    <row r="3165" spans="1:7" x14ac:dyDescent="0.3">
      <c r="A3165" s="17"/>
      <c r="B3165" s="18"/>
      <c r="C3165" s="18"/>
      <c r="D3165" s="18"/>
      <c r="E3165" s="10" t="str">
        <f>IF(B3165="","",IFERROR(INDEX(Harytlar!$C$5:$C$44,MATCH(B3165,Harytlar!$A$5:$A$44,0)),""))</f>
        <v/>
      </c>
      <c r="F3165" s="10" t="str">
        <f t="shared" si="49"/>
        <v/>
      </c>
      <c r="G3165" s="10" t="str">
        <f>IF(OR(C3165="",B3165=""),"",IFERROR(C3165*INDEX(Harytlar!$D$5:$D$44,MATCH(B3165,Harytlar!$A$5:$A$44,0)),""))</f>
        <v/>
      </c>
    </row>
    <row r="3166" spans="1:7" x14ac:dyDescent="0.3">
      <c r="A3166" s="17"/>
      <c r="B3166" s="18"/>
      <c r="C3166" s="18"/>
      <c r="D3166" s="18"/>
      <c r="E3166" s="10" t="str">
        <f>IF(B3166="","",IFERROR(INDEX(Harytlar!$C$5:$C$44,MATCH(B3166,Harytlar!$A$5:$A$44,0)),""))</f>
        <v/>
      </c>
      <c r="F3166" s="10" t="str">
        <f t="shared" si="49"/>
        <v/>
      </c>
      <c r="G3166" s="10" t="str">
        <f>IF(OR(C3166="",B3166=""),"",IFERROR(C3166*INDEX(Harytlar!$D$5:$D$44,MATCH(B3166,Harytlar!$A$5:$A$44,0)),""))</f>
        <v/>
      </c>
    </row>
    <row r="3167" spans="1:7" x14ac:dyDescent="0.3">
      <c r="A3167" s="17"/>
      <c r="B3167" s="18"/>
      <c r="C3167" s="18"/>
      <c r="D3167" s="18"/>
      <c r="E3167" s="10" t="str">
        <f>IF(B3167="","",IFERROR(INDEX(Harytlar!$C$5:$C$44,MATCH(B3167,Harytlar!$A$5:$A$44,0)),""))</f>
        <v/>
      </c>
      <c r="F3167" s="10" t="str">
        <f t="shared" si="49"/>
        <v/>
      </c>
      <c r="G3167" s="10" t="str">
        <f>IF(OR(C3167="",B3167=""),"",IFERROR(C3167*INDEX(Harytlar!$D$5:$D$44,MATCH(B3167,Harytlar!$A$5:$A$44,0)),""))</f>
        <v/>
      </c>
    </row>
    <row r="3168" spans="1:7" x14ac:dyDescent="0.3">
      <c r="A3168" s="17"/>
      <c r="B3168" s="18"/>
      <c r="C3168" s="18"/>
      <c r="D3168" s="18"/>
      <c r="E3168" s="10" t="str">
        <f>IF(B3168="","",IFERROR(INDEX(Harytlar!$C$5:$C$44,MATCH(B3168,Harytlar!$A$5:$A$44,0)),""))</f>
        <v/>
      </c>
      <c r="F3168" s="10" t="str">
        <f t="shared" si="49"/>
        <v/>
      </c>
      <c r="G3168" s="10" t="str">
        <f>IF(OR(C3168="",B3168=""),"",IFERROR(C3168*INDEX(Harytlar!$D$5:$D$44,MATCH(B3168,Harytlar!$A$5:$A$44,0)),""))</f>
        <v/>
      </c>
    </row>
    <row r="3169" spans="1:7" x14ac:dyDescent="0.3">
      <c r="A3169" s="17"/>
      <c r="B3169" s="18"/>
      <c r="C3169" s="18"/>
      <c r="D3169" s="18"/>
      <c r="E3169" s="10" t="str">
        <f>IF(B3169="","",IFERROR(INDEX(Harytlar!$C$5:$C$44,MATCH(B3169,Harytlar!$A$5:$A$44,0)),""))</f>
        <v/>
      </c>
      <c r="F3169" s="10" t="str">
        <f t="shared" si="49"/>
        <v/>
      </c>
      <c r="G3169" s="10" t="str">
        <f>IF(OR(C3169="",B3169=""),"",IFERROR(C3169*INDEX(Harytlar!$D$5:$D$44,MATCH(B3169,Harytlar!$A$5:$A$44,0)),""))</f>
        <v/>
      </c>
    </row>
    <row r="3170" spans="1:7" x14ac:dyDescent="0.3">
      <c r="A3170" s="17"/>
      <c r="B3170" s="18"/>
      <c r="C3170" s="18"/>
      <c r="D3170" s="18"/>
      <c r="E3170" s="10" t="str">
        <f>IF(B3170="","",IFERROR(INDEX(Harytlar!$C$5:$C$44,MATCH(B3170,Harytlar!$A$5:$A$44,0)),""))</f>
        <v/>
      </c>
      <c r="F3170" s="10" t="str">
        <f t="shared" si="49"/>
        <v/>
      </c>
      <c r="G3170" s="10" t="str">
        <f>IF(OR(C3170="",B3170=""),"",IFERROR(C3170*INDEX(Harytlar!$D$5:$D$44,MATCH(B3170,Harytlar!$A$5:$A$44,0)),""))</f>
        <v/>
      </c>
    </row>
    <row r="3171" spans="1:7" x14ac:dyDescent="0.3">
      <c r="A3171" s="17"/>
      <c r="B3171" s="18"/>
      <c r="C3171" s="18"/>
      <c r="D3171" s="18"/>
      <c r="E3171" s="10" t="str">
        <f>IF(B3171="","",IFERROR(INDEX(Harytlar!$C$5:$C$44,MATCH(B3171,Harytlar!$A$5:$A$44,0)),""))</f>
        <v/>
      </c>
      <c r="F3171" s="10" t="str">
        <f t="shared" si="49"/>
        <v/>
      </c>
      <c r="G3171" s="10" t="str">
        <f>IF(OR(C3171="",B3171=""),"",IFERROR(C3171*INDEX(Harytlar!$D$5:$D$44,MATCH(B3171,Harytlar!$A$5:$A$44,0)),""))</f>
        <v/>
      </c>
    </row>
    <row r="3172" spans="1:7" x14ac:dyDescent="0.3">
      <c r="A3172" s="17"/>
      <c r="B3172" s="18"/>
      <c r="C3172" s="18"/>
      <c r="D3172" s="18"/>
      <c r="E3172" s="10" t="str">
        <f>IF(B3172="","",IFERROR(INDEX(Harytlar!$C$5:$C$44,MATCH(B3172,Harytlar!$A$5:$A$44,0)),""))</f>
        <v/>
      </c>
      <c r="F3172" s="10" t="str">
        <f t="shared" si="49"/>
        <v/>
      </c>
      <c r="G3172" s="10" t="str">
        <f>IF(OR(C3172="",B3172=""),"",IFERROR(C3172*INDEX(Harytlar!$D$5:$D$44,MATCH(B3172,Harytlar!$A$5:$A$44,0)),""))</f>
        <v/>
      </c>
    </row>
    <row r="3173" spans="1:7" x14ac:dyDescent="0.3">
      <c r="A3173" s="17"/>
      <c r="B3173" s="18"/>
      <c r="C3173" s="18"/>
      <c r="D3173" s="18"/>
      <c r="E3173" s="10" t="str">
        <f>IF(B3173="","",IFERROR(INDEX(Harytlar!$C$5:$C$44,MATCH(B3173,Harytlar!$A$5:$A$44,0)),""))</f>
        <v/>
      </c>
      <c r="F3173" s="10" t="str">
        <f t="shared" si="49"/>
        <v/>
      </c>
      <c r="G3173" s="10" t="str">
        <f>IF(OR(C3173="",B3173=""),"",IFERROR(C3173*INDEX(Harytlar!$D$5:$D$44,MATCH(B3173,Harytlar!$A$5:$A$44,0)),""))</f>
        <v/>
      </c>
    </row>
    <row r="3174" spans="1:7" x14ac:dyDescent="0.3">
      <c r="A3174" s="17"/>
      <c r="B3174" s="18"/>
      <c r="C3174" s="18"/>
      <c r="D3174" s="18"/>
      <c r="E3174" s="10" t="str">
        <f>IF(B3174="","",IFERROR(INDEX(Harytlar!$C$5:$C$44,MATCH(B3174,Harytlar!$A$5:$A$44,0)),""))</f>
        <v/>
      </c>
      <c r="F3174" s="10" t="str">
        <f t="shared" si="49"/>
        <v/>
      </c>
      <c r="G3174" s="10" t="str">
        <f>IF(OR(C3174="",B3174=""),"",IFERROR(C3174*INDEX(Harytlar!$D$5:$D$44,MATCH(B3174,Harytlar!$A$5:$A$44,0)),""))</f>
        <v/>
      </c>
    </row>
    <row r="3175" spans="1:7" x14ac:dyDescent="0.3">
      <c r="A3175" s="17"/>
      <c r="B3175" s="18"/>
      <c r="C3175" s="18"/>
      <c r="D3175" s="18"/>
      <c r="E3175" s="10" t="str">
        <f>IF(B3175="","",IFERROR(INDEX(Harytlar!$C$5:$C$44,MATCH(B3175,Harytlar!$A$5:$A$44,0)),""))</f>
        <v/>
      </c>
      <c r="F3175" s="10" t="str">
        <f t="shared" si="49"/>
        <v/>
      </c>
      <c r="G3175" s="10" t="str">
        <f>IF(OR(C3175="",B3175=""),"",IFERROR(C3175*INDEX(Harytlar!$D$5:$D$44,MATCH(B3175,Harytlar!$A$5:$A$44,0)),""))</f>
        <v/>
      </c>
    </row>
    <row r="3176" spans="1:7" x14ac:dyDescent="0.3">
      <c r="A3176" s="17"/>
      <c r="B3176" s="18"/>
      <c r="C3176" s="18"/>
      <c r="D3176" s="18"/>
      <c r="E3176" s="10" t="str">
        <f>IF(B3176="","",IFERROR(INDEX(Harytlar!$C$5:$C$44,MATCH(B3176,Harytlar!$A$5:$A$44,0)),""))</f>
        <v/>
      </c>
      <c r="F3176" s="10" t="str">
        <f t="shared" si="49"/>
        <v/>
      </c>
      <c r="G3176" s="10" t="str">
        <f>IF(OR(C3176="",B3176=""),"",IFERROR(C3176*INDEX(Harytlar!$D$5:$D$44,MATCH(B3176,Harytlar!$A$5:$A$44,0)),""))</f>
        <v/>
      </c>
    </row>
    <row r="3177" spans="1:7" x14ac:dyDescent="0.3">
      <c r="A3177" s="17"/>
      <c r="B3177" s="18"/>
      <c r="C3177" s="18"/>
      <c r="D3177" s="18"/>
      <c r="E3177" s="10" t="str">
        <f>IF(B3177="","",IFERROR(INDEX(Harytlar!$C$5:$C$44,MATCH(B3177,Harytlar!$A$5:$A$44,0)),""))</f>
        <v/>
      </c>
      <c r="F3177" s="10" t="str">
        <f t="shared" si="49"/>
        <v/>
      </c>
      <c r="G3177" s="10" t="str">
        <f>IF(OR(C3177="",B3177=""),"",IFERROR(C3177*INDEX(Harytlar!$D$5:$D$44,MATCH(B3177,Harytlar!$A$5:$A$44,0)),""))</f>
        <v/>
      </c>
    </row>
    <row r="3178" spans="1:7" x14ac:dyDescent="0.3">
      <c r="A3178" s="17"/>
      <c r="B3178" s="18"/>
      <c r="C3178" s="18"/>
      <c r="D3178" s="18"/>
      <c r="E3178" s="10" t="str">
        <f>IF(B3178="","",IFERROR(INDEX(Harytlar!$C$5:$C$44,MATCH(B3178,Harytlar!$A$5:$A$44,0)),""))</f>
        <v/>
      </c>
      <c r="F3178" s="10" t="str">
        <f t="shared" si="49"/>
        <v/>
      </c>
      <c r="G3178" s="10" t="str">
        <f>IF(OR(C3178="",B3178=""),"",IFERROR(C3178*INDEX(Harytlar!$D$5:$D$44,MATCH(B3178,Harytlar!$A$5:$A$44,0)),""))</f>
        <v/>
      </c>
    </row>
    <row r="3179" spans="1:7" x14ac:dyDescent="0.3">
      <c r="A3179" s="17"/>
      <c r="B3179" s="18"/>
      <c r="C3179" s="18"/>
      <c r="D3179" s="18"/>
      <c r="E3179" s="10" t="str">
        <f>IF(B3179="","",IFERROR(INDEX(Harytlar!$C$5:$C$44,MATCH(B3179,Harytlar!$A$5:$A$44,0)),""))</f>
        <v/>
      </c>
      <c r="F3179" s="10" t="str">
        <f t="shared" si="49"/>
        <v/>
      </c>
      <c r="G3179" s="10" t="str">
        <f>IF(OR(C3179="",B3179=""),"",IFERROR(C3179*INDEX(Harytlar!$D$5:$D$44,MATCH(B3179,Harytlar!$A$5:$A$44,0)),""))</f>
        <v/>
      </c>
    </row>
    <row r="3180" spans="1:7" x14ac:dyDescent="0.3">
      <c r="A3180" s="17"/>
      <c r="B3180" s="18"/>
      <c r="C3180" s="18"/>
      <c r="D3180" s="18"/>
      <c r="E3180" s="10" t="str">
        <f>IF(B3180="","",IFERROR(INDEX(Harytlar!$C$5:$C$44,MATCH(B3180,Harytlar!$A$5:$A$44,0)),""))</f>
        <v/>
      </c>
      <c r="F3180" s="10" t="str">
        <f t="shared" si="49"/>
        <v/>
      </c>
      <c r="G3180" s="10" t="str">
        <f>IF(OR(C3180="",B3180=""),"",IFERROR(C3180*INDEX(Harytlar!$D$5:$D$44,MATCH(B3180,Harytlar!$A$5:$A$44,0)),""))</f>
        <v/>
      </c>
    </row>
    <row r="3181" spans="1:7" x14ac:dyDescent="0.3">
      <c r="A3181" s="17"/>
      <c r="B3181" s="18"/>
      <c r="C3181" s="18"/>
      <c r="D3181" s="18"/>
      <c r="E3181" s="10" t="str">
        <f>IF(B3181="","",IFERROR(INDEX(Harytlar!$C$5:$C$44,MATCH(B3181,Harytlar!$A$5:$A$44,0)),""))</f>
        <v/>
      </c>
      <c r="F3181" s="10" t="str">
        <f t="shared" si="49"/>
        <v/>
      </c>
      <c r="G3181" s="10" t="str">
        <f>IF(OR(C3181="",B3181=""),"",IFERROR(C3181*INDEX(Harytlar!$D$5:$D$44,MATCH(B3181,Harytlar!$A$5:$A$44,0)),""))</f>
        <v/>
      </c>
    </row>
    <row r="3182" spans="1:7" x14ac:dyDescent="0.3">
      <c r="A3182" s="17"/>
      <c r="B3182" s="18"/>
      <c r="C3182" s="18"/>
      <c r="D3182" s="18"/>
      <c r="E3182" s="10" t="str">
        <f>IF(B3182="","",IFERROR(INDEX(Harytlar!$C$5:$C$44,MATCH(B3182,Harytlar!$A$5:$A$44,0)),""))</f>
        <v/>
      </c>
      <c r="F3182" s="10" t="str">
        <f t="shared" si="49"/>
        <v/>
      </c>
      <c r="G3182" s="10" t="str">
        <f>IF(OR(C3182="",B3182=""),"",IFERROR(C3182*INDEX(Harytlar!$D$5:$D$44,MATCH(B3182,Harytlar!$A$5:$A$44,0)),""))</f>
        <v/>
      </c>
    </row>
    <row r="3183" spans="1:7" x14ac:dyDescent="0.3">
      <c r="A3183" s="17"/>
      <c r="B3183" s="18"/>
      <c r="C3183" s="18"/>
      <c r="D3183" s="18"/>
      <c r="E3183" s="10" t="str">
        <f>IF(B3183="","",IFERROR(INDEX(Harytlar!$C$5:$C$44,MATCH(B3183,Harytlar!$A$5:$A$44,0)),""))</f>
        <v/>
      </c>
      <c r="F3183" s="10" t="str">
        <f t="shared" si="49"/>
        <v/>
      </c>
      <c r="G3183" s="10" t="str">
        <f>IF(OR(C3183="",B3183=""),"",IFERROR(C3183*INDEX(Harytlar!$D$5:$D$44,MATCH(B3183,Harytlar!$A$5:$A$44,0)),""))</f>
        <v/>
      </c>
    </row>
    <row r="3184" spans="1:7" x14ac:dyDescent="0.3">
      <c r="A3184" s="17"/>
      <c r="B3184" s="18"/>
      <c r="C3184" s="18"/>
      <c r="D3184" s="18"/>
      <c r="E3184" s="10" t="str">
        <f>IF(B3184="","",IFERROR(INDEX(Harytlar!$C$5:$C$44,MATCH(B3184,Harytlar!$A$5:$A$44,0)),""))</f>
        <v/>
      </c>
      <c r="F3184" s="10" t="str">
        <f t="shared" si="49"/>
        <v/>
      </c>
      <c r="G3184" s="10" t="str">
        <f>IF(OR(C3184="",B3184=""),"",IFERROR(C3184*INDEX(Harytlar!$D$5:$D$44,MATCH(B3184,Harytlar!$A$5:$A$44,0)),""))</f>
        <v/>
      </c>
    </row>
    <row r="3185" spans="1:7" x14ac:dyDescent="0.3">
      <c r="A3185" s="17"/>
      <c r="B3185" s="18"/>
      <c r="C3185" s="18"/>
      <c r="D3185" s="18"/>
      <c r="E3185" s="10" t="str">
        <f>IF(B3185="","",IFERROR(INDEX(Harytlar!$C$5:$C$44,MATCH(B3185,Harytlar!$A$5:$A$44,0)),""))</f>
        <v/>
      </c>
      <c r="F3185" s="10" t="str">
        <f t="shared" si="49"/>
        <v/>
      </c>
      <c r="G3185" s="10" t="str">
        <f>IF(OR(C3185="",B3185=""),"",IFERROR(C3185*INDEX(Harytlar!$D$5:$D$44,MATCH(B3185,Harytlar!$A$5:$A$44,0)),""))</f>
        <v/>
      </c>
    </row>
    <row r="3186" spans="1:7" x14ac:dyDescent="0.3">
      <c r="A3186" s="17"/>
      <c r="B3186" s="18"/>
      <c r="C3186" s="18"/>
      <c r="D3186" s="18"/>
      <c r="E3186" s="10" t="str">
        <f>IF(B3186="","",IFERROR(INDEX(Harytlar!$C$5:$C$44,MATCH(B3186,Harytlar!$A$5:$A$44,0)),""))</f>
        <v/>
      </c>
      <c r="F3186" s="10" t="str">
        <f t="shared" si="49"/>
        <v/>
      </c>
      <c r="G3186" s="10" t="str">
        <f>IF(OR(C3186="",B3186=""),"",IFERROR(C3186*INDEX(Harytlar!$D$5:$D$44,MATCH(B3186,Harytlar!$A$5:$A$44,0)),""))</f>
        <v/>
      </c>
    </row>
    <row r="3187" spans="1:7" x14ac:dyDescent="0.3">
      <c r="A3187" s="17"/>
      <c r="B3187" s="18"/>
      <c r="C3187" s="18"/>
      <c r="D3187" s="18"/>
      <c r="E3187" s="10" t="str">
        <f>IF(B3187="","",IFERROR(INDEX(Harytlar!$C$5:$C$44,MATCH(B3187,Harytlar!$A$5:$A$44,0)),""))</f>
        <v/>
      </c>
      <c r="F3187" s="10" t="str">
        <f t="shared" si="49"/>
        <v/>
      </c>
      <c r="G3187" s="10" t="str">
        <f>IF(OR(C3187="",B3187=""),"",IFERROR(C3187*INDEX(Harytlar!$D$5:$D$44,MATCH(B3187,Harytlar!$A$5:$A$44,0)),""))</f>
        <v/>
      </c>
    </row>
    <row r="3188" spans="1:7" x14ac:dyDescent="0.3">
      <c r="A3188" s="17"/>
      <c r="B3188" s="18"/>
      <c r="C3188" s="18"/>
      <c r="D3188" s="18"/>
      <c r="E3188" s="10" t="str">
        <f>IF(B3188="","",IFERROR(INDEX(Harytlar!$C$5:$C$44,MATCH(B3188,Harytlar!$A$5:$A$44,0)),""))</f>
        <v/>
      </c>
      <c r="F3188" s="10" t="str">
        <f t="shared" si="49"/>
        <v/>
      </c>
      <c r="G3188" s="10" t="str">
        <f>IF(OR(C3188="",B3188=""),"",IFERROR(C3188*INDEX(Harytlar!$D$5:$D$44,MATCH(B3188,Harytlar!$A$5:$A$44,0)),""))</f>
        <v/>
      </c>
    </row>
    <row r="3189" spans="1:7" x14ac:dyDescent="0.3">
      <c r="A3189" s="17"/>
      <c r="B3189" s="18"/>
      <c r="C3189" s="18"/>
      <c r="D3189" s="18"/>
      <c r="E3189" s="10" t="str">
        <f>IF(B3189="","",IFERROR(INDEX(Harytlar!$C$5:$C$44,MATCH(B3189,Harytlar!$A$5:$A$44,0)),""))</f>
        <v/>
      </c>
      <c r="F3189" s="10" t="str">
        <f t="shared" si="49"/>
        <v/>
      </c>
      <c r="G3189" s="10" t="str">
        <f>IF(OR(C3189="",B3189=""),"",IFERROR(C3189*INDEX(Harytlar!$D$5:$D$44,MATCH(B3189,Harytlar!$A$5:$A$44,0)),""))</f>
        <v/>
      </c>
    </row>
    <row r="3190" spans="1:7" x14ac:dyDescent="0.3">
      <c r="A3190" s="17"/>
      <c r="B3190" s="18"/>
      <c r="C3190" s="18"/>
      <c r="D3190" s="18"/>
      <c r="E3190" s="10" t="str">
        <f>IF(B3190="","",IFERROR(INDEX(Harytlar!$C$5:$C$44,MATCH(B3190,Harytlar!$A$5:$A$44,0)),""))</f>
        <v/>
      </c>
      <c r="F3190" s="10" t="str">
        <f t="shared" si="49"/>
        <v/>
      </c>
      <c r="G3190" s="10" t="str">
        <f>IF(OR(C3190="",B3190=""),"",IFERROR(C3190*INDEX(Harytlar!$D$5:$D$44,MATCH(B3190,Harytlar!$A$5:$A$44,0)),""))</f>
        <v/>
      </c>
    </row>
    <row r="3191" spans="1:7" x14ac:dyDescent="0.3">
      <c r="A3191" s="17"/>
      <c r="B3191" s="18"/>
      <c r="C3191" s="18"/>
      <c r="D3191" s="18"/>
      <c r="E3191" s="10" t="str">
        <f>IF(B3191="","",IFERROR(INDEX(Harytlar!$C$5:$C$44,MATCH(B3191,Harytlar!$A$5:$A$44,0)),""))</f>
        <v/>
      </c>
      <c r="F3191" s="10" t="str">
        <f t="shared" si="49"/>
        <v/>
      </c>
      <c r="G3191" s="10" t="str">
        <f>IF(OR(C3191="",B3191=""),"",IFERROR(C3191*INDEX(Harytlar!$D$5:$D$44,MATCH(B3191,Harytlar!$A$5:$A$44,0)),""))</f>
        <v/>
      </c>
    </row>
    <row r="3192" spans="1:7" x14ac:dyDescent="0.3">
      <c r="A3192" s="17"/>
      <c r="B3192" s="18"/>
      <c r="C3192" s="18"/>
      <c r="D3192" s="18"/>
      <c r="E3192" s="10" t="str">
        <f>IF(B3192="","",IFERROR(INDEX(Harytlar!$C$5:$C$44,MATCH(B3192,Harytlar!$A$5:$A$44,0)),""))</f>
        <v/>
      </c>
      <c r="F3192" s="10" t="str">
        <f t="shared" si="49"/>
        <v/>
      </c>
      <c r="G3192" s="10" t="str">
        <f>IF(OR(C3192="",B3192=""),"",IFERROR(C3192*INDEX(Harytlar!$D$5:$D$44,MATCH(B3192,Harytlar!$A$5:$A$44,0)),""))</f>
        <v/>
      </c>
    </row>
    <row r="3193" spans="1:7" x14ac:dyDescent="0.3">
      <c r="A3193" s="17"/>
      <c r="B3193" s="18"/>
      <c r="C3193" s="18"/>
      <c r="D3193" s="18"/>
      <c r="E3193" s="10" t="str">
        <f>IF(B3193="","",IFERROR(INDEX(Harytlar!$C$5:$C$44,MATCH(B3193,Harytlar!$A$5:$A$44,0)),""))</f>
        <v/>
      </c>
      <c r="F3193" s="10" t="str">
        <f t="shared" si="49"/>
        <v/>
      </c>
      <c r="G3193" s="10" t="str">
        <f>IF(OR(C3193="",B3193=""),"",IFERROR(C3193*INDEX(Harytlar!$D$5:$D$44,MATCH(B3193,Harytlar!$A$5:$A$44,0)),""))</f>
        <v/>
      </c>
    </row>
    <row r="3194" spans="1:7" x14ac:dyDescent="0.3">
      <c r="A3194" s="17"/>
      <c r="B3194" s="18"/>
      <c r="C3194" s="18"/>
      <c r="D3194" s="18"/>
      <c r="E3194" s="10" t="str">
        <f>IF(B3194="","",IFERROR(INDEX(Harytlar!$C$5:$C$44,MATCH(B3194,Harytlar!$A$5:$A$44,0)),""))</f>
        <v/>
      </c>
      <c r="F3194" s="10" t="str">
        <f t="shared" si="49"/>
        <v/>
      </c>
      <c r="G3194" s="10" t="str">
        <f>IF(OR(C3194="",B3194=""),"",IFERROR(C3194*INDEX(Harytlar!$D$5:$D$44,MATCH(B3194,Harytlar!$A$5:$A$44,0)),""))</f>
        <v/>
      </c>
    </row>
    <row r="3195" spans="1:7" x14ac:dyDescent="0.3">
      <c r="A3195" s="17"/>
      <c r="B3195" s="18"/>
      <c r="C3195" s="18"/>
      <c r="D3195" s="18"/>
      <c r="E3195" s="10" t="str">
        <f>IF(B3195="","",IFERROR(INDEX(Harytlar!$C$5:$C$44,MATCH(B3195,Harytlar!$A$5:$A$44,0)),""))</f>
        <v/>
      </c>
      <c r="F3195" s="10" t="str">
        <f t="shared" si="49"/>
        <v/>
      </c>
      <c r="G3195" s="10" t="str">
        <f>IF(OR(C3195="",B3195=""),"",IFERROR(C3195*INDEX(Harytlar!$D$5:$D$44,MATCH(B3195,Harytlar!$A$5:$A$44,0)),""))</f>
        <v/>
      </c>
    </row>
    <row r="3196" spans="1:7" x14ac:dyDescent="0.3">
      <c r="A3196" s="17"/>
      <c r="B3196" s="18"/>
      <c r="C3196" s="18"/>
      <c r="D3196" s="18"/>
      <c r="E3196" s="10" t="str">
        <f>IF(B3196="","",IFERROR(INDEX(Harytlar!$C$5:$C$44,MATCH(B3196,Harytlar!$A$5:$A$44,0)),""))</f>
        <v/>
      </c>
      <c r="F3196" s="10" t="str">
        <f t="shared" si="49"/>
        <v/>
      </c>
      <c r="G3196" s="10" t="str">
        <f>IF(OR(C3196="",B3196=""),"",IFERROR(C3196*INDEX(Harytlar!$D$5:$D$44,MATCH(B3196,Harytlar!$A$5:$A$44,0)),""))</f>
        <v/>
      </c>
    </row>
    <row r="3197" spans="1:7" x14ac:dyDescent="0.3">
      <c r="A3197" s="17"/>
      <c r="B3197" s="18"/>
      <c r="C3197" s="18"/>
      <c r="D3197" s="18"/>
      <c r="E3197" s="10" t="str">
        <f>IF(B3197="","",IFERROR(INDEX(Harytlar!$C$5:$C$44,MATCH(B3197,Harytlar!$A$5:$A$44,0)),""))</f>
        <v/>
      </c>
      <c r="F3197" s="10" t="str">
        <f t="shared" si="49"/>
        <v/>
      </c>
      <c r="G3197" s="10" t="str">
        <f>IF(OR(C3197="",B3197=""),"",IFERROR(C3197*INDEX(Harytlar!$D$5:$D$44,MATCH(B3197,Harytlar!$A$5:$A$44,0)),""))</f>
        <v/>
      </c>
    </row>
    <row r="3198" spans="1:7" x14ac:dyDescent="0.3">
      <c r="A3198" s="17"/>
      <c r="B3198" s="18"/>
      <c r="C3198" s="18"/>
      <c r="D3198" s="18"/>
      <c r="E3198" s="10" t="str">
        <f>IF(B3198="","",IFERROR(INDEX(Harytlar!$C$5:$C$44,MATCH(B3198,Harytlar!$A$5:$A$44,0)),""))</f>
        <v/>
      </c>
      <c r="F3198" s="10" t="str">
        <f t="shared" si="49"/>
        <v/>
      </c>
      <c r="G3198" s="10" t="str">
        <f>IF(OR(C3198="",B3198=""),"",IFERROR(C3198*INDEX(Harytlar!$D$5:$D$44,MATCH(B3198,Harytlar!$A$5:$A$44,0)),""))</f>
        <v/>
      </c>
    </row>
    <row r="3199" spans="1:7" x14ac:dyDescent="0.3">
      <c r="A3199" s="17"/>
      <c r="B3199" s="18"/>
      <c r="C3199" s="18"/>
      <c r="D3199" s="18"/>
      <c r="E3199" s="10" t="str">
        <f>IF(B3199="","",IFERROR(INDEX(Harytlar!$C$5:$C$44,MATCH(B3199,Harytlar!$A$5:$A$44,0)),""))</f>
        <v/>
      </c>
      <c r="F3199" s="10" t="str">
        <f t="shared" si="49"/>
        <v/>
      </c>
      <c r="G3199" s="10" t="str">
        <f>IF(OR(C3199="",B3199=""),"",IFERROR(C3199*INDEX(Harytlar!$D$5:$D$44,MATCH(B3199,Harytlar!$A$5:$A$44,0)),""))</f>
        <v/>
      </c>
    </row>
    <row r="3200" spans="1:7" x14ac:dyDescent="0.3">
      <c r="A3200" s="17"/>
      <c r="B3200" s="18"/>
      <c r="C3200" s="18"/>
      <c r="D3200" s="18"/>
      <c r="E3200" s="10" t="str">
        <f>IF(B3200="","",IFERROR(INDEX(Harytlar!$C$5:$C$44,MATCH(B3200,Harytlar!$A$5:$A$44,0)),""))</f>
        <v/>
      </c>
      <c r="F3200" s="10" t="str">
        <f t="shared" si="49"/>
        <v/>
      </c>
      <c r="G3200" s="10" t="str">
        <f>IF(OR(C3200="",B3200=""),"",IFERROR(C3200*INDEX(Harytlar!$D$5:$D$44,MATCH(B3200,Harytlar!$A$5:$A$44,0)),""))</f>
        <v/>
      </c>
    </row>
    <row r="3201" spans="1:7" x14ac:dyDescent="0.3">
      <c r="A3201" s="17"/>
      <c r="B3201" s="18"/>
      <c r="C3201" s="18"/>
      <c r="D3201" s="18"/>
      <c r="E3201" s="10" t="str">
        <f>IF(B3201="","",IFERROR(INDEX(Harytlar!$C$5:$C$44,MATCH(B3201,Harytlar!$A$5:$A$44,0)),""))</f>
        <v/>
      </c>
      <c r="F3201" s="10" t="str">
        <f t="shared" si="49"/>
        <v/>
      </c>
      <c r="G3201" s="10" t="str">
        <f>IF(OR(C3201="",B3201=""),"",IFERROR(C3201*INDEX(Harytlar!$D$5:$D$44,MATCH(B3201,Harytlar!$A$5:$A$44,0)),""))</f>
        <v/>
      </c>
    </row>
    <row r="3202" spans="1:7" x14ac:dyDescent="0.3">
      <c r="A3202" s="17"/>
      <c r="B3202" s="18"/>
      <c r="C3202" s="18"/>
      <c r="D3202" s="18"/>
      <c r="E3202" s="10" t="str">
        <f>IF(B3202="","",IFERROR(INDEX(Harytlar!$C$5:$C$44,MATCH(B3202,Harytlar!$A$5:$A$44,0)),""))</f>
        <v/>
      </c>
      <c r="F3202" s="10" t="str">
        <f t="shared" si="49"/>
        <v/>
      </c>
      <c r="G3202" s="10" t="str">
        <f>IF(OR(C3202="",B3202=""),"",IFERROR(C3202*INDEX(Harytlar!$D$5:$D$44,MATCH(B3202,Harytlar!$A$5:$A$44,0)),""))</f>
        <v/>
      </c>
    </row>
    <row r="3203" spans="1:7" x14ac:dyDescent="0.3">
      <c r="A3203" s="17"/>
      <c r="B3203" s="18"/>
      <c r="C3203" s="18"/>
      <c r="D3203" s="18"/>
      <c r="E3203" s="10" t="str">
        <f>IF(B3203="","",IFERROR(INDEX(Harytlar!$C$5:$C$44,MATCH(B3203,Harytlar!$A$5:$A$44,0)),""))</f>
        <v/>
      </c>
      <c r="F3203" s="10" t="str">
        <f t="shared" si="49"/>
        <v/>
      </c>
      <c r="G3203" s="10" t="str">
        <f>IF(OR(C3203="",B3203=""),"",IFERROR(C3203*INDEX(Harytlar!$D$5:$D$44,MATCH(B3203,Harytlar!$A$5:$A$44,0)),""))</f>
        <v/>
      </c>
    </row>
    <row r="3204" spans="1:7" x14ac:dyDescent="0.3">
      <c r="A3204" s="17"/>
      <c r="B3204" s="18"/>
      <c r="C3204" s="18"/>
      <c r="D3204" s="18"/>
      <c r="E3204" s="10" t="str">
        <f>IF(B3204="","",IFERROR(INDEX(Harytlar!$C$5:$C$44,MATCH(B3204,Harytlar!$A$5:$A$44,0)),""))</f>
        <v/>
      </c>
      <c r="F3204" s="10" t="str">
        <f t="shared" si="49"/>
        <v/>
      </c>
      <c r="G3204" s="10" t="str">
        <f>IF(OR(C3204="",B3204=""),"",IFERROR(C3204*INDEX(Harytlar!$D$5:$D$44,MATCH(B3204,Harytlar!$A$5:$A$44,0)),""))</f>
        <v/>
      </c>
    </row>
    <row r="3205" spans="1:7" x14ac:dyDescent="0.3">
      <c r="A3205" s="17"/>
      <c r="B3205" s="18"/>
      <c r="C3205" s="18"/>
      <c r="D3205" s="18"/>
      <c r="E3205" s="10" t="str">
        <f>IF(B3205="","",IFERROR(INDEX(Harytlar!$C$5:$C$44,MATCH(B3205,Harytlar!$A$5:$A$44,0)),""))</f>
        <v/>
      </c>
      <c r="F3205" s="10" t="str">
        <f t="shared" si="49"/>
        <v/>
      </c>
      <c r="G3205" s="10" t="str">
        <f>IF(OR(C3205="",B3205=""),"",IFERROR(C3205*INDEX(Harytlar!$D$5:$D$44,MATCH(B3205,Harytlar!$A$5:$A$44,0)),""))</f>
        <v/>
      </c>
    </row>
    <row r="3206" spans="1:7" x14ac:dyDescent="0.3">
      <c r="A3206" s="17"/>
      <c r="B3206" s="18"/>
      <c r="C3206" s="18"/>
      <c r="D3206" s="18"/>
      <c r="E3206" s="10" t="str">
        <f>IF(B3206="","",IFERROR(INDEX(Harytlar!$C$5:$C$44,MATCH(B3206,Harytlar!$A$5:$A$44,0)),""))</f>
        <v/>
      </c>
      <c r="F3206" s="10" t="str">
        <f t="shared" ref="F3206:F3269" si="50">IF(OR(C3206="",E3206=""),"",C3206*E3206)</f>
        <v/>
      </c>
      <c r="G3206" s="10" t="str">
        <f>IF(OR(C3206="",B3206=""),"",IFERROR(C3206*INDEX(Harytlar!$D$5:$D$44,MATCH(B3206,Harytlar!$A$5:$A$44,0)),""))</f>
        <v/>
      </c>
    </row>
    <row r="3207" spans="1:7" x14ac:dyDescent="0.3">
      <c r="A3207" s="17"/>
      <c r="B3207" s="18"/>
      <c r="C3207" s="18"/>
      <c r="D3207" s="18"/>
      <c r="E3207" s="10" t="str">
        <f>IF(B3207="","",IFERROR(INDEX(Harytlar!$C$5:$C$44,MATCH(B3207,Harytlar!$A$5:$A$44,0)),""))</f>
        <v/>
      </c>
      <c r="F3207" s="10" t="str">
        <f t="shared" si="50"/>
        <v/>
      </c>
      <c r="G3207" s="10" t="str">
        <f>IF(OR(C3207="",B3207=""),"",IFERROR(C3207*INDEX(Harytlar!$D$5:$D$44,MATCH(B3207,Harytlar!$A$5:$A$44,0)),""))</f>
        <v/>
      </c>
    </row>
    <row r="3208" spans="1:7" x14ac:dyDescent="0.3">
      <c r="A3208" s="17"/>
      <c r="B3208" s="18"/>
      <c r="C3208" s="18"/>
      <c r="D3208" s="18"/>
      <c r="E3208" s="10" t="str">
        <f>IF(B3208="","",IFERROR(INDEX(Harytlar!$C$5:$C$44,MATCH(B3208,Harytlar!$A$5:$A$44,0)),""))</f>
        <v/>
      </c>
      <c r="F3208" s="10" t="str">
        <f t="shared" si="50"/>
        <v/>
      </c>
      <c r="G3208" s="10" t="str">
        <f>IF(OR(C3208="",B3208=""),"",IFERROR(C3208*INDEX(Harytlar!$D$5:$D$44,MATCH(B3208,Harytlar!$A$5:$A$44,0)),""))</f>
        <v/>
      </c>
    </row>
    <row r="3209" spans="1:7" x14ac:dyDescent="0.3">
      <c r="A3209" s="17"/>
      <c r="B3209" s="18"/>
      <c r="C3209" s="18"/>
      <c r="D3209" s="18"/>
      <c r="E3209" s="10" t="str">
        <f>IF(B3209="","",IFERROR(INDEX(Harytlar!$C$5:$C$44,MATCH(B3209,Harytlar!$A$5:$A$44,0)),""))</f>
        <v/>
      </c>
      <c r="F3209" s="10" t="str">
        <f t="shared" si="50"/>
        <v/>
      </c>
      <c r="G3209" s="10" t="str">
        <f>IF(OR(C3209="",B3209=""),"",IFERROR(C3209*INDEX(Harytlar!$D$5:$D$44,MATCH(B3209,Harytlar!$A$5:$A$44,0)),""))</f>
        <v/>
      </c>
    </row>
    <row r="3210" spans="1:7" x14ac:dyDescent="0.3">
      <c r="A3210" s="17"/>
      <c r="B3210" s="18"/>
      <c r="C3210" s="18"/>
      <c r="D3210" s="18"/>
      <c r="E3210" s="10" t="str">
        <f>IF(B3210="","",IFERROR(INDEX(Harytlar!$C$5:$C$44,MATCH(B3210,Harytlar!$A$5:$A$44,0)),""))</f>
        <v/>
      </c>
      <c r="F3210" s="10" t="str">
        <f t="shared" si="50"/>
        <v/>
      </c>
      <c r="G3210" s="10" t="str">
        <f>IF(OR(C3210="",B3210=""),"",IFERROR(C3210*INDEX(Harytlar!$D$5:$D$44,MATCH(B3210,Harytlar!$A$5:$A$44,0)),""))</f>
        <v/>
      </c>
    </row>
    <row r="3211" spans="1:7" x14ac:dyDescent="0.3">
      <c r="A3211" s="17"/>
      <c r="B3211" s="18"/>
      <c r="C3211" s="18"/>
      <c r="D3211" s="18"/>
      <c r="E3211" s="10" t="str">
        <f>IF(B3211="","",IFERROR(INDEX(Harytlar!$C$5:$C$44,MATCH(B3211,Harytlar!$A$5:$A$44,0)),""))</f>
        <v/>
      </c>
      <c r="F3211" s="10" t="str">
        <f t="shared" si="50"/>
        <v/>
      </c>
      <c r="G3211" s="10" t="str">
        <f>IF(OR(C3211="",B3211=""),"",IFERROR(C3211*INDEX(Harytlar!$D$5:$D$44,MATCH(B3211,Harytlar!$A$5:$A$44,0)),""))</f>
        <v/>
      </c>
    </row>
    <row r="3212" spans="1:7" x14ac:dyDescent="0.3">
      <c r="A3212" s="17"/>
      <c r="B3212" s="18"/>
      <c r="C3212" s="18"/>
      <c r="D3212" s="18"/>
      <c r="E3212" s="10" t="str">
        <f>IF(B3212="","",IFERROR(INDEX(Harytlar!$C$5:$C$44,MATCH(B3212,Harytlar!$A$5:$A$44,0)),""))</f>
        <v/>
      </c>
      <c r="F3212" s="10" t="str">
        <f t="shared" si="50"/>
        <v/>
      </c>
      <c r="G3212" s="10" t="str">
        <f>IF(OR(C3212="",B3212=""),"",IFERROR(C3212*INDEX(Harytlar!$D$5:$D$44,MATCH(B3212,Harytlar!$A$5:$A$44,0)),""))</f>
        <v/>
      </c>
    </row>
    <row r="3213" spans="1:7" x14ac:dyDescent="0.3">
      <c r="A3213" s="17"/>
      <c r="B3213" s="18"/>
      <c r="C3213" s="18"/>
      <c r="D3213" s="18"/>
      <c r="E3213" s="10" t="str">
        <f>IF(B3213="","",IFERROR(INDEX(Harytlar!$C$5:$C$44,MATCH(B3213,Harytlar!$A$5:$A$44,0)),""))</f>
        <v/>
      </c>
      <c r="F3213" s="10" t="str">
        <f t="shared" si="50"/>
        <v/>
      </c>
      <c r="G3213" s="10" t="str">
        <f>IF(OR(C3213="",B3213=""),"",IFERROR(C3213*INDEX(Harytlar!$D$5:$D$44,MATCH(B3213,Harytlar!$A$5:$A$44,0)),""))</f>
        <v/>
      </c>
    </row>
    <row r="3214" spans="1:7" x14ac:dyDescent="0.3">
      <c r="A3214" s="17"/>
      <c r="B3214" s="18"/>
      <c r="C3214" s="18"/>
      <c r="D3214" s="18"/>
      <c r="E3214" s="10" t="str">
        <f>IF(B3214="","",IFERROR(INDEX(Harytlar!$C$5:$C$44,MATCH(B3214,Harytlar!$A$5:$A$44,0)),""))</f>
        <v/>
      </c>
      <c r="F3214" s="10" t="str">
        <f t="shared" si="50"/>
        <v/>
      </c>
      <c r="G3214" s="10" t="str">
        <f>IF(OR(C3214="",B3214=""),"",IFERROR(C3214*INDEX(Harytlar!$D$5:$D$44,MATCH(B3214,Harytlar!$A$5:$A$44,0)),""))</f>
        <v/>
      </c>
    </row>
    <row r="3215" spans="1:7" x14ac:dyDescent="0.3">
      <c r="A3215" s="17"/>
      <c r="B3215" s="18"/>
      <c r="C3215" s="18"/>
      <c r="D3215" s="18"/>
      <c r="E3215" s="10" t="str">
        <f>IF(B3215="","",IFERROR(INDEX(Harytlar!$C$5:$C$44,MATCH(B3215,Harytlar!$A$5:$A$44,0)),""))</f>
        <v/>
      </c>
      <c r="F3215" s="10" t="str">
        <f t="shared" si="50"/>
        <v/>
      </c>
      <c r="G3215" s="10" t="str">
        <f>IF(OR(C3215="",B3215=""),"",IFERROR(C3215*INDEX(Harytlar!$D$5:$D$44,MATCH(B3215,Harytlar!$A$5:$A$44,0)),""))</f>
        <v/>
      </c>
    </row>
    <row r="3216" spans="1:7" x14ac:dyDescent="0.3">
      <c r="A3216" s="17"/>
      <c r="B3216" s="18"/>
      <c r="C3216" s="18"/>
      <c r="D3216" s="18"/>
      <c r="E3216" s="10" t="str">
        <f>IF(B3216="","",IFERROR(INDEX(Harytlar!$C$5:$C$44,MATCH(B3216,Harytlar!$A$5:$A$44,0)),""))</f>
        <v/>
      </c>
      <c r="F3216" s="10" t="str">
        <f t="shared" si="50"/>
        <v/>
      </c>
      <c r="G3216" s="10" t="str">
        <f>IF(OR(C3216="",B3216=""),"",IFERROR(C3216*INDEX(Harytlar!$D$5:$D$44,MATCH(B3216,Harytlar!$A$5:$A$44,0)),""))</f>
        <v/>
      </c>
    </row>
    <row r="3217" spans="1:7" x14ac:dyDescent="0.3">
      <c r="A3217" s="17"/>
      <c r="B3217" s="18"/>
      <c r="C3217" s="18"/>
      <c r="D3217" s="18"/>
      <c r="E3217" s="10" t="str">
        <f>IF(B3217="","",IFERROR(INDEX(Harytlar!$C$5:$C$44,MATCH(B3217,Harytlar!$A$5:$A$44,0)),""))</f>
        <v/>
      </c>
      <c r="F3217" s="10" t="str">
        <f t="shared" si="50"/>
        <v/>
      </c>
      <c r="G3217" s="10" t="str">
        <f>IF(OR(C3217="",B3217=""),"",IFERROR(C3217*INDEX(Harytlar!$D$5:$D$44,MATCH(B3217,Harytlar!$A$5:$A$44,0)),""))</f>
        <v/>
      </c>
    </row>
    <row r="3218" spans="1:7" x14ac:dyDescent="0.3">
      <c r="A3218" s="17"/>
      <c r="B3218" s="18"/>
      <c r="C3218" s="18"/>
      <c r="D3218" s="18"/>
      <c r="E3218" s="10" t="str">
        <f>IF(B3218="","",IFERROR(INDEX(Harytlar!$C$5:$C$44,MATCH(B3218,Harytlar!$A$5:$A$44,0)),""))</f>
        <v/>
      </c>
      <c r="F3218" s="10" t="str">
        <f t="shared" si="50"/>
        <v/>
      </c>
      <c r="G3218" s="10" t="str">
        <f>IF(OR(C3218="",B3218=""),"",IFERROR(C3218*INDEX(Harytlar!$D$5:$D$44,MATCH(B3218,Harytlar!$A$5:$A$44,0)),""))</f>
        <v/>
      </c>
    </row>
    <row r="3219" spans="1:7" x14ac:dyDescent="0.3">
      <c r="A3219" s="17"/>
      <c r="B3219" s="18"/>
      <c r="C3219" s="18"/>
      <c r="D3219" s="18"/>
      <c r="E3219" s="10" t="str">
        <f>IF(B3219="","",IFERROR(INDEX(Harytlar!$C$5:$C$44,MATCH(B3219,Harytlar!$A$5:$A$44,0)),""))</f>
        <v/>
      </c>
      <c r="F3219" s="10" t="str">
        <f t="shared" si="50"/>
        <v/>
      </c>
      <c r="G3219" s="10" t="str">
        <f>IF(OR(C3219="",B3219=""),"",IFERROR(C3219*INDEX(Harytlar!$D$5:$D$44,MATCH(B3219,Harytlar!$A$5:$A$44,0)),""))</f>
        <v/>
      </c>
    </row>
    <row r="3220" spans="1:7" x14ac:dyDescent="0.3">
      <c r="A3220" s="17"/>
      <c r="B3220" s="18"/>
      <c r="C3220" s="18"/>
      <c r="D3220" s="18"/>
      <c r="E3220" s="10" t="str">
        <f>IF(B3220="","",IFERROR(INDEX(Harytlar!$C$5:$C$44,MATCH(B3220,Harytlar!$A$5:$A$44,0)),""))</f>
        <v/>
      </c>
      <c r="F3220" s="10" t="str">
        <f t="shared" si="50"/>
        <v/>
      </c>
      <c r="G3220" s="10" t="str">
        <f>IF(OR(C3220="",B3220=""),"",IFERROR(C3220*INDEX(Harytlar!$D$5:$D$44,MATCH(B3220,Harytlar!$A$5:$A$44,0)),""))</f>
        <v/>
      </c>
    </row>
    <row r="3221" spans="1:7" x14ac:dyDescent="0.3">
      <c r="A3221" s="17"/>
      <c r="B3221" s="18"/>
      <c r="C3221" s="18"/>
      <c r="D3221" s="18"/>
      <c r="E3221" s="10" t="str">
        <f>IF(B3221="","",IFERROR(INDEX(Harytlar!$C$5:$C$44,MATCH(B3221,Harytlar!$A$5:$A$44,0)),""))</f>
        <v/>
      </c>
      <c r="F3221" s="10" t="str">
        <f t="shared" si="50"/>
        <v/>
      </c>
      <c r="G3221" s="10" t="str">
        <f>IF(OR(C3221="",B3221=""),"",IFERROR(C3221*INDEX(Harytlar!$D$5:$D$44,MATCH(B3221,Harytlar!$A$5:$A$44,0)),""))</f>
        <v/>
      </c>
    </row>
    <row r="3222" spans="1:7" x14ac:dyDescent="0.3">
      <c r="A3222" s="17"/>
      <c r="B3222" s="18"/>
      <c r="C3222" s="18"/>
      <c r="D3222" s="18"/>
      <c r="E3222" s="10" t="str">
        <f>IF(B3222="","",IFERROR(INDEX(Harytlar!$C$5:$C$44,MATCH(B3222,Harytlar!$A$5:$A$44,0)),""))</f>
        <v/>
      </c>
      <c r="F3222" s="10" t="str">
        <f t="shared" si="50"/>
        <v/>
      </c>
      <c r="G3222" s="10" t="str">
        <f>IF(OR(C3222="",B3222=""),"",IFERROR(C3222*INDEX(Harytlar!$D$5:$D$44,MATCH(B3222,Harytlar!$A$5:$A$44,0)),""))</f>
        <v/>
      </c>
    </row>
    <row r="3223" spans="1:7" x14ac:dyDescent="0.3">
      <c r="A3223" s="17"/>
      <c r="B3223" s="18"/>
      <c r="C3223" s="18"/>
      <c r="D3223" s="18"/>
      <c r="E3223" s="10" t="str">
        <f>IF(B3223="","",IFERROR(INDEX(Harytlar!$C$5:$C$44,MATCH(B3223,Harytlar!$A$5:$A$44,0)),""))</f>
        <v/>
      </c>
      <c r="F3223" s="10" t="str">
        <f t="shared" si="50"/>
        <v/>
      </c>
      <c r="G3223" s="10" t="str">
        <f>IF(OR(C3223="",B3223=""),"",IFERROR(C3223*INDEX(Harytlar!$D$5:$D$44,MATCH(B3223,Harytlar!$A$5:$A$44,0)),""))</f>
        <v/>
      </c>
    </row>
    <row r="3224" spans="1:7" x14ac:dyDescent="0.3">
      <c r="A3224" s="17"/>
      <c r="B3224" s="18"/>
      <c r="C3224" s="18"/>
      <c r="D3224" s="18"/>
      <c r="E3224" s="10" t="str">
        <f>IF(B3224="","",IFERROR(INDEX(Harytlar!$C$5:$C$44,MATCH(B3224,Harytlar!$A$5:$A$44,0)),""))</f>
        <v/>
      </c>
      <c r="F3224" s="10" t="str">
        <f t="shared" si="50"/>
        <v/>
      </c>
      <c r="G3224" s="10" t="str">
        <f>IF(OR(C3224="",B3224=""),"",IFERROR(C3224*INDEX(Harytlar!$D$5:$D$44,MATCH(B3224,Harytlar!$A$5:$A$44,0)),""))</f>
        <v/>
      </c>
    </row>
    <row r="3225" spans="1:7" x14ac:dyDescent="0.3">
      <c r="A3225" s="17"/>
      <c r="B3225" s="18"/>
      <c r="C3225" s="18"/>
      <c r="D3225" s="18"/>
      <c r="E3225" s="10" t="str">
        <f>IF(B3225="","",IFERROR(INDEX(Harytlar!$C$5:$C$44,MATCH(B3225,Harytlar!$A$5:$A$44,0)),""))</f>
        <v/>
      </c>
      <c r="F3225" s="10" t="str">
        <f t="shared" si="50"/>
        <v/>
      </c>
      <c r="G3225" s="10" t="str">
        <f>IF(OR(C3225="",B3225=""),"",IFERROR(C3225*INDEX(Harytlar!$D$5:$D$44,MATCH(B3225,Harytlar!$A$5:$A$44,0)),""))</f>
        <v/>
      </c>
    </row>
    <row r="3226" spans="1:7" x14ac:dyDescent="0.3">
      <c r="A3226" s="17"/>
      <c r="B3226" s="18"/>
      <c r="C3226" s="18"/>
      <c r="D3226" s="18"/>
      <c r="E3226" s="10" t="str">
        <f>IF(B3226="","",IFERROR(INDEX(Harytlar!$C$5:$C$44,MATCH(B3226,Harytlar!$A$5:$A$44,0)),""))</f>
        <v/>
      </c>
      <c r="F3226" s="10" t="str">
        <f t="shared" si="50"/>
        <v/>
      </c>
      <c r="G3226" s="10" t="str">
        <f>IF(OR(C3226="",B3226=""),"",IFERROR(C3226*INDEX(Harytlar!$D$5:$D$44,MATCH(B3226,Harytlar!$A$5:$A$44,0)),""))</f>
        <v/>
      </c>
    </row>
    <row r="3227" spans="1:7" x14ac:dyDescent="0.3">
      <c r="A3227" s="17"/>
      <c r="B3227" s="18"/>
      <c r="C3227" s="18"/>
      <c r="D3227" s="18"/>
      <c r="E3227" s="10" t="str">
        <f>IF(B3227="","",IFERROR(INDEX(Harytlar!$C$5:$C$44,MATCH(B3227,Harytlar!$A$5:$A$44,0)),""))</f>
        <v/>
      </c>
      <c r="F3227" s="10" t="str">
        <f t="shared" si="50"/>
        <v/>
      </c>
      <c r="G3227" s="10" t="str">
        <f>IF(OR(C3227="",B3227=""),"",IFERROR(C3227*INDEX(Harytlar!$D$5:$D$44,MATCH(B3227,Harytlar!$A$5:$A$44,0)),""))</f>
        <v/>
      </c>
    </row>
    <row r="3228" spans="1:7" x14ac:dyDescent="0.3">
      <c r="A3228" s="17"/>
      <c r="B3228" s="18"/>
      <c r="C3228" s="18"/>
      <c r="D3228" s="18"/>
      <c r="E3228" s="10" t="str">
        <f>IF(B3228="","",IFERROR(INDEX(Harytlar!$C$5:$C$44,MATCH(B3228,Harytlar!$A$5:$A$44,0)),""))</f>
        <v/>
      </c>
      <c r="F3228" s="10" t="str">
        <f t="shared" si="50"/>
        <v/>
      </c>
      <c r="G3228" s="10" t="str">
        <f>IF(OR(C3228="",B3228=""),"",IFERROR(C3228*INDEX(Harytlar!$D$5:$D$44,MATCH(B3228,Harytlar!$A$5:$A$44,0)),""))</f>
        <v/>
      </c>
    </row>
    <row r="3229" spans="1:7" x14ac:dyDescent="0.3">
      <c r="A3229" s="17"/>
      <c r="B3229" s="18"/>
      <c r="C3229" s="18"/>
      <c r="D3229" s="18"/>
      <c r="E3229" s="10" t="str">
        <f>IF(B3229="","",IFERROR(INDEX(Harytlar!$C$5:$C$44,MATCH(B3229,Harytlar!$A$5:$A$44,0)),""))</f>
        <v/>
      </c>
      <c r="F3229" s="10" t="str">
        <f t="shared" si="50"/>
        <v/>
      </c>
      <c r="G3229" s="10" t="str">
        <f>IF(OR(C3229="",B3229=""),"",IFERROR(C3229*INDEX(Harytlar!$D$5:$D$44,MATCH(B3229,Harytlar!$A$5:$A$44,0)),""))</f>
        <v/>
      </c>
    </row>
    <row r="3230" spans="1:7" x14ac:dyDescent="0.3">
      <c r="A3230" s="17"/>
      <c r="B3230" s="18"/>
      <c r="C3230" s="18"/>
      <c r="D3230" s="18"/>
      <c r="E3230" s="10" t="str">
        <f>IF(B3230="","",IFERROR(INDEX(Harytlar!$C$5:$C$44,MATCH(B3230,Harytlar!$A$5:$A$44,0)),""))</f>
        <v/>
      </c>
      <c r="F3230" s="10" t="str">
        <f t="shared" si="50"/>
        <v/>
      </c>
      <c r="G3230" s="10" t="str">
        <f>IF(OR(C3230="",B3230=""),"",IFERROR(C3230*INDEX(Harytlar!$D$5:$D$44,MATCH(B3230,Harytlar!$A$5:$A$44,0)),""))</f>
        <v/>
      </c>
    </row>
    <row r="3231" spans="1:7" x14ac:dyDescent="0.3">
      <c r="A3231" s="17"/>
      <c r="B3231" s="18"/>
      <c r="C3231" s="18"/>
      <c r="D3231" s="18"/>
      <c r="E3231" s="10" t="str">
        <f>IF(B3231="","",IFERROR(INDEX(Harytlar!$C$5:$C$44,MATCH(B3231,Harytlar!$A$5:$A$44,0)),""))</f>
        <v/>
      </c>
      <c r="F3231" s="10" t="str">
        <f t="shared" si="50"/>
        <v/>
      </c>
      <c r="G3231" s="10" t="str">
        <f>IF(OR(C3231="",B3231=""),"",IFERROR(C3231*INDEX(Harytlar!$D$5:$D$44,MATCH(B3231,Harytlar!$A$5:$A$44,0)),""))</f>
        <v/>
      </c>
    </row>
    <row r="3232" spans="1:7" x14ac:dyDescent="0.3">
      <c r="A3232" s="17"/>
      <c r="B3232" s="18"/>
      <c r="C3232" s="18"/>
      <c r="D3232" s="18"/>
      <c r="E3232" s="10" t="str">
        <f>IF(B3232="","",IFERROR(INDEX(Harytlar!$C$5:$C$44,MATCH(B3232,Harytlar!$A$5:$A$44,0)),""))</f>
        <v/>
      </c>
      <c r="F3232" s="10" t="str">
        <f t="shared" si="50"/>
        <v/>
      </c>
      <c r="G3232" s="10" t="str">
        <f>IF(OR(C3232="",B3232=""),"",IFERROR(C3232*INDEX(Harytlar!$D$5:$D$44,MATCH(B3232,Harytlar!$A$5:$A$44,0)),""))</f>
        <v/>
      </c>
    </row>
    <row r="3233" spans="1:7" x14ac:dyDescent="0.3">
      <c r="A3233" s="17"/>
      <c r="B3233" s="18"/>
      <c r="C3233" s="18"/>
      <c r="D3233" s="18"/>
      <c r="E3233" s="10" t="str">
        <f>IF(B3233="","",IFERROR(INDEX(Harytlar!$C$5:$C$44,MATCH(B3233,Harytlar!$A$5:$A$44,0)),""))</f>
        <v/>
      </c>
      <c r="F3233" s="10" t="str">
        <f t="shared" si="50"/>
        <v/>
      </c>
      <c r="G3233" s="10" t="str">
        <f>IF(OR(C3233="",B3233=""),"",IFERROR(C3233*INDEX(Harytlar!$D$5:$D$44,MATCH(B3233,Harytlar!$A$5:$A$44,0)),""))</f>
        <v/>
      </c>
    </row>
    <row r="3234" spans="1:7" x14ac:dyDescent="0.3">
      <c r="A3234" s="17"/>
      <c r="B3234" s="18"/>
      <c r="C3234" s="18"/>
      <c r="D3234" s="18"/>
      <c r="E3234" s="10" t="str">
        <f>IF(B3234="","",IFERROR(INDEX(Harytlar!$C$5:$C$44,MATCH(B3234,Harytlar!$A$5:$A$44,0)),""))</f>
        <v/>
      </c>
      <c r="F3234" s="10" t="str">
        <f t="shared" si="50"/>
        <v/>
      </c>
      <c r="G3234" s="10" t="str">
        <f>IF(OR(C3234="",B3234=""),"",IFERROR(C3234*INDEX(Harytlar!$D$5:$D$44,MATCH(B3234,Harytlar!$A$5:$A$44,0)),""))</f>
        <v/>
      </c>
    </row>
    <row r="3235" spans="1:7" x14ac:dyDescent="0.3">
      <c r="A3235" s="17"/>
      <c r="B3235" s="18"/>
      <c r="C3235" s="18"/>
      <c r="D3235" s="18"/>
      <c r="E3235" s="10" t="str">
        <f>IF(B3235="","",IFERROR(INDEX(Harytlar!$C$5:$C$44,MATCH(B3235,Harytlar!$A$5:$A$44,0)),""))</f>
        <v/>
      </c>
      <c r="F3235" s="10" t="str">
        <f t="shared" si="50"/>
        <v/>
      </c>
      <c r="G3235" s="10" t="str">
        <f>IF(OR(C3235="",B3235=""),"",IFERROR(C3235*INDEX(Harytlar!$D$5:$D$44,MATCH(B3235,Harytlar!$A$5:$A$44,0)),""))</f>
        <v/>
      </c>
    </row>
    <row r="3236" spans="1:7" x14ac:dyDescent="0.3">
      <c r="A3236" s="17"/>
      <c r="B3236" s="18"/>
      <c r="C3236" s="18"/>
      <c r="D3236" s="18"/>
      <c r="E3236" s="10" t="str">
        <f>IF(B3236="","",IFERROR(INDEX(Harytlar!$C$5:$C$44,MATCH(B3236,Harytlar!$A$5:$A$44,0)),""))</f>
        <v/>
      </c>
      <c r="F3236" s="10" t="str">
        <f t="shared" si="50"/>
        <v/>
      </c>
      <c r="G3236" s="10" t="str">
        <f>IF(OR(C3236="",B3236=""),"",IFERROR(C3236*INDEX(Harytlar!$D$5:$D$44,MATCH(B3236,Harytlar!$A$5:$A$44,0)),""))</f>
        <v/>
      </c>
    </row>
    <row r="3237" spans="1:7" x14ac:dyDescent="0.3">
      <c r="A3237" s="17"/>
      <c r="B3237" s="18"/>
      <c r="C3237" s="18"/>
      <c r="D3237" s="18"/>
      <c r="E3237" s="10" t="str">
        <f>IF(B3237="","",IFERROR(INDEX(Harytlar!$C$5:$C$44,MATCH(B3237,Harytlar!$A$5:$A$44,0)),""))</f>
        <v/>
      </c>
      <c r="F3237" s="10" t="str">
        <f t="shared" si="50"/>
        <v/>
      </c>
      <c r="G3237" s="10" t="str">
        <f>IF(OR(C3237="",B3237=""),"",IFERROR(C3237*INDEX(Harytlar!$D$5:$D$44,MATCH(B3237,Harytlar!$A$5:$A$44,0)),""))</f>
        <v/>
      </c>
    </row>
    <row r="3238" spans="1:7" x14ac:dyDescent="0.3">
      <c r="A3238" s="17"/>
      <c r="B3238" s="18"/>
      <c r="C3238" s="18"/>
      <c r="D3238" s="18"/>
      <c r="E3238" s="10" t="str">
        <f>IF(B3238="","",IFERROR(INDEX(Harytlar!$C$5:$C$44,MATCH(B3238,Harytlar!$A$5:$A$44,0)),""))</f>
        <v/>
      </c>
      <c r="F3238" s="10" t="str">
        <f t="shared" si="50"/>
        <v/>
      </c>
      <c r="G3238" s="10" t="str">
        <f>IF(OR(C3238="",B3238=""),"",IFERROR(C3238*INDEX(Harytlar!$D$5:$D$44,MATCH(B3238,Harytlar!$A$5:$A$44,0)),""))</f>
        <v/>
      </c>
    </row>
    <row r="3239" spans="1:7" x14ac:dyDescent="0.3">
      <c r="A3239" s="17"/>
      <c r="B3239" s="18"/>
      <c r="C3239" s="18"/>
      <c r="D3239" s="18"/>
      <c r="E3239" s="10" t="str">
        <f>IF(B3239="","",IFERROR(INDEX(Harytlar!$C$5:$C$44,MATCH(B3239,Harytlar!$A$5:$A$44,0)),""))</f>
        <v/>
      </c>
      <c r="F3239" s="10" t="str">
        <f t="shared" si="50"/>
        <v/>
      </c>
      <c r="G3239" s="10" t="str">
        <f>IF(OR(C3239="",B3239=""),"",IFERROR(C3239*INDEX(Harytlar!$D$5:$D$44,MATCH(B3239,Harytlar!$A$5:$A$44,0)),""))</f>
        <v/>
      </c>
    </row>
    <row r="3240" spans="1:7" x14ac:dyDescent="0.3">
      <c r="A3240" s="17"/>
      <c r="B3240" s="18"/>
      <c r="C3240" s="18"/>
      <c r="D3240" s="18"/>
      <c r="E3240" s="10" t="str">
        <f>IF(B3240="","",IFERROR(INDEX(Harytlar!$C$5:$C$44,MATCH(B3240,Harytlar!$A$5:$A$44,0)),""))</f>
        <v/>
      </c>
      <c r="F3240" s="10" t="str">
        <f t="shared" si="50"/>
        <v/>
      </c>
      <c r="G3240" s="10" t="str">
        <f>IF(OR(C3240="",B3240=""),"",IFERROR(C3240*INDEX(Harytlar!$D$5:$D$44,MATCH(B3240,Harytlar!$A$5:$A$44,0)),""))</f>
        <v/>
      </c>
    </row>
    <row r="3241" spans="1:7" x14ac:dyDescent="0.3">
      <c r="A3241" s="17"/>
      <c r="B3241" s="18"/>
      <c r="C3241" s="18"/>
      <c r="D3241" s="18"/>
      <c r="E3241" s="10" t="str">
        <f>IF(B3241="","",IFERROR(INDEX(Harytlar!$C$5:$C$44,MATCH(B3241,Harytlar!$A$5:$A$44,0)),""))</f>
        <v/>
      </c>
      <c r="F3241" s="10" t="str">
        <f t="shared" si="50"/>
        <v/>
      </c>
      <c r="G3241" s="10" t="str">
        <f>IF(OR(C3241="",B3241=""),"",IFERROR(C3241*INDEX(Harytlar!$D$5:$D$44,MATCH(B3241,Harytlar!$A$5:$A$44,0)),""))</f>
        <v/>
      </c>
    </row>
    <row r="3242" spans="1:7" x14ac:dyDescent="0.3">
      <c r="A3242" s="17"/>
      <c r="B3242" s="18"/>
      <c r="C3242" s="18"/>
      <c r="D3242" s="18"/>
      <c r="E3242" s="10" t="str">
        <f>IF(B3242="","",IFERROR(INDEX(Harytlar!$C$5:$C$44,MATCH(B3242,Harytlar!$A$5:$A$44,0)),""))</f>
        <v/>
      </c>
      <c r="F3242" s="10" t="str">
        <f t="shared" si="50"/>
        <v/>
      </c>
      <c r="G3242" s="10" t="str">
        <f>IF(OR(C3242="",B3242=""),"",IFERROR(C3242*INDEX(Harytlar!$D$5:$D$44,MATCH(B3242,Harytlar!$A$5:$A$44,0)),""))</f>
        <v/>
      </c>
    </row>
    <row r="3243" spans="1:7" x14ac:dyDescent="0.3">
      <c r="A3243" s="17"/>
      <c r="B3243" s="18"/>
      <c r="C3243" s="18"/>
      <c r="D3243" s="18"/>
      <c r="E3243" s="10" t="str">
        <f>IF(B3243="","",IFERROR(INDEX(Harytlar!$C$5:$C$44,MATCH(B3243,Harytlar!$A$5:$A$44,0)),""))</f>
        <v/>
      </c>
      <c r="F3243" s="10" t="str">
        <f t="shared" si="50"/>
        <v/>
      </c>
      <c r="G3243" s="10" t="str">
        <f>IF(OR(C3243="",B3243=""),"",IFERROR(C3243*INDEX(Harytlar!$D$5:$D$44,MATCH(B3243,Harytlar!$A$5:$A$44,0)),""))</f>
        <v/>
      </c>
    </row>
    <row r="3244" spans="1:7" x14ac:dyDescent="0.3">
      <c r="A3244" s="17"/>
      <c r="B3244" s="18"/>
      <c r="C3244" s="18"/>
      <c r="D3244" s="18"/>
      <c r="E3244" s="10" t="str">
        <f>IF(B3244="","",IFERROR(INDEX(Harytlar!$C$5:$C$44,MATCH(B3244,Harytlar!$A$5:$A$44,0)),""))</f>
        <v/>
      </c>
      <c r="F3244" s="10" t="str">
        <f t="shared" si="50"/>
        <v/>
      </c>
      <c r="G3244" s="10" t="str">
        <f>IF(OR(C3244="",B3244=""),"",IFERROR(C3244*INDEX(Harytlar!$D$5:$D$44,MATCH(B3244,Harytlar!$A$5:$A$44,0)),""))</f>
        <v/>
      </c>
    </row>
    <row r="3245" spans="1:7" x14ac:dyDescent="0.3">
      <c r="A3245" s="17"/>
      <c r="B3245" s="18"/>
      <c r="C3245" s="18"/>
      <c r="D3245" s="18"/>
      <c r="E3245" s="10" t="str">
        <f>IF(B3245="","",IFERROR(INDEX(Harytlar!$C$5:$C$44,MATCH(B3245,Harytlar!$A$5:$A$44,0)),""))</f>
        <v/>
      </c>
      <c r="F3245" s="10" t="str">
        <f t="shared" si="50"/>
        <v/>
      </c>
      <c r="G3245" s="10" t="str">
        <f>IF(OR(C3245="",B3245=""),"",IFERROR(C3245*INDEX(Harytlar!$D$5:$D$44,MATCH(B3245,Harytlar!$A$5:$A$44,0)),""))</f>
        <v/>
      </c>
    </row>
    <row r="3246" spans="1:7" x14ac:dyDescent="0.3">
      <c r="A3246" s="17"/>
      <c r="B3246" s="18"/>
      <c r="C3246" s="18"/>
      <c r="D3246" s="18"/>
      <c r="E3246" s="10" t="str">
        <f>IF(B3246="","",IFERROR(INDEX(Harytlar!$C$5:$C$44,MATCH(B3246,Harytlar!$A$5:$A$44,0)),""))</f>
        <v/>
      </c>
      <c r="F3246" s="10" t="str">
        <f t="shared" si="50"/>
        <v/>
      </c>
      <c r="G3246" s="10" t="str">
        <f>IF(OR(C3246="",B3246=""),"",IFERROR(C3246*INDEX(Harytlar!$D$5:$D$44,MATCH(B3246,Harytlar!$A$5:$A$44,0)),""))</f>
        <v/>
      </c>
    </row>
    <row r="3247" spans="1:7" x14ac:dyDescent="0.3">
      <c r="A3247" s="17"/>
      <c r="B3247" s="18"/>
      <c r="C3247" s="18"/>
      <c r="D3247" s="18"/>
      <c r="E3247" s="10" t="str">
        <f>IF(B3247="","",IFERROR(INDEX(Harytlar!$C$5:$C$44,MATCH(B3247,Harytlar!$A$5:$A$44,0)),""))</f>
        <v/>
      </c>
      <c r="F3247" s="10" t="str">
        <f t="shared" si="50"/>
        <v/>
      </c>
      <c r="G3247" s="10" t="str">
        <f>IF(OR(C3247="",B3247=""),"",IFERROR(C3247*INDEX(Harytlar!$D$5:$D$44,MATCH(B3247,Harytlar!$A$5:$A$44,0)),""))</f>
        <v/>
      </c>
    </row>
    <row r="3248" spans="1:7" x14ac:dyDescent="0.3">
      <c r="A3248" s="17"/>
      <c r="B3248" s="18"/>
      <c r="C3248" s="18"/>
      <c r="D3248" s="18"/>
      <c r="E3248" s="10" t="str">
        <f>IF(B3248="","",IFERROR(INDEX(Harytlar!$C$5:$C$44,MATCH(B3248,Harytlar!$A$5:$A$44,0)),""))</f>
        <v/>
      </c>
      <c r="F3248" s="10" t="str">
        <f t="shared" si="50"/>
        <v/>
      </c>
      <c r="G3248" s="10" t="str">
        <f>IF(OR(C3248="",B3248=""),"",IFERROR(C3248*INDEX(Harytlar!$D$5:$D$44,MATCH(B3248,Harytlar!$A$5:$A$44,0)),""))</f>
        <v/>
      </c>
    </row>
    <row r="3249" spans="1:7" x14ac:dyDescent="0.3">
      <c r="A3249" s="17"/>
      <c r="B3249" s="18"/>
      <c r="C3249" s="18"/>
      <c r="D3249" s="18"/>
      <c r="E3249" s="10" t="str">
        <f>IF(B3249="","",IFERROR(INDEX(Harytlar!$C$5:$C$44,MATCH(B3249,Harytlar!$A$5:$A$44,0)),""))</f>
        <v/>
      </c>
      <c r="F3249" s="10" t="str">
        <f t="shared" si="50"/>
        <v/>
      </c>
      <c r="G3249" s="10" t="str">
        <f>IF(OR(C3249="",B3249=""),"",IFERROR(C3249*INDEX(Harytlar!$D$5:$D$44,MATCH(B3249,Harytlar!$A$5:$A$44,0)),""))</f>
        <v/>
      </c>
    </row>
    <row r="3250" spans="1:7" x14ac:dyDescent="0.3">
      <c r="A3250" s="17"/>
      <c r="B3250" s="18"/>
      <c r="C3250" s="18"/>
      <c r="D3250" s="18"/>
      <c r="E3250" s="10" t="str">
        <f>IF(B3250="","",IFERROR(INDEX(Harytlar!$C$5:$C$44,MATCH(B3250,Harytlar!$A$5:$A$44,0)),""))</f>
        <v/>
      </c>
      <c r="F3250" s="10" t="str">
        <f t="shared" si="50"/>
        <v/>
      </c>
      <c r="G3250" s="10" t="str">
        <f>IF(OR(C3250="",B3250=""),"",IFERROR(C3250*INDEX(Harytlar!$D$5:$D$44,MATCH(B3250,Harytlar!$A$5:$A$44,0)),""))</f>
        <v/>
      </c>
    </row>
    <row r="3251" spans="1:7" x14ac:dyDescent="0.3">
      <c r="A3251" s="17"/>
      <c r="B3251" s="18"/>
      <c r="C3251" s="18"/>
      <c r="D3251" s="18"/>
      <c r="E3251" s="10" t="str">
        <f>IF(B3251="","",IFERROR(INDEX(Harytlar!$C$5:$C$44,MATCH(B3251,Harytlar!$A$5:$A$44,0)),""))</f>
        <v/>
      </c>
      <c r="F3251" s="10" t="str">
        <f t="shared" si="50"/>
        <v/>
      </c>
      <c r="G3251" s="10" t="str">
        <f>IF(OR(C3251="",B3251=""),"",IFERROR(C3251*INDEX(Harytlar!$D$5:$D$44,MATCH(B3251,Harytlar!$A$5:$A$44,0)),""))</f>
        <v/>
      </c>
    </row>
    <row r="3252" spans="1:7" x14ac:dyDescent="0.3">
      <c r="A3252" s="17"/>
      <c r="B3252" s="18"/>
      <c r="C3252" s="18"/>
      <c r="D3252" s="18"/>
      <c r="E3252" s="10" t="str">
        <f>IF(B3252="","",IFERROR(INDEX(Harytlar!$C$5:$C$44,MATCH(B3252,Harytlar!$A$5:$A$44,0)),""))</f>
        <v/>
      </c>
      <c r="F3252" s="10" t="str">
        <f t="shared" si="50"/>
        <v/>
      </c>
      <c r="G3252" s="10" t="str">
        <f>IF(OR(C3252="",B3252=""),"",IFERROR(C3252*INDEX(Harytlar!$D$5:$D$44,MATCH(B3252,Harytlar!$A$5:$A$44,0)),""))</f>
        <v/>
      </c>
    </row>
    <row r="3253" spans="1:7" x14ac:dyDescent="0.3">
      <c r="A3253" s="17"/>
      <c r="B3253" s="18"/>
      <c r="C3253" s="18"/>
      <c r="D3253" s="18"/>
      <c r="E3253" s="10" t="str">
        <f>IF(B3253="","",IFERROR(INDEX(Harytlar!$C$5:$C$44,MATCH(B3253,Harytlar!$A$5:$A$44,0)),""))</f>
        <v/>
      </c>
      <c r="F3253" s="10" t="str">
        <f t="shared" si="50"/>
        <v/>
      </c>
      <c r="G3253" s="10" t="str">
        <f>IF(OR(C3253="",B3253=""),"",IFERROR(C3253*INDEX(Harytlar!$D$5:$D$44,MATCH(B3253,Harytlar!$A$5:$A$44,0)),""))</f>
        <v/>
      </c>
    </row>
    <row r="3254" spans="1:7" x14ac:dyDescent="0.3">
      <c r="A3254" s="17"/>
      <c r="B3254" s="18"/>
      <c r="C3254" s="18"/>
      <c r="D3254" s="18"/>
      <c r="E3254" s="10" t="str">
        <f>IF(B3254="","",IFERROR(INDEX(Harytlar!$C$5:$C$44,MATCH(B3254,Harytlar!$A$5:$A$44,0)),""))</f>
        <v/>
      </c>
      <c r="F3254" s="10" t="str">
        <f t="shared" si="50"/>
        <v/>
      </c>
      <c r="G3254" s="10" t="str">
        <f>IF(OR(C3254="",B3254=""),"",IFERROR(C3254*INDEX(Harytlar!$D$5:$D$44,MATCH(B3254,Harytlar!$A$5:$A$44,0)),""))</f>
        <v/>
      </c>
    </row>
    <row r="3255" spans="1:7" x14ac:dyDescent="0.3">
      <c r="A3255" s="17"/>
      <c r="B3255" s="18"/>
      <c r="C3255" s="18"/>
      <c r="D3255" s="18"/>
      <c r="E3255" s="10" t="str">
        <f>IF(B3255="","",IFERROR(INDEX(Harytlar!$C$5:$C$44,MATCH(B3255,Harytlar!$A$5:$A$44,0)),""))</f>
        <v/>
      </c>
      <c r="F3255" s="10" t="str">
        <f t="shared" si="50"/>
        <v/>
      </c>
      <c r="G3255" s="10" t="str">
        <f>IF(OR(C3255="",B3255=""),"",IFERROR(C3255*INDEX(Harytlar!$D$5:$D$44,MATCH(B3255,Harytlar!$A$5:$A$44,0)),""))</f>
        <v/>
      </c>
    </row>
    <row r="3256" spans="1:7" x14ac:dyDescent="0.3">
      <c r="A3256" s="17"/>
      <c r="B3256" s="18"/>
      <c r="C3256" s="18"/>
      <c r="D3256" s="18"/>
      <c r="E3256" s="10" t="str">
        <f>IF(B3256="","",IFERROR(INDEX(Harytlar!$C$5:$C$44,MATCH(B3256,Harytlar!$A$5:$A$44,0)),""))</f>
        <v/>
      </c>
      <c r="F3256" s="10" t="str">
        <f t="shared" si="50"/>
        <v/>
      </c>
      <c r="G3256" s="10" t="str">
        <f>IF(OR(C3256="",B3256=""),"",IFERROR(C3256*INDEX(Harytlar!$D$5:$D$44,MATCH(B3256,Harytlar!$A$5:$A$44,0)),""))</f>
        <v/>
      </c>
    </row>
    <row r="3257" spans="1:7" x14ac:dyDescent="0.3">
      <c r="A3257" s="17"/>
      <c r="B3257" s="18"/>
      <c r="C3257" s="18"/>
      <c r="D3257" s="18"/>
      <c r="E3257" s="10" t="str">
        <f>IF(B3257="","",IFERROR(INDEX(Harytlar!$C$5:$C$44,MATCH(B3257,Harytlar!$A$5:$A$44,0)),""))</f>
        <v/>
      </c>
      <c r="F3257" s="10" t="str">
        <f t="shared" si="50"/>
        <v/>
      </c>
      <c r="G3257" s="10" t="str">
        <f>IF(OR(C3257="",B3257=""),"",IFERROR(C3257*INDEX(Harytlar!$D$5:$D$44,MATCH(B3257,Harytlar!$A$5:$A$44,0)),""))</f>
        <v/>
      </c>
    </row>
    <row r="3258" spans="1:7" x14ac:dyDescent="0.3">
      <c r="A3258" s="17"/>
      <c r="B3258" s="18"/>
      <c r="C3258" s="18"/>
      <c r="D3258" s="18"/>
      <c r="E3258" s="10" t="str">
        <f>IF(B3258="","",IFERROR(INDEX(Harytlar!$C$5:$C$44,MATCH(B3258,Harytlar!$A$5:$A$44,0)),""))</f>
        <v/>
      </c>
      <c r="F3258" s="10" t="str">
        <f t="shared" si="50"/>
        <v/>
      </c>
      <c r="G3258" s="10" t="str">
        <f>IF(OR(C3258="",B3258=""),"",IFERROR(C3258*INDEX(Harytlar!$D$5:$D$44,MATCH(B3258,Harytlar!$A$5:$A$44,0)),""))</f>
        <v/>
      </c>
    </row>
    <row r="3259" spans="1:7" x14ac:dyDescent="0.3">
      <c r="A3259" s="17"/>
      <c r="B3259" s="18"/>
      <c r="C3259" s="18"/>
      <c r="D3259" s="18"/>
      <c r="E3259" s="10" t="str">
        <f>IF(B3259="","",IFERROR(INDEX(Harytlar!$C$5:$C$44,MATCH(B3259,Harytlar!$A$5:$A$44,0)),""))</f>
        <v/>
      </c>
      <c r="F3259" s="10" t="str">
        <f t="shared" si="50"/>
        <v/>
      </c>
      <c r="G3259" s="10" t="str">
        <f>IF(OR(C3259="",B3259=""),"",IFERROR(C3259*INDEX(Harytlar!$D$5:$D$44,MATCH(B3259,Harytlar!$A$5:$A$44,0)),""))</f>
        <v/>
      </c>
    </row>
    <row r="3260" spans="1:7" x14ac:dyDescent="0.3">
      <c r="A3260" s="17"/>
      <c r="B3260" s="18"/>
      <c r="C3260" s="18"/>
      <c r="D3260" s="18"/>
      <c r="E3260" s="10" t="str">
        <f>IF(B3260="","",IFERROR(INDEX(Harytlar!$C$5:$C$44,MATCH(B3260,Harytlar!$A$5:$A$44,0)),""))</f>
        <v/>
      </c>
      <c r="F3260" s="10" t="str">
        <f t="shared" si="50"/>
        <v/>
      </c>
      <c r="G3260" s="10" t="str">
        <f>IF(OR(C3260="",B3260=""),"",IFERROR(C3260*INDEX(Harytlar!$D$5:$D$44,MATCH(B3260,Harytlar!$A$5:$A$44,0)),""))</f>
        <v/>
      </c>
    </row>
    <row r="3261" spans="1:7" x14ac:dyDescent="0.3">
      <c r="A3261" s="17"/>
      <c r="B3261" s="18"/>
      <c r="C3261" s="18"/>
      <c r="D3261" s="18"/>
      <c r="E3261" s="10" t="str">
        <f>IF(B3261="","",IFERROR(INDEX(Harytlar!$C$5:$C$44,MATCH(B3261,Harytlar!$A$5:$A$44,0)),""))</f>
        <v/>
      </c>
      <c r="F3261" s="10" t="str">
        <f t="shared" si="50"/>
        <v/>
      </c>
      <c r="G3261" s="10" t="str">
        <f>IF(OR(C3261="",B3261=""),"",IFERROR(C3261*INDEX(Harytlar!$D$5:$D$44,MATCH(B3261,Harytlar!$A$5:$A$44,0)),""))</f>
        <v/>
      </c>
    </row>
    <row r="3262" spans="1:7" x14ac:dyDescent="0.3">
      <c r="A3262" s="17"/>
      <c r="B3262" s="18"/>
      <c r="C3262" s="18"/>
      <c r="D3262" s="18"/>
      <c r="E3262" s="10" t="str">
        <f>IF(B3262="","",IFERROR(INDEX(Harytlar!$C$5:$C$44,MATCH(B3262,Harytlar!$A$5:$A$44,0)),""))</f>
        <v/>
      </c>
      <c r="F3262" s="10" t="str">
        <f t="shared" si="50"/>
        <v/>
      </c>
      <c r="G3262" s="10" t="str">
        <f>IF(OR(C3262="",B3262=""),"",IFERROR(C3262*INDEX(Harytlar!$D$5:$D$44,MATCH(B3262,Harytlar!$A$5:$A$44,0)),""))</f>
        <v/>
      </c>
    </row>
    <row r="3263" spans="1:7" x14ac:dyDescent="0.3">
      <c r="A3263" s="17"/>
      <c r="B3263" s="18"/>
      <c r="C3263" s="18"/>
      <c r="D3263" s="18"/>
      <c r="E3263" s="10" t="str">
        <f>IF(B3263="","",IFERROR(INDEX(Harytlar!$C$5:$C$44,MATCH(B3263,Harytlar!$A$5:$A$44,0)),""))</f>
        <v/>
      </c>
      <c r="F3263" s="10" t="str">
        <f t="shared" si="50"/>
        <v/>
      </c>
      <c r="G3263" s="10" t="str">
        <f>IF(OR(C3263="",B3263=""),"",IFERROR(C3263*INDEX(Harytlar!$D$5:$D$44,MATCH(B3263,Harytlar!$A$5:$A$44,0)),""))</f>
        <v/>
      </c>
    </row>
    <row r="3264" spans="1:7" x14ac:dyDescent="0.3">
      <c r="A3264" s="17"/>
      <c r="B3264" s="18"/>
      <c r="C3264" s="18"/>
      <c r="D3264" s="18"/>
      <c r="E3264" s="10" t="str">
        <f>IF(B3264="","",IFERROR(INDEX(Harytlar!$C$5:$C$44,MATCH(B3264,Harytlar!$A$5:$A$44,0)),""))</f>
        <v/>
      </c>
      <c r="F3264" s="10" t="str">
        <f t="shared" si="50"/>
        <v/>
      </c>
      <c r="G3264" s="10" t="str">
        <f>IF(OR(C3264="",B3264=""),"",IFERROR(C3264*INDEX(Harytlar!$D$5:$D$44,MATCH(B3264,Harytlar!$A$5:$A$44,0)),""))</f>
        <v/>
      </c>
    </row>
    <row r="3265" spans="1:7" x14ac:dyDescent="0.3">
      <c r="A3265" s="17"/>
      <c r="B3265" s="18"/>
      <c r="C3265" s="18"/>
      <c r="D3265" s="18"/>
      <c r="E3265" s="10" t="str">
        <f>IF(B3265="","",IFERROR(INDEX(Harytlar!$C$5:$C$44,MATCH(B3265,Harytlar!$A$5:$A$44,0)),""))</f>
        <v/>
      </c>
      <c r="F3265" s="10" t="str">
        <f t="shared" si="50"/>
        <v/>
      </c>
      <c r="G3265" s="10" t="str">
        <f>IF(OR(C3265="",B3265=""),"",IFERROR(C3265*INDEX(Harytlar!$D$5:$D$44,MATCH(B3265,Harytlar!$A$5:$A$44,0)),""))</f>
        <v/>
      </c>
    </row>
    <row r="3266" spans="1:7" x14ac:dyDescent="0.3">
      <c r="A3266" s="17"/>
      <c r="B3266" s="18"/>
      <c r="C3266" s="18"/>
      <c r="D3266" s="18"/>
      <c r="E3266" s="10" t="str">
        <f>IF(B3266="","",IFERROR(INDEX(Harytlar!$C$5:$C$44,MATCH(B3266,Harytlar!$A$5:$A$44,0)),""))</f>
        <v/>
      </c>
      <c r="F3266" s="10" t="str">
        <f t="shared" si="50"/>
        <v/>
      </c>
      <c r="G3266" s="10" t="str">
        <f>IF(OR(C3266="",B3266=""),"",IFERROR(C3266*INDEX(Harytlar!$D$5:$D$44,MATCH(B3266,Harytlar!$A$5:$A$44,0)),""))</f>
        <v/>
      </c>
    </row>
    <row r="3267" spans="1:7" x14ac:dyDescent="0.3">
      <c r="A3267" s="17"/>
      <c r="B3267" s="18"/>
      <c r="C3267" s="18"/>
      <c r="D3267" s="18"/>
      <c r="E3267" s="10" t="str">
        <f>IF(B3267="","",IFERROR(INDEX(Harytlar!$C$5:$C$44,MATCH(B3267,Harytlar!$A$5:$A$44,0)),""))</f>
        <v/>
      </c>
      <c r="F3267" s="10" t="str">
        <f t="shared" si="50"/>
        <v/>
      </c>
      <c r="G3267" s="10" t="str">
        <f>IF(OR(C3267="",B3267=""),"",IFERROR(C3267*INDEX(Harytlar!$D$5:$D$44,MATCH(B3267,Harytlar!$A$5:$A$44,0)),""))</f>
        <v/>
      </c>
    </row>
    <row r="3268" spans="1:7" x14ac:dyDescent="0.3">
      <c r="A3268" s="17"/>
      <c r="B3268" s="18"/>
      <c r="C3268" s="18"/>
      <c r="D3268" s="18"/>
      <c r="E3268" s="10" t="str">
        <f>IF(B3268="","",IFERROR(INDEX(Harytlar!$C$5:$C$44,MATCH(B3268,Harytlar!$A$5:$A$44,0)),""))</f>
        <v/>
      </c>
      <c r="F3268" s="10" t="str">
        <f t="shared" si="50"/>
        <v/>
      </c>
      <c r="G3268" s="10" t="str">
        <f>IF(OR(C3268="",B3268=""),"",IFERROR(C3268*INDEX(Harytlar!$D$5:$D$44,MATCH(B3268,Harytlar!$A$5:$A$44,0)),""))</f>
        <v/>
      </c>
    </row>
    <row r="3269" spans="1:7" x14ac:dyDescent="0.3">
      <c r="A3269" s="17"/>
      <c r="B3269" s="18"/>
      <c r="C3269" s="18"/>
      <c r="D3269" s="18"/>
      <c r="E3269" s="10" t="str">
        <f>IF(B3269="","",IFERROR(INDEX(Harytlar!$C$5:$C$44,MATCH(B3269,Harytlar!$A$5:$A$44,0)),""))</f>
        <v/>
      </c>
      <c r="F3269" s="10" t="str">
        <f t="shared" si="50"/>
        <v/>
      </c>
      <c r="G3269" s="10" t="str">
        <f>IF(OR(C3269="",B3269=""),"",IFERROR(C3269*INDEX(Harytlar!$D$5:$D$44,MATCH(B3269,Harytlar!$A$5:$A$44,0)),""))</f>
        <v/>
      </c>
    </row>
    <row r="3270" spans="1:7" x14ac:dyDescent="0.3">
      <c r="A3270" s="17"/>
      <c r="B3270" s="18"/>
      <c r="C3270" s="18"/>
      <c r="D3270" s="18"/>
      <c r="E3270" s="10" t="str">
        <f>IF(B3270="","",IFERROR(INDEX(Harytlar!$C$5:$C$44,MATCH(B3270,Harytlar!$A$5:$A$44,0)),""))</f>
        <v/>
      </c>
      <c r="F3270" s="10" t="str">
        <f t="shared" ref="F3270:F3333" si="51">IF(OR(C3270="",E3270=""),"",C3270*E3270)</f>
        <v/>
      </c>
      <c r="G3270" s="10" t="str">
        <f>IF(OR(C3270="",B3270=""),"",IFERROR(C3270*INDEX(Harytlar!$D$5:$D$44,MATCH(B3270,Harytlar!$A$5:$A$44,0)),""))</f>
        <v/>
      </c>
    </row>
    <row r="3271" spans="1:7" x14ac:dyDescent="0.3">
      <c r="A3271" s="17"/>
      <c r="B3271" s="18"/>
      <c r="C3271" s="18"/>
      <c r="D3271" s="18"/>
      <c r="E3271" s="10" t="str">
        <f>IF(B3271="","",IFERROR(INDEX(Harytlar!$C$5:$C$44,MATCH(B3271,Harytlar!$A$5:$A$44,0)),""))</f>
        <v/>
      </c>
      <c r="F3271" s="10" t="str">
        <f t="shared" si="51"/>
        <v/>
      </c>
      <c r="G3271" s="10" t="str">
        <f>IF(OR(C3271="",B3271=""),"",IFERROR(C3271*INDEX(Harytlar!$D$5:$D$44,MATCH(B3271,Harytlar!$A$5:$A$44,0)),""))</f>
        <v/>
      </c>
    </row>
    <row r="3272" spans="1:7" x14ac:dyDescent="0.3">
      <c r="A3272" s="17"/>
      <c r="B3272" s="18"/>
      <c r="C3272" s="18"/>
      <c r="D3272" s="18"/>
      <c r="E3272" s="10" t="str">
        <f>IF(B3272="","",IFERROR(INDEX(Harytlar!$C$5:$C$44,MATCH(B3272,Harytlar!$A$5:$A$44,0)),""))</f>
        <v/>
      </c>
      <c r="F3272" s="10" t="str">
        <f t="shared" si="51"/>
        <v/>
      </c>
      <c r="G3272" s="10" t="str">
        <f>IF(OR(C3272="",B3272=""),"",IFERROR(C3272*INDEX(Harytlar!$D$5:$D$44,MATCH(B3272,Harytlar!$A$5:$A$44,0)),""))</f>
        <v/>
      </c>
    </row>
    <row r="3273" spans="1:7" x14ac:dyDescent="0.3">
      <c r="A3273" s="17"/>
      <c r="B3273" s="18"/>
      <c r="C3273" s="18"/>
      <c r="D3273" s="18"/>
      <c r="E3273" s="10" t="str">
        <f>IF(B3273="","",IFERROR(INDEX(Harytlar!$C$5:$C$44,MATCH(B3273,Harytlar!$A$5:$A$44,0)),""))</f>
        <v/>
      </c>
      <c r="F3273" s="10" t="str">
        <f t="shared" si="51"/>
        <v/>
      </c>
      <c r="G3273" s="10" t="str">
        <f>IF(OR(C3273="",B3273=""),"",IFERROR(C3273*INDEX(Harytlar!$D$5:$D$44,MATCH(B3273,Harytlar!$A$5:$A$44,0)),""))</f>
        <v/>
      </c>
    </row>
    <row r="3274" spans="1:7" x14ac:dyDescent="0.3">
      <c r="A3274" s="17"/>
      <c r="B3274" s="18"/>
      <c r="C3274" s="18"/>
      <c r="D3274" s="18"/>
      <c r="E3274" s="10" t="str">
        <f>IF(B3274="","",IFERROR(INDEX(Harytlar!$C$5:$C$44,MATCH(B3274,Harytlar!$A$5:$A$44,0)),""))</f>
        <v/>
      </c>
      <c r="F3274" s="10" t="str">
        <f t="shared" si="51"/>
        <v/>
      </c>
      <c r="G3274" s="10" t="str">
        <f>IF(OR(C3274="",B3274=""),"",IFERROR(C3274*INDEX(Harytlar!$D$5:$D$44,MATCH(B3274,Harytlar!$A$5:$A$44,0)),""))</f>
        <v/>
      </c>
    </row>
    <row r="3275" spans="1:7" x14ac:dyDescent="0.3">
      <c r="A3275" s="17"/>
      <c r="B3275" s="18"/>
      <c r="C3275" s="18"/>
      <c r="D3275" s="18"/>
      <c r="E3275" s="10" t="str">
        <f>IF(B3275="","",IFERROR(INDEX(Harytlar!$C$5:$C$44,MATCH(B3275,Harytlar!$A$5:$A$44,0)),""))</f>
        <v/>
      </c>
      <c r="F3275" s="10" t="str">
        <f t="shared" si="51"/>
        <v/>
      </c>
      <c r="G3275" s="10" t="str">
        <f>IF(OR(C3275="",B3275=""),"",IFERROR(C3275*INDEX(Harytlar!$D$5:$D$44,MATCH(B3275,Harytlar!$A$5:$A$44,0)),""))</f>
        <v/>
      </c>
    </row>
    <row r="3276" spans="1:7" x14ac:dyDescent="0.3">
      <c r="A3276" s="17"/>
      <c r="B3276" s="18"/>
      <c r="C3276" s="18"/>
      <c r="D3276" s="18"/>
      <c r="E3276" s="10" t="str">
        <f>IF(B3276="","",IFERROR(INDEX(Harytlar!$C$5:$C$44,MATCH(B3276,Harytlar!$A$5:$A$44,0)),""))</f>
        <v/>
      </c>
      <c r="F3276" s="10" t="str">
        <f t="shared" si="51"/>
        <v/>
      </c>
      <c r="G3276" s="10" t="str">
        <f>IF(OR(C3276="",B3276=""),"",IFERROR(C3276*INDEX(Harytlar!$D$5:$D$44,MATCH(B3276,Harytlar!$A$5:$A$44,0)),""))</f>
        <v/>
      </c>
    </row>
    <row r="3277" spans="1:7" x14ac:dyDescent="0.3">
      <c r="A3277" s="17"/>
      <c r="B3277" s="18"/>
      <c r="C3277" s="18"/>
      <c r="D3277" s="18"/>
      <c r="E3277" s="10" t="str">
        <f>IF(B3277="","",IFERROR(INDEX(Harytlar!$C$5:$C$44,MATCH(B3277,Harytlar!$A$5:$A$44,0)),""))</f>
        <v/>
      </c>
      <c r="F3277" s="10" t="str">
        <f t="shared" si="51"/>
        <v/>
      </c>
      <c r="G3277" s="10" t="str">
        <f>IF(OR(C3277="",B3277=""),"",IFERROR(C3277*INDEX(Harytlar!$D$5:$D$44,MATCH(B3277,Harytlar!$A$5:$A$44,0)),""))</f>
        <v/>
      </c>
    </row>
    <row r="3278" spans="1:7" x14ac:dyDescent="0.3">
      <c r="A3278" s="17"/>
      <c r="B3278" s="18"/>
      <c r="C3278" s="18"/>
      <c r="D3278" s="18"/>
      <c r="E3278" s="10" t="str">
        <f>IF(B3278="","",IFERROR(INDEX(Harytlar!$C$5:$C$44,MATCH(B3278,Harytlar!$A$5:$A$44,0)),""))</f>
        <v/>
      </c>
      <c r="F3278" s="10" t="str">
        <f t="shared" si="51"/>
        <v/>
      </c>
      <c r="G3278" s="10" t="str">
        <f>IF(OR(C3278="",B3278=""),"",IFERROR(C3278*INDEX(Harytlar!$D$5:$D$44,MATCH(B3278,Harytlar!$A$5:$A$44,0)),""))</f>
        <v/>
      </c>
    </row>
    <row r="3279" spans="1:7" x14ac:dyDescent="0.3">
      <c r="A3279" s="17"/>
      <c r="B3279" s="18"/>
      <c r="C3279" s="18"/>
      <c r="D3279" s="18"/>
      <c r="E3279" s="10" t="str">
        <f>IF(B3279="","",IFERROR(INDEX(Harytlar!$C$5:$C$44,MATCH(B3279,Harytlar!$A$5:$A$44,0)),""))</f>
        <v/>
      </c>
      <c r="F3279" s="10" t="str">
        <f t="shared" si="51"/>
        <v/>
      </c>
      <c r="G3279" s="10" t="str">
        <f>IF(OR(C3279="",B3279=""),"",IFERROR(C3279*INDEX(Harytlar!$D$5:$D$44,MATCH(B3279,Harytlar!$A$5:$A$44,0)),""))</f>
        <v/>
      </c>
    </row>
    <row r="3280" spans="1:7" x14ac:dyDescent="0.3">
      <c r="A3280" s="17"/>
      <c r="B3280" s="18"/>
      <c r="C3280" s="18"/>
      <c r="D3280" s="18"/>
      <c r="E3280" s="10" t="str">
        <f>IF(B3280="","",IFERROR(INDEX(Harytlar!$C$5:$C$44,MATCH(B3280,Harytlar!$A$5:$A$44,0)),""))</f>
        <v/>
      </c>
      <c r="F3280" s="10" t="str">
        <f t="shared" si="51"/>
        <v/>
      </c>
      <c r="G3280" s="10" t="str">
        <f>IF(OR(C3280="",B3280=""),"",IFERROR(C3280*INDEX(Harytlar!$D$5:$D$44,MATCH(B3280,Harytlar!$A$5:$A$44,0)),""))</f>
        <v/>
      </c>
    </row>
    <row r="3281" spans="1:7" x14ac:dyDescent="0.3">
      <c r="A3281" s="17"/>
      <c r="B3281" s="18"/>
      <c r="C3281" s="18"/>
      <c r="D3281" s="18"/>
      <c r="E3281" s="10" t="str">
        <f>IF(B3281="","",IFERROR(INDEX(Harytlar!$C$5:$C$44,MATCH(B3281,Harytlar!$A$5:$A$44,0)),""))</f>
        <v/>
      </c>
      <c r="F3281" s="10" t="str">
        <f t="shared" si="51"/>
        <v/>
      </c>
      <c r="G3281" s="10" t="str">
        <f>IF(OR(C3281="",B3281=""),"",IFERROR(C3281*INDEX(Harytlar!$D$5:$D$44,MATCH(B3281,Harytlar!$A$5:$A$44,0)),""))</f>
        <v/>
      </c>
    </row>
    <row r="3282" spans="1:7" x14ac:dyDescent="0.3">
      <c r="A3282" s="17"/>
      <c r="B3282" s="18"/>
      <c r="C3282" s="18"/>
      <c r="D3282" s="18"/>
      <c r="E3282" s="10" t="str">
        <f>IF(B3282="","",IFERROR(INDEX(Harytlar!$C$5:$C$44,MATCH(B3282,Harytlar!$A$5:$A$44,0)),""))</f>
        <v/>
      </c>
      <c r="F3282" s="10" t="str">
        <f t="shared" si="51"/>
        <v/>
      </c>
      <c r="G3282" s="10" t="str">
        <f>IF(OR(C3282="",B3282=""),"",IFERROR(C3282*INDEX(Harytlar!$D$5:$D$44,MATCH(B3282,Harytlar!$A$5:$A$44,0)),""))</f>
        <v/>
      </c>
    </row>
    <row r="3283" spans="1:7" x14ac:dyDescent="0.3">
      <c r="A3283" s="17"/>
      <c r="B3283" s="18"/>
      <c r="C3283" s="18"/>
      <c r="D3283" s="18"/>
      <c r="E3283" s="10" t="str">
        <f>IF(B3283="","",IFERROR(INDEX(Harytlar!$C$5:$C$44,MATCH(B3283,Harytlar!$A$5:$A$44,0)),""))</f>
        <v/>
      </c>
      <c r="F3283" s="10" t="str">
        <f t="shared" si="51"/>
        <v/>
      </c>
      <c r="G3283" s="10" t="str">
        <f>IF(OR(C3283="",B3283=""),"",IFERROR(C3283*INDEX(Harytlar!$D$5:$D$44,MATCH(B3283,Harytlar!$A$5:$A$44,0)),""))</f>
        <v/>
      </c>
    </row>
    <row r="3284" spans="1:7" x14ac:dyDescent="0.3">
      <c r="A3284" s="17"/>
      <c r="B3284" s="18"/>
      <c r="C3284" s="18"/>
      <c r="D3284" s="18"/>
      <c r="E3284" s="10" t="str">
        <f>IF(B3284="","",IFERROR(INDEX(Harytlar!$C$5:$C$44,MATCH(B3284,Harytlar!$A$5:$A$44,0)),""))</f>
        <v/>
      </c>
      <c r="F3284" s="10" t="str">
        <f t="shared" si="51"/>
        <v/>
      </c>
      <c r="G3284" s="10" t="str">
        <f>IF(OR(C3284="",B3284=""),"",IFERROR(C3284*INDEX(Harytlar!$D$5:$D$44,MATCH(B3284,Harytlar!$A$5:$A$44,0)),""))</f>
        <v/>
      </c>
    </row>
    <row r="3285" spans="1:7" x14ac:dyDescent="0.3">
      <c r="A3285" s="17"/>
      <c r="B3285" s="18"/>
      <c r="C3285" s="18"/>
      <c r="D3285" s="18"/>
      <c r="E3285" s="10" t="str">
        <f>IF(B3285="","",IFERROR(INDEX(Harytlar!$C$5:$C$44,MATCH(B3285,Harytlar!$A$5:$A$44,0)),""))</f>
        <v/>
      </c>
      <c r="F3285" s="10" t="str">
        <f t="shared" si="51"/>
        <v/>
      </c>
      <c r="G3285" s="10" t="str">
        <f>IF(OR(C3285="",B3285=""),"",IFERROR(C3285*INDEX(Harytlar!$D$5:$D$44,MATCH(B3285,Harytlar!$A$5:$A$44,0)),""))</f>
        <v/>
      </c>
    </row>
    <row r="3286" spans="1:7" x14ac:dyDescent="0.3">
      <c r="A3286" s="17"/>
      <c r="B3286" s="18"/>
      <c r="C3286" s="18"/>
      <c r="D3286" s="18"/>
      <c r="E3286" s="10" t="str">
        <f>IF(B3286="","",IFERROR(INDEX(Harytlar!$C$5:$C$44,MATCH(B3286,Harytlar!$A$5:$A$44,0)),""))</f>
        <v/>
      </c>
      <c r="F3286" s="10" t="str">
        <f t="shared" si="51"/>
        <v/>
      </c>
      <c r="G3286" s="10" t="str">
        <f>IF(OR(C3286="",B3286=""),"",IFERROR(C3286*INDEX(Harytlar!$D$5:$D$44,MATCH(B3286,Harytlar!$A$5:$A$44,0)),""))</f>
        <v/>
      </c>
    </row>
    <row r="3287" spans="1:7" x14ac:dyDescent="0.3">
      <c r="A3287" s="17"/>
      <c r="B3287" s="18"/>
      <c r="C3287" s="18"/>
      <c r="D3287" s="18"/>
      <c r="E3287" s="10" t="str">
        <f>IF(B3287="","",IFERROR(INDEX(Harytlar!$C$5:$C$44,MATCH(B3287,Harytlar!$A$5:$A$44,0)),""))</f>
        <v/>
      </c>
      <c r="F3287" s="10" t="str">
        <f t="shared" si="51"/>
        <v/>
      </c>
      <c r="G3287" s="10" t="str">
        <f>IF(OR(C3287="",B3287=""),"",IFERROR(C3287*INDEX(Harytlar!$D$5:$D$44,MATCH(B3287,Harytlar!$A$5:$A$44,0)),""))</f>
        <v/>
      </c>
    </row>
    <row r="3288" spans="1:7" x14ac:dyDescent="0.3">
      <c r="A3288" s="17"/>
      <c r="B3288" s="18"/>
      <c r="C3288" s="18"/>
      <c r="D3288" s="18"/>
      <c r="E3288" s="10" t="str">
        <f>IF(B3288="","",IFERROR(INDEX(Harytlar!$C$5:$C$44,MATCH(B3288,Harytlar!$A$5:$A$44,0)),""))</f>
        <v/>
      </c>
      <c r="F3288" s="10" t="str">
        <f t="shared" si="51"/>
        <v/>
      </c>
      <c r="G3288" s="10" t="str">
        <f>IF(OR(C3288="",B3288=""),"",IFERROR(C3288*INDEX(Harytlar!$D$5:$D$44,MATCH(B3288,Harytlar!$A$5:$A$44,0)),""))</f>
        <v/>
      </c>
    </row>
    <row r="3289" spans="1:7" x14ac:dyDescent="0.3">
      <c r="A3289" s="17"/>
      <c r="B3289" s="18"/>
      <c r="C3289" s="18"/>
      <c r="D3289" s="18"/>
      <c r="E3289" s="10" t="str">
        <f>IF(B3289="","",IFERROR(INDEX(Harytlar!$C$5:$C$44,MATCH(B3289,Harytlar!$A$5:$A$44,0)),""))</f>
        <v/>
      </c>
      <c r="F3289" s="10" t="str">
        <f t="shared" si="51"/>
        <v/>
      </c>
      <c r="G3289" s="10" t="str">
        <f>IF(OR(C3289="",B3289=""),"",IFERROR(C3289*INDEX(Harytlar!$D$5:$D$44,MATCH(B3289,Harytlar!$A$5:$A$44,0)),""))</f>
        <v/>
      </c>
    </row>
    <row r="3290" spans="1:7" x14ac:dyDescent="0.3">
      <c r="A3290" s="17"/>
      <c r="B3290" s="18"/>
      <c r="C3290" s="18"/>
      <c r="D3290" s="18"/>
      <c r="E3290" s="10" t="str">
        <f>IF(B3290="","",IFERROR(INDEX(Harytlar!$C$5:$C$44,MATCH(B3290,Harytlar!$A$5:$A$44,0)),""))</f>
        <v/>
      </c>
      <c r="F3290" s="10" t="str">
        <f t="shared" si="51"/>
        <v/>
      </c>
      <c r="G3290" s="10" t="str">
        <f>IF(OR(C3290="",B3290=""),"",IFERROR(C3290*INDEX(Harytlar!$D$5:$D$44,MATCH(B3290,Harytlar!$A$5:$A$44,0)),""))</f>
        <v/>
      </c>
    </row>
    <row r="3291" spans="1:7" x14ac:dyDescent="0.3">
      <c r="A3291" s="17"/>
      <c r="B3291" s="18"/>
      <c r="C3291" s="18"/>
      <c r="D3291" s="18"/>
      <c r="E3291" s="10" t="str">
        <f>IF(B3291="","",IFERROR(INDEX(Harytlar!$C$5:$C$44,MATCH(B3291,Harytlar!$A$5:$A$44,0)),""))</f>
        <v/>
      </c>
      <c r="F3291" s="10" t="str">
        <f t="shared" si="51"/>
        <v/>
      </c>
      <c r="G3291" s="10" t="str">
        <f>IF(OR(C3291="",B3291=""),"",IFERROR(C3291*INDEX(Harytlar!$D$5:$D$44,MATCH(B3291,Harytlar!$A$5:$A$44,0)),""))</f>
        <v/>
      </c>
    </row>
    <row r="3292" spans="1:7" x14ac:dyDescent="0.3">
      <c r="A3292" s="17"/>
      <c r="B3292" s="18"/>
      <c r="C3292" s="18"/>
      <c r="D3292" s="18"/>
      <c r="E3292" s="10" t="str">
        <f>IF(B3292="","",IFERROR(INDEX(Harytlar!$C$5:$C$44,MATCH(B3292,Harytlar!$A$5:$A$44,0)),""))</f>
        <v/>
      </c>
      <c r="F3292" s="10" t="str">
        <f t="shared" si="51"/>
        <v/>
      </c>
      <c r="G3292" s="10" t="str">
        <f>IF(OR(C3292="",B3292=""),"",IFERROR(C3292*INDEX(Harytlar!$D$5:$D$44,MATCH(B3292,Harytlar!$A$5:$A$44,0)),""))</f>
        <v/>
      </c>
    </row>
    <row r="3293" spans="1:7" x14ac:dyDescent="0.3">
      <c r="A3293" s="17"/>
      <c r="B3293" s="18"/>
      <c r="C3293" s="18"/>
      <c r="D3293" s="18"/>
      <c r="E3293" s="10" t="str">
        <f>IF(B3293="","",IFERROR(INDEX(Harytlar!$C$5:$C$44,MATCH(B3293,Harytlar!$A$5:$A$44,0)),""))</f>
        <v/>
      </c>
      <c r="F3293" s="10" t="str">
        <f t="shared" si="51"/>
        <v/>
      </c>
      <c r="G3293" s="10" t="str">
        <f>IF(OR(C3293="",B3293=""),"",IFERROR(C3293*INDEX(Harytlar!$D$5:$D$44,MATCH(B3293,Harytlar!$A$5:$A$44,0)),""))</f>
        <v/>
      </c>
    </row>
    <row r="3294" spans="1:7" x14ac:dyDescent="0.3">
      <c r="A3294" s="17"/>
      <c r="B3294" s="18"/>
      <c r="C3294" s="18"/>
      <c r="D3294" s="18"/>
      <c r="E3294" s="10" t="str">
        <f>IF(B3294="","",IFERROR(INDEX(Harytlar!$C$5:$C$44,MATCH(B3294,Harytlar!$A$5:$A$44,0)),""))</f>
        <v/>
      </c>
      <c r="F3294" s="10" t="str">
        <f t="shared" si="51"/>
        <v/>
      </c>
      <c r="G3294" s="10" t="str">
        <f>IF(OR(C3294="",B3294=""),"",IFERROR(C3294*INDEX(Harytlar!$D$5:$D$44,MATCH(B3294,Harytlar!$A$5:$A$44,0)),""))</f>
        <v/>
      </c>
    </row>
    <row r="3295" spans="1:7" x14ac:dyDescent="0.3">
      <c r="A3295" s="17"/>
      <c r="B3295" s="18"/>
      <c r="C3295" s="18"/>
      <c r="D3295" s="18"/>
      <c r="E3295" s="10" t="str">
        <f>IF(B3295="","",IFERROR(INDEX(Harytlar!$C$5:$C$44,MATCH(B3295,Harytlar!$A$5:$A$44,0)),""))</f>
        <v/>
      </c>
      <c r="F3295" s="10" t="str">
        <f t="shared" si="51"/>
        <v/>
      </c>
      <c r="G3295" s="10" t="str">
        <f>IF(OR(C3295="",B3295=""),"",IFERROR(C3295*INDEX(Harytlar!$D$5:$D$44,MATCH(B3295,Harytlar!$A$5:$A$44,0)),""))</f>
        <v/>
      </c>
    </row>
    <row r="3296" spans="1:7" x14ac:dyDescent="0.3">
      <c r="A3296" s="17"/>
      <c r="B3296" s="18"/>
      <c r="C3296" s="18"/>
      <c r="D3296" s="18"/>
      <c r="E3296" s="10" t="str">
        <f>IF(B3296="","",IFERROR(INDEX(Harytlar!$C$5:$C$44,MATCH(B3296,Harytlar!$A$5:$A$44,0)),""))</f>
        <v/>
      </c>
      <c r="F3296" s="10" t="str">
        <f t="shared" si="51"/>
        <v/>
      </c>
      <c r="G3296" s="10" t="str">
        <f>IF(OR(C3296="",B3296=""),"",IFERROR(C3296*INDEX(Harytlar!$D$5:$D$44,MATCH(B3296,Harytlar!$A$5:$A$44,0)),""))</f>
        <v/>
      </c>
    </row>
    <row r="3297" spans="1:7" x14ac:dyDescent="0.3">
      <c r="A3297" s="17"/>
      <c r="B3297" s="18"/>
      <c r="C3297" s="18"/>
      <c r="D3297" s="18"/>
      <c r="E3297" s="10" t="str">
        <f>IF(B3297="","",IFERROR(INDEX(Harytlar!$C$5:$C$44,MATCH(B3297,Harytlar!$A$5:$A$44,0)),""))</f>
        <v/>
      </c>
      <c r="F3297" s="10" t="str">
        <f t="shared" si="51"/>
        <v/>
      </c>
      <c r="G3297" s="10" t="str">
        <f>IF(OR(C3297="",B3297=""),"",IFERROR(C3297*INDEX(Harytlar!$D$5:$D$44,MATCH(B3297,Harytlar!$A$5:$A$44,0)),""))</f>
        <v/>
      </c>
    </row>
    <row r="3298" spans="1:7" x14ac:dyDescent="0.3">
      <c r="A3298" s="17"/>
      <c r="B3298" s="18"/>
      <c r="C3298" s="18"/>
      <c r="D3298" s="18"/>
      <c r="E3298" s="10" t="str">
        <f>IF(B3298="","",IFERROR(INDEX(Harytlar!$C$5:$C$44,MATCH(B3298,Harytlar!$A$5:$A$44,0)),""))</f>
        <v/>
      </c>
      <c r="F3298" s="10" t="str">
        <f t="shared" si="51"/>
        <v/>
      </c>
      <c r="G3298" s="10" t="str">
        <f>IF(OR(C3298="",B3298=""),"",IFERROR(C3298*INDEX(Harytlar!$D$5:$D$44,MATCH(B3298,Harytlar!$A$5:$A$44,0)),""))</f>
        <v/>
      </c>
    </row>
    <row r="3299" spans="1:7" x14ac:dyDescent="0.3">
      <c r="A3299" s="17"/>
      <c r="B3299" s="18"/>
      <c r="C3299" s="18"/>
      <c r="D3299" s="18"/>
      <c r="E3299" s="10" t="str">
        <f>IF(B3299="","",IFERROR(INDEX(Harytlar!$C$5:$C$44,MATCH(B3299,Harytlar!$A$5:$A$44,0)),""))</f>
        <v/>
      </c>
      <c r="F3299" s="10" t="str">
        <f t="shared" si="51"/>
        <v/>
      </c>
      <c r="G3299" s="10" t="str">
        <f>IF(OR(C3299="",B3299=""),"",IFERROR(C3299*INDEX(Harytlar!$D$5:$D$44,MATCH(B3299,Harytlar!$A$5:$A$44,0)),""))</f>
        <v/>
      </c>
    </row>
    <row r="3300" spans="1:7" x14ac:dyDescent="0.3">
      <c r="A3300" s="17"/>
      <c r="B3300" s="18"/>
      <c r="C3300" s="18"/>
      <c r="D3300" s="18"/>
      <c r="E3300" s="10" t="str">
        <f>IF(B3300="","",IFERROR(INDEX(Harytlar!$C$5:$C$44,MATCH(B3300,Harytlar!$A$5:$A$44,0)),""))</f>
        <v/>
      </c>
      <c r="F3300" s="10" t="str">
        <f t="shared" si="51"/>
        <v/>
      </c>
      <c r="G3300" s="10" t="str">
        <f>IF(OR(C3300="",B3300=""),"",IFERROR(C3300*INDEX(Harytlar!$D$5:$D$44,MATCH(B3300,Harytlar!$A$5:$A$44,0)),""))</f>
        <v/>
      </c>
    </row>
    <row r="3301" spans="1:7" x14ac:dyDescent="0.3">
      <c r="A3301" s="17"/>
      <c r="B3301" s="18"/>
      <c r="C3301" s="18"/>
      <c r="D3301" s="18"/>
      <c r="E3301" s="10" t="str">
        <f>IF(B3301="","",IFERROR(INDEX(Harytlar!$C$5:$C$44,MATCH(B3301,Harytlar!$A$5:$A$44,0)),""))</f>
        <v/>
      </c>
      <c r="F3301" s="10" t="str">
        <f t="shared" si="51"/>
        <v/>
      </c>
      <c r="G3301" s="10" t="str">
        <f>IF(OR(C3301="",B3301=""),"",IFERROR(C3301*INDEX(Harytlar!$D$5:$D$44,MATCH(B3301,Harytlar!$A$5:$A$44,0)),""))</f>
        <v/>
      </c>
    </row>
    <row r="3302" spans="1:7" x14ac:dyDescent="0.3">
      <c r="A3302" s="17"/>
      <c r="B3302" s="18"/>
      <c r="C3302" s="18"/>
      <c r="D3302" s="18"/>
      <c r="E3302" s="10" t="str">
        <f>IF(B3302="","",IFERROR(INDEX(Harytlar!$C$5:$C$44,MATCH(B3302,Harytlar!$A$5:$A$44,0)),""))</f>
        <v/>
      </c>
      <c r="F3302" s="10" t="str">
        <f t="shared" si="51"/>
        <v/>
      </c>
      <c r="G3302" s="10" t="str">
        <f>IF(OR(C3302="",B3302=""),"",IFERROR(C3302*INDEX(Harytlar!$D$5:$D$44,MATCH(B3302,Harytlar!$A$5:$A$44,0)),""))</f>
        <v/>
      </c>
    </row>
    <row r="3303" spans="1:7" x14ac:dyDescent="0.3">
      <c r="A3303" s="17"/>
      <c r="B3303" s="18"/>
      <c r="C3303" s="18"/>
      <c r="D3303" s="18"/>
      <c r="E3303" s="10" t="str">
        <f>IF(B3303="","",IFERROR(INDEX(Harytlar!$C$5:$C$44,MATCH(B3303,Harytlar!$A$5:$A$44,0)),""))</f>
        <v/>
      </c>
      <c r="F3303" s="10" t="str">
        <f t="shared" si="51"/>
        <v/>
      </c>
      <c r="G3303" s="10" t="str">
        <f>IF(OR(C3303="",B3303=""),"",IFERROR(C3303*INDEX(Harytlar!$D$5:$D$44,MATCH(B3303,Harytlar!$A$5:$A$44,0)),""))</f>
        <v/>
      </c>
    </row>
    <row r="3304" spans="1:7" x14ac:dyDescent="0.3">
      <c r="A3304" s="17"/>
      <c r="B3304" s="18"/>
      <c r="C3304" s="18"/>
      <c r="D3304" s="18"/>
      <c r="E3304" s="10" t="str">
        <f>IF(B3304="","",IFERROR(INDEX(Harytlar!$C$5:$C$44,MATCH(B3304,Harytlar!$A$5:$A$44,0)),""))</f>
        <v/>
      </c>
      <c r="F3304" s="10" t="str">
        <f t="shared" si="51"/>
        <v/>
      </c>
      <c r="G3304" s="10" t="str">
        <f>IF(OR(C3304="",B3304=""),"",IFERROR(C3304*INDEX(Harytlar!$D$5:$D$44,MATCH(B3304,Harytlar!$A$5:$A$44,0)),""))</f>
        <v/>
      </c>
    </row>
    <row r="3305" spans="1:7" x14ac:dyDescent="0.3">
      <c r="A3305" s="17"/>
      <c r="B3305" s="18"/>
      <c r="C3305" s="18"/>
      <c r="D3305" s="18"/>
      <c r="E3305" s="10" t="str">
        <f>IF(B3305="","",IFERROR(INDEX(Harytlar!$C$5:$C$44,MATCH(B3305,Harytlar!$A$5:$A$44,0)),""))</f>
        <v/>
      </c>
      <c r="F3305" s="10" t="str">
        <f t="shared" si="51"/>
        <v/>
      </c>
      <c r="G3305" s="10" t="str">
        <f>IF(OR(C3305="",B3305=""),"",IFERROR(C3305*INDEX(Harytlar!$D$5:$D$44,MATCH(B3305,Harytlar!$A$5:$A$44,0)),""))</f>
        <v/>
      </c>
    </row>
    <row r="3306" spans="1:7" x14ac:dyDescent="0.3">
      <c r="A3306" s="17"/>
      <c r="B3306" s="18"/>
      <c r="C3306" s="18"/>
      <c r="D3306" s="18"/>
      <c r="E3306" s="10" t="str">
        <f>IF(B3306="","",IFERROR(INDEX(Harytlar!$C$5:$C$44,MATCH(B3306,Harytlar!$A$5:$A$44,0)),""))</f>
        <v/>
      </c>
      <c r="F3306" s="10" t="str">
        <f t="shared" si="51"/>
        <v/>
      </c>
      <c r="G3306" s="10" t="str">
        <f>IF(OR(C3306="",B3306=""),"",IFERROR(C3306*INDEX(Harytlar!$D$5:$D$44,MATCH(B3306,Harytlar!$A$5:$A$44,0)),""))</f>
        <v/>
      </c>
    </row>
    <row r="3307" spans="1:7" x14ac:dyDescent="0.3">
      <c r="A3307" s="17"/>
      <c r="B3307" s="18"/>
      <c r="C3307" s="18"/>
      <c r="D3307" s="18"/>
      <c r="E3307" s="10" t="str">
        <f>IF(B3307="","",IFERROR(INDEX(Harytlar!$C$5:$C$44,MATCH(B3307,Harytlar!$A$5:$A$44,0)),""))</f>
        <v/>
      </c>
      <c r="F3307" s="10" t="str">
        <f t="shared" si="51"/>
        <v/>
      </c>
      <c r="G3307" s="10" t="str">
        <f>IF(OR(C3307="",B3307=""),"",IFERROR(C3307*INDEX(Harytlar!$D$5:$D$44,MATCH(B3307,Harytlar!$A$5:$A$44,0)),""))</f>
        <v/>
      </c>
    </row>
    <row r="3308" spans="1:7" x14ac:dyDescent="0.3">
      <c r="A3308" s="17"/>
      <c r="B3308" s="18"/>
      <c r="C3308" s="18"/>
      <c r="D3308" s="18"/>
      <c r="E3308" s="10" t="str">
        <f>IF(B3308="","",IFERROR(INDEX(Harytlar!$C$5:$C$44,MATCH(B3308,Harytlar!$A$5:$A$44,0)),""))</f>
        <v/>
      </c>
      <c r="F3308" s="10" t="str">
        <f t="shared" si="51"/>
        <v/>
      </c>
      <c r="G3308" s="10" t="str">
        <f>IF(OR(C3308="",B3308=""),"",IFERROR(C3308*INDEX(Harytlar!$D$5:$D$44,MATCH(B3308,Harytlar!$A$5:$A$44,0)),""))</f>
        <v/>
      </c>
    </row>
    <row r="3309" spans="1:7" x14ac:dyDescent="0.3">
      <c r="A3309" s="17"/>
      <c r="B3309" s="18"/>
      <c r="C3309" s="18"/>
      <c r="D3309" s="18"/>
      <c r="E3309" s="10" t="str">
        <f>IF(B3309="","",IFERROR(INDEX(Harytlar!$C$5:$C$44,MATCH(B3309,Harytlar!$A$5:$A$44,0)),""))</f>
        <v/>
      </c>
      <c r="F3309" s="10" t="str">
        <f t="shared" si="51"/>
        <v/>
      </c>
      <c r="G3309" s="10" t="str">
        <f>IF(OR(C3309="",B3309=""),"",IFERROR(C3309*INDEX(Harytlar!$D$5:$D$44,MATCH(B3309,Harytlar!$A$5:$A$44,0)),""))</f>
        <v/>
      </c>
    </row>
    <row r="3310" spans="1:7" x14ac:dyDescent="0.3">
      <c r="A3310" s="17"/>
      <c r="B3310" s="18"/>
      <c r="C3310" s="18"/>
      <c r="D3310" s="18"/>
      <c r="E3310" s="10" t="str">
        <f>IF(B3310="","",IFERROR(INDEX(Harytlar!$C$5:$C$44,MATCH(B3310,Harytlar!$A$5:$A$44,0)),""))</f>
        <v/>
      </c>
      <c r="F3310" s="10" t="str">
        <f t="shared" si="51"/>
        <v/>
      </c>
      <c r="G3310" s="10" t="str">
        <f>IF(OR(C3310="",B3310=""),"",IFERROR(C3310*INDEX(Harytlar!$D$5:$D$44,MATCH(B3310,Harytlar!$A$5:$A$44,0)),""))</f>
        <v/>
      </c>
    </row>
    <row r="3311" spans="1:7" x14ac:dyDescent="0.3">
      <c r="A3311" s="17"/>
      <c r="B3311" s="18"/>
      <c r="C3311" s="18"/>
      <c r="D3311" s="18"/>
      <c r="E3311" s="10" t="str">
        <f>IF(B3311="","",IFERROR(INDEX(Harytlar!$C$5:$C$44,MATCH(B3311,Harytlar!$A$5:$A$44,0)),""))</f>
        <v/>
      </c>
      <c r="F3311" s="10" t="str">
        <f t="shared" si="51"/>
        <v/>
      </c>
      <c r="G3311" s="10" t="str">
        <f>IF(OR(C3311="",B3311=""),"",IFERROR(C3311*INDEX(Harytlar!$D$5:$D$44,MATCH(B3311,Harytlar!$A$5:$A$44,0)),""))</f>
        <v/>
      </c>
    </row>
    <row r="3312" spans="1:7" x14ac:dyDescent="0.3">
      <c r="A3312" s="17"/>
      <c r="B3312" s="18"/>
      <c r="C3312" s="18"/>
      <c r="D3312" s="18"/>
      <c r="E3312" s="10" t="str">
        <f>IF(B3312="","",IFERROR(INDEX(Harytlar!$C$5:$C$44,MATCH(B3312,Harytlar!$A$5:$A$44,0)),""))</f>
        <v/>
      </c>
      <c r="F3312" s="10" t="str">
        <f t="shared" si="51"/>
        <v/>
      </c>
      <c r="G3312" s="10" t="str">
        <f>IF(OR(C3312="",B3312=""),"",IFERROR(C3312*INDEX(Harytlar!$D$5:$D$44,MATCH(B3312,Harytlar!$A$5:$A$44,0)),""))</f>
        <v/>
      </c>
    </row>
    <row r="3313" spans="1:7" x14ac:dyDescent="0.3">
      <c r="A3313" s="17"/>
      <c r="B3313" s="18"/>
      <c r="C3313" s="18"/>
      <c r="D3313" s="18"/>
      <c r="E3313" s="10" t="str">
        <f>IF(B3313="","",IFERROR(INDEX(Harytlar!$C$5:$C$44,MATCH(B3313,Harytlar!$A$5:$A$44,0)),""))</f>
        <v/>
      </c>
      <c r="F3313" s="10" t="str">
        <f t="shared" si="51"/>
        <v/>
      </c>
      <c r="G3313" s="10" t="str">
        <f>IF(OR(C3313="",B3313=""),"",IFERROR(C3313*INDEX(Harytlar!$D$5:$D$44,MATCH(B3313,Harytlar!$A$5:$A$44,0)),""))</f>
        <v/>
      </c>
    </row>
    <row r="3314" spans="1:7" x14ac:dyDescent="0.3">
      <c r="A3314" s="17"/>
      <c r="B3314" s="18"/>
      <c r="C3314" s="18"/>
      <c r="D3314" s="18"/>
      <c r="E3314" s="10" t="str">
        <f>IF(B3314="","",IFERROR(INDEX(Harytlar!$C$5:$C$44,MATCH(B3314,Harytlar!$A$5:$A$44,0)),""))</f>
        <v/>
      </c>
      <c r="F3314" s="10" t="str">
        <f t="shared" si="51"/>
        <v/>
      </c>
      <c r="G3314" s="10" t="str">
        <f>IF(OR(C3314="",B3314=""),"",IFERROR(C3314*INDEX(Harytlar!$D$5:$D$44,MATCH(B3314,Harytlar!$A$5:$A$44,0)),""))</f>
        <v/>
      </c>
    </row>
    <row r="3315" spans="1:7" x14ac:dyDescent="0.3">
      <c r="A3315" s="17"/>
      <c r="B3315" s="18"/>
      <c r="C3315" s="18"/>
      <c r="D3315" s="18"/>
      <c r="E3315" s="10" t="str">
        <f>IF(B3315="","",IFERROR(INDEX(Harytlar!$C$5:$C$44,MATCH(B3315,Harytlar!$A$5:$A$44,0)),""))</f>
        <v/>
      </c>
      <c r="F3315" s="10" t="str">
        <f t="shared" si="51"/>
        <v/>
      </c>
      <c r="G3315" s="10" t="str">
        <f>IF(OR(C3315="",B3315=""),"",IFERROR(C3315*INDEX(Harytlar!$D$5:$D$44,MATCH(B3315,Harytlar!$A$5:$A$44,0)),""))</f>
        <v/>
      </c>
    </row>
    <row r="3316" spans="1:7" x14ac:dyDescent="0.3">
      <c r="A3316" s="17"/>
      <c r="B3316" s="18"/>
      <c r="C3316" s="18"/>
      <c r="D3316" s="18"/>
      <c r="E3316" s="10" t="str">
        <f>IF(B3316="","",IFERROR(INDEX(Harytlar!$C$5:$C$44,MATCH(B3316,Harytlar!$A$5:$A$44,0)),""))</f>
        <v/>
      </c>
      <c r="F3316" s="10" t="str">
        <f t="shared" si="51"/>
        <v/>
      </c>
      <c r="G3316" s="10" t="str">
        <f>IF(OR(C3316="",B3316=""),"",IFERROR(C3316*INDEX(Harytlar!$D$5:$D$44,MATCH(B3316,Harytlar!$A$5:$A$44,0)),""))</f>
        <v/>
      </c>
    </row>
    <row r="3317" spans="1:7" x14ac:dyDescent="0.3">
      <c r="A3317" s="17"/>
      <c r="B3317" s="18"/>
      <c r="C3317" s="18"/>
      <c r="D3317" s="18"/>
      <c r="E3317" s="10" t="str">
        <f>IF(B3317="","",IFERROR(INDEX(Harytlar!$C$5:$C$44,MATCH(B3317,Harytlar!$A$5:$A$44,0)),""))</f>
        <v/>
      </c>
      <c r="F3317" s="10" t="str">
        <f t="shared" si="51"/>
        <v/>
      </c>
      <c r="G3317" s="10" t="str">
        <f>IF(OR(C3317="",B3317=""),"",IFERROR(C3317*INDEX(Harytlar!$D$5:$D$44,MATCH(B3317,Harytlar!$A$5:$A$44,0)),""))</f>
        <v/>
      </c>
    </row>
    <row r="3318" spans="1:7" x14ac:dyDescent="0.3">
      <c r="A3318" s="17"/>
      <c r="B3318" s="18"/>
      <c r="C3318" s="18"/>
      <c r="D3318" s="18"/>
      <c r="E3318" s="10" t="str">
        <f>IF(B3318="","",IFERROR(INDEX(Harytlar!$C$5:$C$44,MATCH(B3318,Harytlar!$A$5:$A$44,0)),""))</f>
        <v/>
      </c>
      <c r="F3318" s="10" t="str">
        <f t="shared" si="51"/>
        <v/>
      </c>
      <c r="G3318" s="10" t="str">
        <f>IF(OR(C3318="",B3318=""),"",IFERROR(C3318*INDEX(Harytlar!$D$5:$D$44,MATCH(B3318,Harytlar!$A$5:$A$44,0)),""))</f>
        <v/>
      </c>
    </row>
    <row r="3319" spans="1:7" x14ac:dyDescent="0.3">
      <c r="A3319" s="17"/>
      <c r="B3319" s="18"/>
      <c r="C3319" s="18"/>
      <c r="D3319" s="18"/>
      <c r="E3319" s="10" t="str">
        <f>IF(B3319="","",IFERROR(INDEX(Harytlar!$C$5:$C$44,MATCH(B3319,Harytlar!$A$5:$A$44,0)),""))</f>
        <v/>
      </c>
      <c r="F3319" s="10" t="str">
        <f t="shared" si="51"/>
        <v/>
      </c>
      <c r="G3319" s="10" t="str">
        <f>IF(OR(C3319="",B3319=""),"",IFERROR(C3319*INDEX(Harytlar!$D$5:$D$44,MATCH(B3319,Harytlar!$A$5:$A$44,0)),""))</f>
        <v/>
      </c>
    </row>
    <row r="3320" spans="1:7" x14ac:dyDescent="0.3">
      <c r="A3320" s="17"/>
      <c r="B3320" s="18"/>
      <c r="C3320" s="18"/>
      <c r="D3320" s="18"/>
      <c r="E3320" s="10" t="str">
        <f>IF(B3320="","",IFERROR(INDEX(Harytlar!$C$5:$C$44,MATCH(B3320,Harytlar!$A$5:$A$44,0)),""))</f>
        <v/>
      </c>
      <c r="F3320" s="10" t="str">
        <f t="shared" si="51"/>
        <v/>
      </c>
      <c r="G3320" s="10" t="str">
        <f>IF(OR(C3320="",B3320=""),"",IFERROR(C3320*INDEX(Harytlar!$D$5:$D$44,MATCH(B3320,Harytlar!$A$5:$A$44,0)),""))</f>
        <v/>
      </c>
    </row>
    <row r="3321" spans="1:7" x14ac:dyDescent="0.3">
      <c r="A3321" s="17"/>
      <c r="B3321" s="18"/>
      <c r="C3321" s="18"/>
      <c r="D3321" s="18"/>
      <c r="E3321" s="10" t="str">
        <f>IF(B3321="","",IFERROR(INDEX(Harytlar!$C$5:$C$44,MATCH(B3321,Harytlar!$A$5:$A$44,0)),""))</f>
        <v/>
      </c>
      <c r="F3321" s="10" t="str">
        <f t="shared" si="51"/>
        <v/>
      </c>
      <c r="G3321" s="10" t="str">
        <f>IF(OR(C3321="",B3321=""),"",IFERROR(C3321*INDEX(Harytlar!$D$5:$D$44,MATCH(B3321,Harytlar!$A$5:$A$44,0)),""))</f>
        <v/>
      </c>
    </row>
    <row r="3322" spans="1:7" x14ac:dyDescent="0.3">
      <c r="A3322" s="17"/>
      <c r="B3322" s="18"/>
      <c r="C3322" s="18"/>
      <c r="D3322" s="18"/>
      <c r="E3322" s="10" t="str">
        <f>IF(B3322="","",IFERROR(INDEX(Harytlar!$C$5:$C$44,MATCH(B3322,Harytlar!$A$5:$A$44,0)),""))</f>
        <v/>
      </c>
      <c r="F3322" s="10" t="str">
        <f t="shared" si="51"/>
        <v/>
      </c>
      <c r="G3322" s="10" t="str">
        <f>IF(OR(C3322="",B3322=""),"",IFERROR(C3322*INDEX(Harytlar!$D$5:$D$44,MATCH(B3322,Harytlar!$A$5:$A$44,0)),""))</f>
        <v/>
      </c>
    </row>
    <row r="3323" spans="1:7" x14ac:dyDescent="0.3">
      <c r="A3323" s="17"/>
      <c r="B3323" s="18"/>
      <c r="C3323" s="18"/>
      <c r="D3323" s="18"/>
      <c r="E3323" s="10" t="str">
        <f>IF(B3323="","",IFERROR(INDEX(Harytlar!$C$5:$C$44,MATCH(B3323,Harytlar!$A$5:$A$44,0)),""))</f>
        <v/>
      </c>
      <c r="F3323" s="10" t="str">
        <f t="shared" si="51"/>
        <v/>
      </c>
      <c r="G3323" s="10" t="str">
        <f>IF(OR(C3323="",B3323=""),"",IFERROR(C3323*INDEX(Harytlar!$D$5:$D$44,MATCH(B3323,Harytlar!$A$5:$A$44,0)),""))</f>
        <v/>
      </c>
    </row>
    <row r="3324" spans="1:7" x14ac:dyDescent="0.3">
      <c r="A3324" s="17"/>
      <c r="B3324" s="18"/>
      <c r="C3324" s="18"/>
      <c r="D3324" s="18"/>
      <c r="E3324" s="10" t="str">
        <f>IF(B3324="","",IFERROR(INDEX(Harytlar!$C$5:$C$44,MATCH(B3324,Harytlar!$A$5:$A$44,0)),""))</f>
        <v/>
      </c>
      <c r="F3324" s="10" t="str">
        <f t="shared" si="51"/>
        <v/>
      </c>
      <c r="G3324" s="10" t="str">
        <f>IF(OR(C3324="",B3324=""),"",IFERROR(C3324*INDEX(Harytlar!$D$5:$D$44,MATCH(B3324,Harytlar!$A$5:$A$44,0)),""))</f>
        <v/>
      </c>
    </row>
    <row r="3325" spans="1:7" x14ac:dyDescent="0.3">
      <c r="A3325" s="17"/>
      <c r="B3325" s="18"/>
      <c r="C3325" s="18"/>
      <c r="D3325" s="18"/>
      <c r="E3325" s="10" t="str">
        <f>IF(B3325="","",IFERROR(INDEX(Harytlar!$C$5:$C$44,MATCH(B3325,Harytlar!$A$5:$A$44,0)),""))</f>
        <v/>
      </c>
      <c r="F3325" s="10" t="str">
        <f t="shared" si="51"/>
        <v/>
      </c>
      <c r="G3325" s="10" t="str">
        <f>IF(OR(C3325="",B3325=""),"",IFERROR(C3325*INDEX(Harytlar!$D$5:$D$44,MATCH(B3325,Harytlar!$A$5:$A$44,0)),""))</f>
        <v/>
      </c>
    </row>
    <row r="3326" spans="1:7" x14ac:dyDescent="0.3">
      <c r="A3326" s="17"/>
      <c r="B3326" s="18"/>
      <c r="C3326" s="18"/>
      <c r="D3326" s="18"/>
      <c r="E3326" s="10" t="str">
        <f>IF(B3326="","",IFERROR(INDEX(Harytlar!$C$5:$C$44,MATCH(B3326,Harytlar!$A$5:$A$44,0)),""))</f>
        <v/>
      </c>
      <c r="F3326" s="10" t="str">
        <f t="shared" si="51"/>
        <v/>
      </c>
      <c r="G3326" s="10" t="str">
        <f>IF(OR(C3326="",B3326=""),"",IFERROR(C3326*INDEX(Harytlar!$D$5:$D$44,MATCH(B3326,Harytlar!$A$5:$A$44,0)),""))</f>
        <v/>
      </c>
    </row>
    <row r="3327" spans="1:7" x14ac:dyDescent="0.3">
      <c r="A3327" s="17"/>
      <c r="B3327" s="18"/>
      <c r="C3327" s="18"/>
      <c r="D3327" s="18"/>
      <c r="E3327" s="10" t="str">
        <f>IF(B3327="","",IFERROR(INDEX(Harytlar!$C$5:$C$44,MATCH(B3327,Harytlar!$A$5:$A$44,0)),""))</f>
        <v/>
      </c>
      <c r="F3327" s="10" t="str">
        <f t="shared" si="51"/>
        <v/>
      </c>
      <c r="G3327" s="10" t="str">
        <f>IF(OR(C3327="",B3327=""),"",IFERROR(C3327*INDEX(Harytlar!$D$5:$D$44,MATCH(B3327,Harytlar!$A$5:$A$44,0)),""))</f>
        <v/>
      </c>
    </row>
    <row r="3328" spans="1:7" x14ac:dyDescent="0.3">
      <c r="A3328" s="17"/>
      <c r="B3328" s="18"/>
      <c r="C3328" s="18"/>
      <c r="D3328" s="18"/>
      <c r="E3328" s="10" t="str">
        <f>IF(B3328="","",IFERROR(INDEX(Harytlar!$C$5:$C$44,MATCH(B3328,Harytlar!$A$5:$A$44,0)),""))</f>
        <v/>
      </c>
      <c r="F3328" s="10" t="str">
        <f t="shared" si="51"/>
        <v/>
      </c>
      <c r="G3328" s="10" t="str">
        <f>IF(OR(C3328="",B3328=""),"",IFERROR(C3328*INDEX(Harytlar!$D$5:$D$44,MATCH(B3328,Harytlar!$A$5:$A$44,0)),""))</f>
        <v/>
      </c>
    </row>
    <row r="3329" spans="1:7" x14ac:dyDescent="0.3">
      <c r="A3329" s="17"/>
      <c r="B3329" s="18"/>
      <c r="C3329" s="18"/>
      <c r="D3329" s="18"/>
      <c r="E3329" s="10" t="str">
        <f>IF(B3329="","",IFERROR(INDEX(Harytlar!$C$5:$C$44,MATCH(B3329,Harytlar!$A$5:$A$44,0)),""))</f>
        <v/>
      </c>
      <c r="F3329" s="10" t="str">
        <f t="shared" si="51"/>
        <v/>
      </c>
      <c r="G3329" s="10" t="str">
        <f>IF(OR(C3329="",B3329=""),"",IFERROR(C3329*INDEX(Harytlar!$D$5:$D$44,MATCH(B3329,Harytlar!$A$5:$A$44,0)),""))</f>
        <v/>
      </c>
    </row>
    <row r="3330" spans="1:7" x14ac:dyDescent="0.3">
      <c r="A3330" s="17"/>
      <c r="B3330" s="18"/>
      <c r="C3330" s="18"/>
      <c r="D3330" s="18"/>
      <c r="E3330" s="10" t="str">
        <f>IF(B3330="","",IFERROR(INDEX(Harytlar!$C$5:$C$44,MATCH(B3330,Harytlar!$A$5:$A$44,0)),""))</f>
        <v/>
      </c>
      <c r="F3330" s="10" t="str">
        <f t="shared" si="51"/>
        <v/>
      </c>
      <c r="G3330" s="10" t="str">
        <f>IF(OR(C3330="",B3330=""),"",IFERROR(C3330*INDEX(Harytlar!$D$5:$D$44,MATCH(B3330,Harytlar!$A$5:$A$44,0)),""))</f>
        <v/>
      </c>
    </row>
    <row r="3331" spans="1:7" x14ac:dyDescent="0.3">
      <c r="A3331" s="17"/>
      <c r="B3331" s="18"/>
      <c r="C3331" s="18"/>
      <c r="D3331" s="18"/>
      <c r="E3331" s="10" t="str">
        <f>IF(B3331="","",IFERROR(INDEX(Harytlar!$C$5:$C$44,MATCH(B3331,Harytlar!$A$5:$A$44,0)),""))</f>
        <v/>
      </c>
      <c r="F3331" s="10" t="str">
        <f t="shared" si="51"/>
        <v/>
      </c>
      <c r="G3331" s="10" t="str">
        <f>IF(OR(C3331="",B3331=""),"",IFERROR(C3331*INDEX(Harytlar!$D$5:$D$44,MATCH(B3331,Harytlar!$A$5:$A$44,0)),""))</f>
        <v/>
      </c>
    </row>
    <row r="3332" spans="1:7" x14ac:dyDescent="0.3">
      <c r="A3332" s="17"/>
      <c r="B3332" s="18"/>
      <c r="C3332" s="18"/>
      <c r="D3332" s="18"/>
      <c r="E3332" s="10" t="str">
        <f>IF(B3332="","",IFERROR(INDEX(Harytlar!$C$5:$C$44,MATCH(B3332,Harytlar!$A$5:$A$44,0)),""))</f>
        <v/>
      </c>
      <c r="F3332" s="10" t="str">
        <f t="shared" si="51"/>
        <v/>
      </c>
      <c r="G3332" s="10" t="str">
        <f>IF(OR(C3332="",B3332=""),"",IFERROR(C3332*INDEX(Harytlar!$D$5:$D$44,MATCH(B3332,Harytlar!$A$5:$A$44,0)),""))</f>
        <v/>
      </c>
    </row>
    <row r="3333" spans="1:7" x14ac:dyDescent="0.3">
      <c r="A3333" s="17"/>
      <c r="B3333" s="18"/>
      <c r="C3333" s="18"/>
      <c r="D3333" s="18"/>
      <c r="E3333" s="10" t="str">
        <f>IF(B3333="","",IFERROR(INDEX(Harytlar!$C$5:$C$44,MATCH(B3333,Harytlar!$A$5:$A$44,0)),""))</f>
        <v/>
      </c>
      <c r="F3333" s="10" t="str">
        <f t="shared" si="51"/>
        <v/>
      </c>
      <c r="G3333" s="10" t="str">
        <f>IF(OR(C3333="",B3333=""),"",IFERROR(C3333*INDEX(Harytlar!$D$5:$D$44,MATCH(B3333,Harytlar!$A$5:$A$44,0)),""))</f>
        <v/>
      </c>
    </row>
    <row r="3334" spans="1:7" x14ac:dyDescent="0.3">
      <c r="A3334" s="17"/>
      <c r="B3334" s="18"/>
      <c r="C3334" s="18"/>
      <c r="D3334" s="18"/>
      <c r="E3334" s="10" t="str">
        <f>IF(B3334="","",IFERROR(INDEX(Harytlar!$C$5:$C$44,MATCH(B3334,Harytlar!$A$5:$A$44,0)),""))</f>
        <v/>
      </c>
      <c r="F3334" s="10" t="str">
        <f t="shared" ref="F3334:F3397" si="52">IF(OR(C3334="",E3334=""),"",C3334*E3334)</f>
        <v/>
      </c>
      <c r="G3334" s="10" t="str">
        <f>IF(OR(C3334="",B3334=""),"",IFERROR(C3334*INDEX(Harytlar!$D$5:$D$44,MATCH(B3334,Harytlar!$A$5:$A$44,0)),""))</f>
        <v/>
      </c>
    </row>
    <row r="3335" spans="1:7" x14ac:dyDescent="0.3">
      <c r="A3335" s="17"/>
      <c r="B3335" s="18"/>
      <c r="C3335" s="18"/>
      <c r="D3335" s="18"/>
      <c r="E3335" s="10" t="str">
        <f>IF(B3335="","",IFERROR(INDEX(Harytlar!$C$5:$C$44,MATCH(B3335,Harytlar!$A$5:$A$44,0)),""))</f>
        <v/>
      </c>
      <c r="F3335" s="10" t="str">
        <f t="shared" si="52"/>
        <v/>
      </c>
      <c r="G3335" s="10" t="str">
        <f>IF(OR(C3335="",B3335=""),"",IFERROR(C3335*INDEX(Harytlar!$D$5:$D$44,MATCH(B3335,Harytlar!$A$5:$A$44,0)),""))</f>
        <v/>
      </c>
    </row>
    <row r="3336" spans="1:7" x14ac:dyDescent="0.3">
      <c r="A3336" s="17"/>
      <c r="B3336" s="18"/>
      <c r="C3336" s="18"/>
      <c r="D3336" s="18"/>
      <c r="E3336" s="10" t="str">
        <f>IF(B3336="","",IFERROR(INDEX(Harytlar!$C$5:$C$44,MATCH(B3336,Harytlar!$A$5:$A$44,0)),""))</f>
        <v/>
      </c>
      <c r="F3336" s="10" t="str">
        <f t="shared" si="52"/>
        <v/>
      </c>
      <c r="G3336" s="10" t="str">
        <f>IF(OR(C3336="",B3336=""),"",IFERROR(C3336*INDEX(Harytlar!$D$5:$D$44,MATCH(B3336,Harytlar!$A$5:$A$44,0)),""))</f>
        <v/>
      </c>
    </row>
    <row r="3337" spans="1:7" x14ac:dyDescent="0.3">
      <c r="A3337" s="17"/>
      <c r="B3337" s="18"/>
      <c r="C3337" s="18"/>
      <c r="D3337" s="18"/>
      <c r="E3337" s="10" t="str">
        <f>IF(B3337="","",IFERROR(INDEX(Harytlar!$C$5:$C$44,MATCH(B3337,Harytlar!$A$5:$A$44,0)),""))</f>
        <v/>
      </c>
      <c r="F3337" s="10" t="str">
        <f t="shared" si="52"/>
        <v/>
      </c>
      <c r="G3337" s="10" t="str">
        <f>IF(OR(C3337="",B3337=""),"",IFERROR(C3337*INDEX(Harytlar!$D$5:$D$44,MATCH(B3337,Harytlar!$A$5:$A$44,0)),""))</f>
        <v/>
      </c>
    </row>
    <row r="3338" spans="1:7" x14ac:dyDescent="0.3">
      <c r="A3338" s="17"/>
      <c r="B3338" s="18"/>
      <c r="C3338" s="18"/>
      <c r="D3338" s="18"/>
      <c r="E3338" s="10" t="str">
        <f>IF(B3338="","",IFERROR(INDEX(Harytlar!$C$5:$C$44,MATCH(B3338,Harytlar!$A$5:$A$44,0)),""))</f>
        <v/>
      </c>
      <c r="F3338" s="10" t="str">
        <f t="shared" si="52"/>
        <v/>
      </c>
      <c r="G3338" s="10" t="str">
        <f>IF(OR(C3338="",B3338=""),"",IFERROR(C3338*INDEX(Harytlar!$D$5:$D$44,MATCH(B3338,Harytlar!$A$5:$A$44,0)),""))</f>
        <v/>
      </c>
    </row>
    <row r="3339" spans="1:7" x14ac:dyDescent="0.3">
      <c r="A3339" s="17"/>
      <c r="B3339" s="18"/>
      <c r="C3339" s="18"/>
      <c r="D3339" s="18"/>
      <c r="E3339" s="10" t="str">
        <f>IF(B3339="","",IFERROR(INDEX(Harytlar!$C$5:$C$44,MATCH(B3339,Harytlar!$A$5:$A$44,0)),""))</f>
        <v/>
      </c>
      <c r="F3339" s="10" t="str">
        <f t="shared" si="52"/>
        <v/>
      </c>
      <c r="G3339" s="10" t="str">
        <f>IF(OR(C3339="",B3339=""),"",IFERROR(C3339*INDEX(Harytlar!$D$5:$D$44,MATCH(B3339,Harytlar!$A$5:$A$44,0)),""))</f>
        <v/>
      </c>
    </row>
    <row r="3340" spans="1:7" x14ac:dyDescent="0.3">
      <c r="A3340" s="17"/>
      <c r="B3340" s="18"/>
      <c r="C3340" s="18"/>
      <c r="D3340" s="18"/>
      <c r="E3340" s="10" t="str">
        <f>IF(B3340="","",IFERROR(INDEX(Harytlar!$C$5:$C$44,MATCH(B3340,Harytlar!$A$5:$A$44,0)),""))</f>
        <v/>
      </c>
      <c r="F3340" s="10" t="str">
        <f t="shared" si="52"/>
        <v/>
      </c>
      <c r="G3340" s="10" t="str">
        <f>IF(OR(C3340="",B3340=""),"",IFERROR(C3340*INDEX(Harytlar!$D$5:$D$44,MATCH(B3340,Harytlar!$A$5:$A$44,0)),""))</f>
        <v/>
      </c>
    </row>
    <row r="3341" spans="1:7" x14ac:dyDescent="0.3">
      <c r="A3341" s="17"/>
      <c r="B3341" s="18"/>
      <c r="C3341" s="18"/>
      <c r="D3341" s="18"/>
      <c r="E3341" s="10" t="str">
        <f>IF(B3341="","",IFERROR(INDEX(Harytlar!$C$5:$C$44,MATCH(B3341,Harytlar!$A$5:$A$44,0)),""))</f>
        <v/>
      </c>
      <c r="F3341" s="10" t="str">
        <f t="shared" si="52"/>
        <v/>
      </c>
      <c r="G3341" s="10" t="str">
        <f>IF(OR(C3341="",B3341=""),"",IFERROR(C3341*INDEX(Harytlar!$D$5:$D$44,MATCH(B3341,Harytlar!$A$5:$A$44,0)),""))</f>
        <v/>
      </c>
    </row>
    <row r="3342" spans="1:7" x14ac:dyDescent="0.3">
      <c r="A3342" s="17"/>
      <c r="B3342" s="18"/>
      <c r="C3342" s="18"/>
      <c r="D3342" s="18"/>
      <c r="E3342" s="10" t="str">
        <f>IF(B3342="","",IFERROR(INDEX(Harytlar!$C$5:$C$44,MATCH(B3342,Harytlar!$A$5:$A$44,0)),""))</f>
        <v/>
      </c>
      <c r="F3342" s="10" t="str">
        <f t="shared" si="52"/>
        <v/>
      </c>
      <c r="G3342" s="10" t="str">
        <f>IF(OR(C3342="",B3342=""),"",IFERROR(C3342*INDEX(Harytlar!$D$5:$D$44,MATCH(B3342,Harytlar!$A$5:$A$44,0)),""))</f>
        <v/>
      </c>
    </row>
    <row r="3343" spans="1:7" x14ac:dyDescent="0.3">
      <c r="A3343" s="17"/>
      <c r="B3343" s="18"/>
      <c r="C3343" s="18"/>
      <c r="D3343" s="18"/>
      <c r="E3343" s="10" t="str">
        <f>IF(B3343="","",IFERROR(INDEX(Harytlar!$C$5:$C$44,MATCH(B3343,Harytlar!$A$5:$A$44,0)),""))</f>
        <v/>
      </c>
      <c r="F3343" s="10" t="str">
        <f t="shared" si="52"/>
        <v/>
      </c>
      <c r="G3343" s="10" t="str">
        <f>IF(OR(C3343="",B3343=""),"",IFERROR(C3343*INDEX(Harytlar!$D$5:$D$44,MATCH(B3343,Harytlar!$A$5:$A$44,0)),""))</f>
        <v/>
      </c>
    </row>
    <row r="3344" spans="1:7" x14ac:dyDescent="0.3">
      <c r="A3344" s="17"/>
      <c r="B3344" s="18"/>
      <c r="C3344" s="18"/>
      <c r="D3344" s="18"/>
      <c r="E3344" s="10" t="str">
        <f>IF(B3344="","",IFERROR(INDEX(Harytlar!$C$5:$C$44,MATCH(B3344,Harytlar!$A$5:$A$44,0)),""))</f>
        <v/>
      </c>
      <c r="F3344" s="10" t="str">
        <f t="shared" si="52"/>
        <v/>
      </c>
      <c r="G3344" s="10" t="str">
        <f>IF(OR(C3344="",B3344=""),"",IFERROR(C3344*INDEX(Harytlar!$D$5:$D$44,MATCH(B3344,Harytlar!$A$5:$A$44,0)),""))</f>
        <v/>
      </c>
    </row>
    <row r="3345" spans="1:7" x14ac:dyDescent="0.3">
      <c r="A3345" s="17"/>
      <c r="B3345" s="18"/>
      <c r="C3345" s="18"/>
      <c r="D3345" s="18"/>
      <c r="E3345" s="10" t="str">
        <f>IF(B3345="","",IFERROR(INDEX(Harytlar!$C$5:$C$44,MATCH(B3345,Harytlar!$A$5:$A$44,0)),""))</f>
        <v/>
      </c>
      <c r="F3345" s="10" t="str">
        <f t="shared" si="52"/>
        <v/>
      </c>
      <c r="G3345" s="10" t="str">
        <f>IF(OR(C3345="",B3345=""),"",IFERROR(C3345*INDEX(Harytlar!$D$5:$D$44,MATCH(B3345,Harytlar!$A$5:$A$44,0)),""))</f>
        <v/>
      </c>
    </row>
    <row r="3346" spans="1:7" x14ac:dyDescent="0.3">
      <c r="A3346" s="17"/>
      <c r="B3346" s="18"/>
      <c r="C3346" s="18"/>
      <c r="D3346" s="18"/>
      <c r="E3346" s="10" t="str">
        <f>IF(B3346="","",IFERROR(INDEX(Harytlar!$C$5:$C$44,MATCH(B3346,Harytlar!$A$5:$A$44,0)),""))</f>
        <v/>
      </c>
      <c r="F3346" s="10" t="str">
        <f t="shared" si="52"/>
        <v/>
      </c>
      <c r="G3346" s="10" t="str">
        <f>IF(OR(C3346="",B3346=""),"",IFERROR(C3346*INDEX(Harytlar!$D$5:$D$44,MATCH(B3346,Harytlar!$A$5:$A$44,0)),""))</f>
        <v/>
      </c>
    </row>
    <row r="3347" spans="1:7" x14ac:dyDescent="0.3">
      <c r="A3347" s="17"/>
      <c r="B3347" s="18"/>
      <c r="C3347" s="18"/>
      <c r="D3347" s="18"/>
      <c r="E3347" s="10" t="str">
        <f>IF(B3347="","",IFERROR(INDEX(Harytlar!$C$5:$C$44,MATCH(B3347,Harytlar!$A$5:$A$44,0)),""))</f>
        <v/>
      </c>
      <c r="F3347" s="10" t="str">
        <f t="shared" si="52"/>
        <v/>
      </c>
      <c r="G3347" s="10" t="str">
        <f>IF(OR(C3347="",B3347=""),"",IFERROR(C3347*INDEX(Harytlar!$D$5:$D$44,MATCH(B3347,Harytlar!$A$5:$A$44,0)),""))</f>
        <v/>
      </c>
    </row>
    <row r="3348" spans="1:7" x14ac:dyDescent="0.3">
      <c r="A3348" s="17"/>
      <c r="B3348" s="18"/>
      <c r="C3348" s="18"/>
      <c r="D3348" s="18"/>
      <c r="E3348" s="10" t="str">
        <f>IF(B3348="","",IFERROR(INDEX(Harytlar!$C$5:$C$44,MATCH(B3348,Harytlar!$A$5:$A$44,0)),""))</f>
        <v/>
      </c>
      <c r="F3348" s="10" t="str">
        <f t="shared" si="52"/>
        <v/>
      </c>
      <c r="G3348" s="10" t="str">
        <f>IF(OR(C3348="",B3348=""),"",IFERROR(C3348*INDEX(Harytlar!$D$5:$D$44,MATCH(B3348,Harytlar!$A$5:$A$44,0)),""))</f>
        <v/>
      </c>
    </row>
    <row r="3349" spans="1:7" x14ac:dyDescent="0.3">
      <c r="A3349" s="17"/>
      <c r="B3349" s="18"/>
      <c r="C3349" s="18"/>
      <c r="D3349" s="18"/>
      <c r="E3349" s="10" t="str">
        <f>IF(B3349="","",IFERROR(INDEX(Harytlar!$C$5:$C$44,MATCH(B3349,Harytlar!$A$5:$A$44,0)),""))</f>
        <v/>
      </c>
      <c r="F3349" s="10" t="str">
        <f t="shared" si="52"/>
        <v/>
      </c>
      <c r="G3349" s="10" t="str">
        <f>IF(OR(C3349="",B3349=""),"",IFERROR(C3349*INDEX(Harytlar!$D$5:$D$44,MATCH(B3349,Harytlar!$A$5:$A$44,0)),""))</f>
        <v/>
      </c>
    </row>
    <row r="3350" spans="1:7" x14ac:dyDescent="0.3">
      <c r="A3350" s="17"/>
      <c r="B3350" s="18"/>
      <c r="C3350" s="18"/>
      <c r="D3350" s="18"/>
      <c r="E3350" s="10" t="str">
        <f>IF(B3350="","",IFERROR(INDEX(Harytlar!$C$5:$C$44,MATCH(B3350,Harytlar!$A$5:$A$44,0)),""))</f>
        <v/>
      </c>
      <c r="F3350" s="10" t="str">
        <f t="shared" si="52"/>
        <v/>
      </c>
      <c r="G3350" s="10" t="str">
        <f>IF(OR(C3350="",B3350=""),"",IFERROR(C3350*INDEX(Harytlar!$D$5:$D$44,MATCH(B3350,Harytlar!$A$5:$A$44,0)),""))</f>
        <v/>
      </c>
    </row>
    <row r="3351" spans="1:7" x14ac:dyDescent="0.3">
      <c r="A3351" s="17"/>
      <c r="B3351" s="18"/>
      <c r="C3351" s="18"/>
      <c r="D3351" s="18"/>
      <c r="E3351" s="10" t="str">
        <f>IF(B3351="","",IFERROR(INDEX(Harytlar!$C$5:$C$44,MATCH(B3351,Harytlar!$A$5:$A$44,0)),""))</f>
        <v/>
      </c>
      <c r="F3351" s="10" t="str">
        <f t="shared" si="52"/>
        <v/>
      </c>
      <c r="G3351" s="10" t="str">
        <f>IF(OR(C3351="",B3351=""),"",IFERROR(C3351*INDEX(Harytlar!$D$5:$D$44,MATCH(B3351,Harytlar!$A$5:$A$44,0)),""))</f>
        <v/>
      </c>
    </row>
    <row r="3352" spans="1:7" x14ac:dyDescent="0.3">
      <c r="A3352" s="17"/>
      <c r="B3352" s="18"/>
      <c r="C3352" s="18"/>
      <c r="D3352" s="18"/>
      <c r="E3352" s="10" t="str">
        <f>IF(B3352="","",IFERROR(INDEX(Harytlar!$C$5:$C$44,MATCH(B3352,Harytlar!$A$5:$A$44,0)),""))</f>
        <v/>
      </c>
      <c r="F3352" s="10" t="str">
        <f t="shared" si="52"/>
        <v/>
      </c>
      <c r="G3352" s="10" t="str">
        <f>IF(OR(C3352="",B3352=""),"",IFERROR(C3352*INDEX(Harytlar!$D$5:$D$44,MATCH(B3352,Harytlar!$A$5:$A$44,0)),""))</f>
        <v/>
      </c>
    </row>
    <row r="3353" spans="1:7" x14ac:dyDescent="0.3">
      <c r="A3353" s="17"/>
      <c r="B3353" s="18"/>
      <c r="C3353" s="18"/>
      <c r="D3353" s="18"/>
      <c r="E3353" s="10" t="str">
        <f>IF(B3353="","",IFERROR(INDEX(Harytlar!$C$5:$C$44,MATCH(B3353,Harytlar!$A$5:$A$44,0)),""))</f>
        <v/>
      </c>
      <c r="F3353" s="10" t="str">
        <f t="shared" si="52"/>
        <v/>
      </c>
      <c r="G3353" s="10" t="str">
        <f>IF(OR(C3353="",B3353=""),"",IFERROR(C3353*INDEX(Harytlar!$D$5:$D$44,MATCH(B3353,Harytlar!$A$5:$A$44,0)),""))</f>
        <v/>
      </c>
    </row>
    <row r="3354" spans="1:7" x14ac:dyDescent="0.3">
      <c r="A3354" s="17"/>
      <c r="B3354" s="18"/>
      <c r="C3354" s="18"/>
      <c r="D3354" s="18"/>
      <c r="E3354" s="10" t="str">
        <f>IF(B3354="","",IFERROR(INDEX(Harytlar!$C$5:$C$44,MATCH(B3354,Harytlar!$A$5:$A$44,0)),""))</f>
        <v/>
      </c>
      <c r="F3354" s="10" t="str">
        <f t="shared" si="52"/>
        <v/>
      </c>
      <c r="G3354" s="10" t="str">
        <f>IF(OR(C3354="",B3354=""),"",IFERROR(C3354*INDEX(Harytlar!$D$5:$D$44,MATCH(B3354,Harytlar!$A$5:$A$44,0)),""))</f>
        <v/>
      </c>
    </row>
    <row r="3355" spans="1:7" x14ac:dyDescent="0.3">
      <c r="A3355" s="17"/>
      <c r="B3355" s="18"/>
      <c r="C3355" s="18"/>
      <c r="D3355" s="18"/>
      <c r="E3355" s="10" t="str">
        <f>IF(B3355="","",IFERROR(INDEX(Harytlar!$C$5:$C$44,MATCH(B3355,Harytlar!$A$5:$A$44,0)),""))</f>
        <v/>
      </c>
      <c r="F3355" s="10" t="str">
        <f t="shared" si="52"/>
        <v/>
      </c>
      <c r="G3355" s="10" t="str">
        <f>IF(OR(C3355="",B3355=""),"",IFERROR(C3355*INDEX(Harytlar!$D$5:$D$44,MATCH(B3355,Harytlar!$A$5:$A$44,0)),""))</f>
        <v/>
      </c>
    </row>
    <row r="3356" spans="1:7" x14ac:dyDescent="0.3">
      <c r="A3356" s="17"/>
      <c r="B3356" s="18"/>
      <c r="C3356" s="18"/>
      <c r="D3356" s="18"/>
      <c r="E3356" s="10" t="str">
        <f>IF(B3356="","",IFERROR(INDEX(Harytlar!$C$5:$C$44,MATCH(B3356,Harytlar!$A$5:$A$44,0)),""))</f>
        <v/>
      </c>
      <c r="F3356" s="10" t="str">
        <f t="shared" si="52"/>
        <v/>
      </c>
      <c r="G3356" s="10" t="str">
        <f>IF(OR(C3356="",B3356=""),"",IFERROR(C3356*INDEX(Harytlar!$D$5:$D$44,MATCH(B3356,Harytlar!$A$5:$A$44,0)),""))</f>
        <v/>
      </c>
    </row>
    <row r="3357" spans="1:7" x14ac:dyDescent="0.3">
      <c r="A3357" s="17"/>
      <c r="B3357" s="18"/>
      <c r="C3357" s="18"/>
      <c r="D3357" s="18"/>
      <c r="E3357" s="10" t="str">
        <f>IF(B3357="","",IFERROR(INDEX(Harytlar!$C$5:$C$44,MATCH(B3357,Harytlar!$A$5:$A$44,0)),""))</f>
        <v/>
      </c>
      <c r="F3357" s="10" t="str">
        <f t="shared" si="52"/>
        <v/>
      </c>
      <c r="G3357" s="10" t="str">
        <f>IF(OR(C3357="",B3357=""),"",IFERROR(C3357*INDEX(Harytlar!$D$5:$D$44,MATCH(B3357,Harytlar!$A$5:$A$44,0)),""))</f>
        <v/>
      </c>
    </row>
    <row r="3358" spans="1:7" x14ac:dyDescent="0.3">
      <c r="A3358" s="17"/>
      <c r="B3358" s="18"/>
      <c r="C3358" s="18"/>
      <c r="D3358" s="18"/>
      <c r="E3358" s="10" t="str">
        <f>IF(B3358="","",IFERROR(INDEX(Harytlar!$C$5:$C$44,MATCH(B3358,Harytlar!$A$5:$A$44,0)),""))</f>
        <v/>
      </c>
      <c r="F3358" s="10" t="str">
        <f t="shared" si="52"/>
        <v/>
      </c>
      <c r="G3358" s="10" t="str">
        <f>IF(OR(C3358="",B3358=""),"",IFERROR(C3358*INDEX(Harytlar!$D$5:$D$44,MATCH(B3358,Harytlar!$A$5:$A$44,0)),""))</f>
        <v/>
      </c>
    </row>
    <row r="3359" spans="1:7" x14ac:dyDescent="0.3">
      <c r="A3359" s="17"/>
      <c r="B3359" s="18"/>
      <c r="C3359" s="18"/>
      <c r="D3359" s="18"/>
      <c r="E3359" s="10" t="str">
        <f>IF(B3359="","",IFERROR(INDEX(Harytlar!$C$5:$C$44,MATCH(B3359,Harytlar!$A$5:$A$44,0)),""))</f>
        <v/>
      </c>
      <c r="F3359" s="10" t="str">
        <f t="shared" si="52"/>
        <v/>
      </c>
      <c r="G3359" s="10" t="str">
        <f>IF(OR(C3359="",B3359=""),"",IFERROR(C3359*INDEX(Harytlar!$D$5:$D$44,MATCH(B3359,Harytlar!$A$5:$A$44,0)),""))</f>
        <v/>
      </c>
    </row>
    <row r="3360" spans="1:7" x14ac:dyDescent="0.3">
      <c r="A3360" s="17"/>
      <c r="B3360" s="18"/>
      <c r="C3360" s="18"/>
      <c r="D3360" s="18"/>
      <c r="E3360" s="10" t="str">
        <f>IF(B3360="","",IFERROR(INDEX(Harytlar!$C$5:$C$44,MATCH(B3360,Harytlar!$A$5:$A$44,0)),""))</f>
        <v/>
      </c>
      <c r="F3360" s="10" t="str">
        <f t="shared" si="52"/>
        <v/>
      </c>
      <c r="G3360" s="10" t="str">
        <f>IF(OR(C3360="",B3360=""),"",IFERROR(C3360*INDEX(Harytlar!$D$5:$D$44,MATCH(B3360,Harytlar!$A$5:$A$44,0)),""))</f>
        <v/>
      </c>
    </row>
    <row r="3361" spans="1:7" x14ac:dyDescent="0.3">
      <c r="A3361" s="17"/>
      <c r="B3361" s="18"/>
      <c r="C3361" s="18"/>
      <c r="D3361" s="18"/>
      <c r="E3361" s="10" t="str">
        <f>IF(B3361="","",IFERROR(INDEX(Harytlar!$C$5:$C$44,MATCH(B3361,Harytlar!$A$5:$A$44,0)),""))</f>
        <v/>
      </c>
      <c r="F3361" s="10" t="str">
        <f t="shared" si="52"/>
        <v/>
      </c>
      <c r="G3361" s="10" t="str">
        <f>IF(OR(C3361="",B3361=""),"",IFERROR(C3361*INDEX(Harytlar!$D$5:$D$44,MATCH(B3361,Harytlar!$A$5:$A$44,0)),""))</f>
        <v/>
      </c>
    </row>
    <row r="3362" spans="1:7" x14ac:dyDescent="0.3">
      <c r="A3362" s="17"/>
      <c r="B3362" s="18"/>
      <c r="C3362" s="18"/>
      <c r="D3362" s="18"/>
      <c r="E3362" s="10" t="str">
        <f>IF(B3362="","",IFERROR(INDEX(Harytlar!$C$5:$C$44,MATCH(B3362,Harytlar!$A$5:$A$44,0)),""))</f>
        <v/>
      </c>
      <c r="F3362" s="10" t="str">
        <f t="shared" si="52"/>
        <v/>
      </c>
      <c r="G3362" s="10" t="str">
        <f>IF(OR(C3362="",B3362=""),"",IFERROR(C3362*INDEX(Harytlar!$D$5:$D$44,MATCH(B3362,Harytlar!$A$5:$A$44,0)),""))</f>
        <v/>
      </c>
    </row>
    <row r="3363" spans="1:7" x14ac:dyDescent="0.3">
      <c r="A3363" s="17"/>
      <c r="B3363" s="18"/>
      <c r="C3363" s="18"/>
      <c r="D3363" s="18"/>
      <c r="E3363" s="10" t="str">
        <f>IF(B3363="","",IFERROR(INDEX(Harytlar!$C$5:$C$44,MATCH(B3363,Harytlar!$A$5:$A$44,0)),""))</f>
        <v/>
      </c>
      <c r="F3363" s="10" t="str">
        <f t="shared" si="52"/>
        <v/>
      </c>
      <c r="G3363" s="10" t="str">
        <f>IF(OR(C3363="",B3363=""),"",IFERROR(C3363*INDEX(Harytlar!$D$5:$D$44,MATCH(B3363,Harytlar!$A$5:$A$44,0)),""))</f>
        <v/>
      </c>
    </row>
    <row r="3364" spans="1:7" x14ac:dyDescent="0.3">
      <c r="A3364" s="17"/>
      <c r="B3364" s="18"/>
      <c r="C3364" s="18"/>
      <c r="D3364" s="18"/>
      <c r="E3364" s="10" t="str">
        <f>IF(B3364="","",IFERROR(INDEX(Harytlar!$C$5:$C$44,MATCH(B3364,Harytlar!$A$5:$A$44,0)),""))</f>
        <v/>
      </c>
      <c r="F3364" s="10" t="str">
        <f t="shared" si="52"/>
        <v/>
      </c>
      <c r="G3364" s="10" t="str">
        <f>IF(OR(C3364="",B3364=""),"",IFERROR(C3364*INDEX(Harytlar!$D$5:$D$44,MATCH(B3364,Harytlar!$A$5:$A$44,0)),""))</f>
        <v/>
      </c>
    </row>
    <row r="3365" spans="1:7" x14ac:dyDescent="0.3">
      <c r="A3365" s="17"/>
      <c r="B3365" s="18"/>
      <c r="C3365" s="18"/>
      <c r="D3365" s="18"/>
      <c r="E3365" s="10" t="str">
        <f>IF(B3365="","",IFERROR(INDEX(Harytlar!$C$5:$C$44,MATCH(B3365,Harytlar!$A$5:$A$44,0)),""))</f>
        <v/>
      </c>
      <c r="F3365" s="10" t="str">
        <f t="shared" si="52"/>
        <v/>
      </c>
      <c r="G3365" s="10" t="str">
        <f>IF(OR(C3365="",B3365=""),"",IFERROR(C3365*INDEX(Harytlar!$D$5:$D$44,MATCH(B3365,Harytlar!$A$5:$A$44,0)),""))</f>
        <v/>
      </c>
    </row>
    <row r="3366" spans="1:7" x14ac:dyDescent="0.3">
      <c r="A3366" s="17"/>
      <c r="B3366" s="18"/>
      <c r="C3366" s="18"/>
      <c r="D3366" s="18"/>
      <c r="E3366" s="10" t="str">
        <f>IF(B3366="","",IFERROR(INDEX(Harytlar!$C$5:$C$44,MATCH(B3366,Harytlar!$A$5:$A$44,0)),""))</f>
        <v/>
      </c>
      <c r="F3366" s="10" t="str">
        <f t="shared" si="52"/>
        <v/>
      </c>
      <c r="G3366" s="10" t="str">
        <f>IF(OR(C3366="",B3366=""),"",IFERROR(C3366*INDEX(Harytlar!$D$5:$D$44,MATCH(B3366,Harytlar!$A$5:$A$44,0)),""))</f>
        <v/>
      </c>
    </row>
    <row r="3367" spans="1:7" x14ac:dyDescent="0.3">
      <c r="A3367" s="17"/>
      <c r="B3367" s="18"/>
      <c r="C3367" s="18"/>
      <c r="D3367" s="18"/>
      <c r="E3367" s="10" t="str">
        <f>IF(B3367="","",IFERROR(INDEX(Harytlar!$C$5:$C$44,MATCH(B3367,Harytlar!$A$5:$A$44,0)),""))</f>
        <v/>
      </c>
      <c r="F3367" s="10" t="str">
        <f t="shared" si="52"/>
        <v/>
      </c>
      <c r="G3367" s="10" t="str">
        <f>IF(OR(C3367="",B3367=""),"",IFERROR(C3367*INDEX(Harytlar!$D$5:$D$44,MATCH(B3367,Harytlar!$A$5:$A$44,0)),""))</f>
        <v/>
      </c>
    </row>
    <row r="3368" spans="1:7" x14ac:dyDescent="0.3">
      <c r="A3368" s="17"/>
      <c r="B3368" s="18"/>
      <c r="C3368" s="18"/>
      <c r="D3368" s="18"/>
      <c r="E3368" s="10" t="str">
        <f>IF(B3368="","",IFERROR(INDEX(Harytlar!$C$5:$C$44,MATCH(B3368,Harytlar!$A$5:$A$44,0)),""))</f>
        <v/>
      </c>
      <c r="F3368" s="10" t="str">
        <f t="shared" si="52"/>
        <v/>
      </c>
      <c r="G3368" s="10" t="str">
        <f>IF(OR(C3368="",B3368=""),"",IFERROR(C3368*INDEX(Harytlar!$D$5:$D$44,MATCH(B3368,Harytlar!$A$5:$A$44,0)),""))</f>
        <v/>
      </c>
    </row>
    <row r="3369" spans="1:7" x14ac:dyDescent="0.3">
      <c r="A3369" s="17"/>
      <c r="B3369" s="18"/>
      <c r="C3369" s="18"/>
      <c r="D3369" s="18"/>
      <c r="E3369" s="10" t="str">
        <f>IF(B3369="","",IFERROR(INDEX(Harytlar!$C$5:$C$44,MATCH(B3369,Harytlar!$A$5:$A$44,0)),""))</f>
        <v/>
      </c>
      <c r="F3369" s="10" t="str">
        <f t="shared" si="52"/>
        <v/>
      </c>
      <c r="G3369" s="10" t="str">
        <f>IF(OR(C3369="",B3369=""),"",IFERROR(C3369*INDEX(Harytlar!$D$5:$D$44,MATCH(B3369,Harytlar!$A$5:$A$44,0)),""))</f>
        <v/>
      </c>
    </row>
    <row r="3370" spans="1:7" x14ac:dyDescent="0.3">
      <c r="A3370" s="17"/>
      <c r="B3370" s="18"/>
      <c r="C3370" s="18"/>
      <c r="D3370" s="18"/>
      <c r="E3370" s="10" t="str">
        <f>IF(B3370="","",IFERROR(INDEX(Harytlar!$C$5:$C$44,MATCH(B3370,Harytlar!$A$5:$A$44,0)),""))</f>
        <v/>
      </c>
      <c r="F3370" s="10" t="str">
        <f t="shared" si="52"/>
        <v/>
      </c>
      <c r="G3370" s="10" t="str">
        <f>IF(OR(C3370="",B3370=""),"",IFERROR(C3370*INDEX(Harytlar!$D$5:$D$44,MATCH(B3370,Harytlar!$A$5:$A$44,0)),""))</f>
        <v/>
      </c>
    </row>
    <row r="3371" spans="1:7" x14ac:dyDescent="0.3">
      <c r="A3371" s="17"/>
      <c r="B3371" s="18"/>
      <c r="C3371" s="18"/>
      <c r="D3371" s="18"/>
      <c r="E3371" s="10" t="str">
        <f>IF(B3371="","",IFERROR(INDEX(Harytlar!$C$5:$C$44,MATCH(B3371,Harytlar!$A$5:$A$44,0)),""))</f>
        <v/>
      </c>
      <c r="F3371" s="10" t="str">
        <f t="shared" si="52"/>
        <v/>
      </c>
      <c r="G3371" s="10" t="str">
        <f>IF(OR(C3371="",B3371=""),"",IFERROR(C3371*INDEX(Harytlar!$D$5:$D$44,MATCH(B3371,Harytlar!$A$5:$A$44,0)),""))</f>
        <v/>
      </c>
    </row>
    <row r="3372" spans="1:7" x14ac:dyDescent="0.3">
      <c r="A3372" s="17"/>
      <c r="B3372" s="18"/>
      <c r="C3372" s="18"/>
      <c r="D3372" s="18"/>
      <c r="E3372" s="10" t="str">
        <f>IF(B3372="","",IFERROR(INDEX(Harytlar!$C$5:$C$44,MATCH(B3372,Harytlar!$A$5:$A$44,0)),""))</f>
        <v/>
      </c>
      <c r="F3372" s="10" t="str">
        <f t="shared" si="52"/>
        <v/>
      </c>
      <c r="G3372" s="10" t="str">
        <f>IF(OR(C3372="",B3372=""),"",IFERROR(C3372*INDEX(Harytlar!$D$5:$D$44,MATCH(B3372,Harytlar!$A$5:$A$44,0)),""))</f>
        <v/>
      </c>
    </row>
    <row r="3373" spans="1:7" x14ac:dyDescent="0.3">
      <c r="A3373" s="17"/>
      <c r="B3373" s="18"/>
      <c r="C3373" s="18"/>
      <c r="D3373" s="18"/>
      <c r="E3373" s="10" t="str">
        <f>IF(B3373="","",IFERROR(INDEX(Harytlar!$C$5:$C$44,MATCH(B3373,Harytlar!$A$5:$A$44,0)),""))</f>
        <v/>
      </c>
      <c r="F3373" s="10" t="str">
        <f t="shared" si="52"/>
        <v/>
      </c>
      <c r="G3373" s="10" t="str">
        <f>IF(OR(C3373="",B3373=""),"",IFERROR(C3373*INDEX(Harytlar!$D$5:$D$44,MATCH(B3373,Harytlar!$A$5:$A$44,0)),""))</f>
        <v/>
      </c>
    </row>
    <row r="3374" spans="1:7" x14ac:dyDescent="0.3">
      <c r="A3374" s="17"/>
      <c r="B3374" s="18"/>
      <c r="C3374" s="18"/>
      <c r="D3374" s="18"/>
      <c r="E3374" s="10" t="str">
        <f>IF(B3374="","",IFERROR(INDEX(Harytlar!$C$5:$C$44,MATCH(B3374,Harytlar!$A$5:$A$44,0)),""))</f>
        <v/>
      </c>
      <c r="F3374" s="10" t="str">
        <f t="shared" si="52"/>
        <v/>
      </c>
      <c r="G3374" s="10" t="str">
        <f>IF(OR(C3374="",B3374=""),"",IFERROR(C3374*INDEX(Harytlar!$D$5:$D$44,MATCH(B3374,Harytlar!$A$5:$A$44,0)),""))</f>
        <v/>
      </c>
    </row>
    <row r="3375" spans="1:7" x14ac:dyDescent="0.3">
      <c r="A3375" s="17"/>
      <c r="B3375" s="18"/>
      <c r="C3375" s="18"/>
      <c r="D3375" s="18"/>
      <c r="E3375" s="10" t="str">
        <f>IF(B3375="","",IFERROR(INDEX(Harytlar!$C$5:$C$44,MATCH(B3375,Harytlar!$A$5:$A$44,0)),""))</f>
        <v/>
      </c>
      <c r="F3375" s="10" t="str">
        <f t="shared" si="52"/>
        <v/>
      </c>
      <c r="G3375" s="10" t="str">
        <f>IF(OR(C3375="",B3375=""),"",IFERROR(C3375*INDEX(Harytlar!$D$5:$D$44,MATCH(B3375,Harytlar!$A$5:$A$44,0)),""))</f>
        <v/>
      </c>
    </row>
    <row r="3376" spans="1:7" x14ac:dyDescent="0.3">
      <c r="A3376" s="17"/>
      <c r="B3376" s="18"/>
      <c r="C3376" s="18"/>
      <c r="D3376" s="18"/>
      <c r="E3376" s="10" t="str">
        <f>IF(B3376="","",IFERROR(INDEX(Harytlar!$C$5:$C$44,MATCH(B3376,Harytlar!$A$5:$A$44,0)),""))</f>
        <v/>
      </c>
      <c r="F3376" s="10" t="str">
        <f t="shared" si="52"/>
        <v/>
      </c>
      <c r="G3376" s="10" t="str">
        <f>IF(OR(C3376="",B3376=""),"",IFERROR(C3376*INDEX(Harytlar!$D$5:$D$44,MATCH(B3376,Harytlar!$A$5:$A$44,0)),""))</f>
        <v/>
      </c>
    </row>
    <row r="3377" spans="1:7" x14ac:dyDescent="0.3">
      <c r="A3377" s="17"/>
      <c r="B3377" s="18"/>
      <c r="C3377" s="18"/>
      <c r="D3377" s="18"/>
      <c r="E3377" s="10" t="str">
        <f>IF(B3377="","",IFERROR(INDEX(Harytlar!$C$5:$C$44,MATCH(B3377,Harytlar!$A$5:$A$44,0)),""))</f>
        <v/>
      </c>
      <c r="F3377" s="10" t="str">
        <f t="shared" si="52"/>
        <v/>
      </c>
      <c r="G3377" s="10" t="str">
        <f>IF(OR(C3377="",B3377=""),"",IFERROR(C3377*INDEX(Harytlar!$D$5:$D$44,MATCH(B3377,Harytlar!$A$5:$A$44,0)),""))</f>
        <v/>
      </c>
    </row>
    <row r="3378" spans="1:7" x14ac:dyDescent="0.3">
      <c r="A3378" s="17"/>
      <c r="B3378" s="18"/>
      <c r="C3378" s="18"/>
      <c r="D3378" s="18"/>
      <c r="E3378" s="10" t="str">
        <f>IF(B3378="","",IFERROR(INDEX(Harytlar!$C$5:$C$44,MATCH(B3378,Harytlar!$A$5:$A$44,0)),""))</f>
        <v/>
      </c>
      <c r="F3378" s="10" t="str">
        <f t="shared" si="52"/>
        <v/>
      </c>
      <c r="G3378" s="10" t="str">
        <f>IF(OR(C3378="",B3378=""),"",IFERROR(C3378*INDEX(Harytlar!$D$5:$D$44,MATCH(B3378,Harytlar!$A$5:$A$44,0)),""))</f>
        <v/>
      </c>
    </row>
    <row r="3379" spans="1:7" x14ac:dyDescent="0.3">
      <c r="A3379" s="17"/>
      <c r="B3379" s="18"/>
      <c r="C3379" s="18"/>
      <c r="D3379" s="18"/>
      <c r="E3379" s="10" t="str">
        <f>IF(B3379="","",IFERROR(INDEX(Harytlar!$C$5:$C$44,MATCH(B3379,Harytlar!$A$5:$A$44,0)),""))</f>
        <v/>
      </c>
      <c r="F3379" s="10" t="str">
        <f t="shared" si="52"/>
        <v/>
      </c>
      <c r="G3379" s="10" t="str">
        <f>IF(OR(C3379="",B3379=""),"",IFERROR(C3379*INDEX(Harytlar!$D$5:$D$44,MATCH(B3379,Harytlar!$A$5:$A$44,0)),""))</f>
        <v/>
      </c>
    </row>
    <row r="3380" spans="1:7" x14ac:dyDescent="0.3">
      <c r="A3380" s="17"/>
      <c r="B3380" s="18"/>
      <c r="C3380" s="18"/>
      <c r="D3380" s="18"/>
      <c r="E3380" s="10" t="str">
        <f>IF(B3380="","",IFERROR(INDEX(Harytlar!$C$5:$C$44,MATCH(B3380,Harytlar!$A$5:$A$44,0)),""))</f>
        <v/>
      </c>
      <c r="F3380" s="10" t="str">
        <f t="shared" si="52"/>
        <v/>
      </c>
      <c r="G3380" s="10" t="str">
        <f>IF(OR(C3380="",B3380=""),"",IFERROR(C3380*INDEX(Harytlar!$D$5:$D$44,MATCH(B3380,Harytlar!$A$5:$A$44,0)),""))</f>
        <v/>
      </c>
    </row>
    <row r="3381" spans="1:7" x14ac:dyDescent="0.3">
      <c r="A3381" s="17"/>
      <c r="B3381" s="18"/>
      <c r="C3381" s="18"/>
      <c r="D3381" s="18"/>
      <c r="E3381" s="10" t="str">
        <f>IF(B3381="","",IFERROR(INDEX(Harytlar!$C$5:$C$44,MATCH(B3381,Harytlar!$A$5:$A$44,0)),""))</f>
        <v/>
      </c>
      <c r="F3381" s="10" t="str">
        <f t="shared" si="52"/>
        <v/>
      </c>
      <c r="G3381" s="10" t="str">
        <f>IF(OR(C3381="",B3381=""),"",IFERROR(C3381*INDEX(Harytlar!$D$5:$D$44,MATCH(B3381,Harytlar!$A$5:$A$44,0)),""))</f>
        <v/>
      </c>
    </row>
    <row r="3382" spans="1:7" x14ac:dyDescent="0.3">
      <c r="A3382" s="17"/>
      <c r="B3382" s="18"/>
      <c r="C3382" s="18"/>
      <c r="D3382" s="18"/>
      <c r="E3382" s="10" t="str">
        <f>IF(B3382="","",IFERROR(INDEX(Harytlar!$C$5:$C$44,MATCH(B3382,Harytlar!$A$5:$A$44,0)),""))</f>
        <v/>
      </c>
      <c r="F3382" s="10" t="str">
        <f t="shared" si="52"/>
        <v/>
      </c>
      <c r="G3382" s="10" t="str">
        <f>IF(OR(C3382="",B3382=""),"",IFERROR(C3382*INDEX(Harytlar!$D$5:$D$44,MATCH(B3382,Harytlar!$A$5:$A$44,0)),""))</f>
        <v/>
      </c>
    </row>
    <row r="3383" spans="1:7" x14ac:dyDescent="0.3">
      <c r="A3383" s="17"/>
      <c r="B3383" s="18"/>
      <c r="C3383" s="18"/>
      <c r="D3383" s="18"/>
      <c r="E3383" s="10" t="str">
        <f>IF(B3383="","",IFERROR(INDEX(Harytlar!$C$5:$C$44,MATCH(B3383,Harytlar!$A$5:$A$44,0)),""))</f>
        <v/>
      </c>
      <c r="F3383" s="10" t="str">
        <f t="shared" si="52"/>
        <v/>
      </c>
      <c r="G3383" s="10" t="str">
        <f>IF(OR(C3383="",B3383=""),"",IFERROR(C3383*INDEX(Harytlar!$D$5:$D$44,MATCH(B3383,Harytlar!$A$5:$A$44,0)),""))</f>
        <v/>
      </c>
    </row>
    <row r="3384" spans="1:7" x14ac:dyDescent="0.3">
      <c r="A3384" s="17"/>
      <c r="B3384" s="18"/>
      <c r="C3384" s="18"/>
      <c r="D3384" s="18"/>
      <c r="E3384" s="10" t="str">
        <f>IF(B3384="","",IFERROR(INDEX(Harytlar!$C$5:$C$44,MATCH(B3384,Harytlar!$A$5:$A$44,0)),""))</f>
        <v/>
      </c>
      <c r="F3384" s="10" t="str">
        <f t="shared" si="52"/>
        <v/>
      </c>
      <c r="G3384" s="10" t="str">
        <f>IF(OR(C3384="",B3384=""),"",IFERROR(C3384*INDEX(Harytlar!$D$5:$D$44,MATCH(B3384,Harytlar!$A$5:$A$44,0)),""))</f>
        <v/>
      </c>
    </row>
    <row r="3385" spans="1:7" x14ac:dyDescent="0.3">
      <c r="A3385" s="17"/>
      <c r="B3385" s="18"/>
      <c r="C3385" s="18"/>
      <c r="D3385" s="18"/>
      <c r="E3385" s="10" t="str">
        <f>IF(B3385="","",IFERROR(INDEX(Harytlar!$C$5:$C$44,MATCH(B3385,Harytlar!$A$5:$A$44,0)),""))</f>
        <v/>
      </c>
      <c r="F3385" s="10" t="str">
        <f t="shared" si="52"/>
        <v/>
      </c>
      <c r="G3385" s="10" t="str">
        <f>IF(OR(C3385="",B3385=""),"",IFERROR(C3385*INDEX(Harytlar!$D$5:$D$44,MATCH(B3385,Harytlar!$A$5:$A$44,0)),""))</f>
        <v/>
      </c>
    </row>
    <row r="3386" spans="1:7" x14ac:dyDescent="0.3">
      <c r="A3386" s="17"/>
      <c r="B3386" s="18"/>
      <c r="C3386" s="18"/>
      <c r="D3386" s="18"/>
      <c r="E3386" s="10" t="str">
        <f>IF(B3386="","",IFERROR(INDEX(Harytlar!$C$5:$C$44,MATCH(B3386,Harytlar!$A$5:$A$44,0)),""))</f>
        <v/>
      </c>
      <c r="F3386" s="10" t="str">
        <f t="shared" si="52"/>
        <v/>
      </c>
      <c r="G3386" s="10" t="str">
        <f>IF(OR(C3386="",B3386=""),"",IFERROR(C3386*INDEX(Harytlar!$D$5:$D$44,MATCH(B3386,Harytlar!$A$5:$A$44,0)),""))</f>
        <v/>
      </c>
    </row>
    <row r="3387" spans="1:7" x14ac:dyDescent="0.3">
      <c r="A3387" s="17"/>
      <c r="B3387" s="18"/>
      <c r="C3387" s="18"/>
      <c r="D3387" s="18"/>
      <c r="E3387" s="10" t="str">
        <f>IF(B3387="","",IFERROR(INDEX(Harytlar!$C$5:$C$44,MATCH(B3387,Harytlar!$A$5:$A$44,0)),""))</f>
        <v/>
      </c>
      <c r="F3387" s="10" t="str">
        <f t="shared" si="52"/>
        <v/>
      </c>
      <c r="G3387" s="10" t="str">
        <f>IF(OR(C3387="",B3387=""),"",IFERROR(C3387*INDEX(Harytlar!$D$5:$D$44,MATCH(B3387,Harytlar!$A$5:$A$44,0)),""))</f>
        <v/>
      </c>
    </row>
    <row r="3388" spans="1:7" x14ac:dyDescent="0.3">
      <c r="A3388" s="17"/>
      <c r="B3388" s="18"/>
      <c r="C3388" s="18"/>
      <c r="D3388" s="18"/>
      <c r="E3388" s="10" t="str">
        <f>IF(B3388="","",IFERROR(INDEX(Harytlar!$C$5:$C$44,MATCH(B3388,Harytlar!$A$5:$A$44,0)),""))</f>
        <v/>
      </c>
      <c r="F3388" s="10" t="str">
        <f t="shared" si="52"/>
        <v/>
      </c>
      <c r="G3388" s="10" t="str">
        <f>IF(OR(C3388="",B3388=""),"",IFERROR(C3388*INDEX(Harytlar!$D$5:$D$44,MATCH(B3388,Harytlar!$A$5:$A$44,0)),""))</f>
        <v/>
      </c>
    </row>
    <row r="3389" spans="1:7" x14ac:dyDescent="0.3">
      <c r="A3389" s="17"/>
      <c r="B3389" s="18"/>
      <c r="C3389" s="18"/>
      <c r="D3389" s="18"/>
      <c r="E3389" s="10" t="str">
        <f>IF(B3389="","",IFERROR(INDEX(Harytlar!$C$5:$C$44,MATCH(B3389,Harytlar!$A$5:$A$44,0)),""))</f>
        <v/>
      </c>
      <c r="F3389" s="10" t="str">
        <f t="shared" si="52"/>
        <v/>
      </c>
      <c r="G3389" s="10" t="str">
        <f>IF(OR(C3389="",B3389=""),"",IFERROR(C3389*INDEX(Harytlar!$D$5:$D$44,MATCH(B3389,Harytlar!$A$5:$A$44,0)),""))</f>
        <v/>
      </c>
    </row>
    <row r="3390" spans="1:7" x14ac:dyDescent="0.3">
      <c r="A3390" s="17"/>
      <c r="B3390" s="18"/>
      <c r="C3390" s="18"/>
      <c r="D3390" s="18"/>
      <c r="E3390" s="10" t="str">
        <f>IF(B3390="","",IFERROR(INDEX(Harytlar!$C$5:$C$44,MATCH(B3390,Harytlar!$A$5:$A$44,0)),""))</f>
        <v/>
      </c>
      <c r="F3390" s="10" t="str">
        <f t="shared" si="52"/>
        <v/>
      </c>
      <c r="G3390" s="10" t="str">
        <f>IF(OR(C3390="",B3390=""),"",IFERROR(C3390*INDEX(Harytlar!$D$5:$D$44,MATCH(B3390,Harytlar!$A$5:$A$44,0)),""))</f>
        <v/>
      </c>
    </row>
    <row r="3391" spans="1:7" x14ac:dyDescent="0.3">
      <c r="A3391" s="17"/>
      <c r="B3391" s="18"/>
      <c r="C3391" s="18"/>
      <c r="D3391" s="18"/>
      <c r="E3391" s="10" t="str">
        <f>IF(B3391="","",IFERROR(INDEX(Harytlar!$C$5:$C$44,MATCH(B3391,Harytlar!$A$5:$A$44,0)),""))</f>
        <v/>
      </c>
      <c r="F3391" s="10" t="str">
        <f t="shared" si="52"/>
        <v/>
      </c>
      <c r="G3391" s="10" t="str">
        <f>IF(OR(C3391="",B3391=""),"",IFERROR(C3391*INDEX(Harytlar!$D$5:$D$44,MATCH(B3391,Harytlar!$A$5:$A$44,0)),""))</f>
        <v/>
      </c>
    </row>
    <row r="3392" spans="1:7" x14ac:dyDescent="0.3">
      <c r="A3392" s="17"/>
      <c r="B3392" s="18"/>
      <c r="C3392" s="18"/>
      <c r="D3392" s="18"/>
      <c r="E3392" s="10" t="str">
        <f>IF(B3392="","",IFERROR(INDEX(Harytlar!$C$5:$C$44,MATCH(B3392,Harytlar!$A$5:$A$44,0)),""))</f>
        <v/>
      </c>
      <c r="F3392" s="10" t="str">
        <f t="shared" si="52"/>
        <v/>
      </c>
      <c r="G3392" s="10" t="str">
        <f>IF(OR(C3392="",B3392=""),"",IFERROR(C3392*INDEX(Harytlar!$D$5:$D$44,MATCH(B3392,Harytlar!$A$5:$A$44,0)),""))</f>
        <v/>
      </c>
    </row>
    <row r="3393" spans="1:7" x14ac:dyDescent="0.3">
      <c r="A3393" s="17"/>
      <c r="B3393" s="18"/>
      <c r="C3393" s="18"/>
      <c r="D3393" s="18"/>
      <c r="E3393" s="10" t="str">
        <f>IF(B3393="","",IFERROR(INDEX(Harytlar!$C$5:$C$44,MATCH(B3393,Harytlar!$A$5:$A$44,0)),""))</f>
        <v/>
      </c>
      <c r="F3393" s="10" t="str">
        <f t="shared" si="52"/>
        <v/>
      </c>
      <c r="G3393" s="10" t="str">
        <f>IF(OR(C3393="",B3393=""),"",IFERROR(C3393*INDEX(Harytlar!$D$5:$D$44,MATCH(B3393,Harytlar!$A$5:$A$44,0)),""))</f>
        <v/>
      </c>
    </row>
    <row r="3394" spans="1:7" x14ac:dyDescent="0.3">
      <c r="A3394" s="17"/>
      <c r="B3394" s="18"/>
      <c r="C3394" s="18"/>
      <c r="D3394" s="18"/>
      <c r="E3394" s="10" t="str">
        <f>IF(B3394="","",IFERROR(INDEX(Harytlar!$C$5:$C$44,MATCH(B3394,Harytlar!$A$5:$A$44,0)),""))</f>
        <v/>
      </c>
      <c r="F3394" s="10" t="str">
        <f t="shared" si="52"/>
        <v/>
      </c>
      <c r="G3394" s="10" t="str">
        <f>IF(OR(C3394="",B3394=""),"",IFERROR(C3394*INDEX(Harytlar!$D$5:$D$44,MATCH(B3394,Harytlar!$A$5:$A$44,0)),""))</f>
        <v/>
      </c>
    </row>
    <row r="3395" spans="1:7" x14ac:dyDescent="0.3">
      <c r="A3395" s="17"/>
      <c r="B3395" s="18"/>
      <c r="C3395" s="18"/>
      <c r="D3395" s="18"/>
      <c r="E3395" s="10" t="str">
        <f>IF(B3395="","",IFERROR(INDEX(Harytlar!$C$5:$C$44,MATCH(B3395,Harytlar!$A$5:$A$44,0)),""))</f>
        <v/>
      </c>
      <c r="F3395" s="10" t="str">
        <f t="shared" si="52"/>
        <v/>
      </c>
      <c r="G3395" s="10" t="str">
        <f>IF(OR(C3395="",B3395=""),"",IFERROR(C3395*INDEX(Harytlar!$D$5:$D$44,MATCH(B3395,Harytlar!$A$5:$A$44,0)),""))</f>
        <v/>
      </c>
    </row>
    <row r="3396" spans="1:7" x14ac:dyDescent="0.3">
      <c r="A3396" s="17"/>
      <c r="B3396" s="18"/>
      <c r="C3396" s="18"/>
      <c r="D3396" s="18"/>
      <c r="E3396" s="10" t="str">
        <f>IF(B3396="","",IFERROR(INDEX(Harytlar!$C$5:$C$44,MATCH(B3396,Harytlar!$A$5:$A$44,0)),""))</f>
        <v/>
      </c>
      <c r="F3396" s="10" t="str">
        <f t="shared" si="52"/>
        <v/>
      </c>
      <c r="G3396" s="10" t="str">
        <f>IF(OR(C3396="",B3396=""),"",IFERROR(C3396*INDEX(Harytlar!$D$5:$D$44,MATCH(B3396,Harytlar!$A$5:$A$44,0)),""))</f>
        <v/>
      </c>
    </row>
    <row r="3397" spans="1:7" x14ac:dyDescent="0.3">
      <c r="A3397" s="17"/>
      <c r="B3397" s="18"/>
      <c r="C3397" s="18"/>
      <c r="D3397" s="18"/>
      <c r="E3397" s="10" t="str">
        <f>IF(B3397="","",IFERROR(INDEX(Harytlar!$C$5:$C$44,MATCH(B3397,Harytlar!$A$5:$A$44,0)),""))</f>
        <v/>
      </c>
      <c r="F3397" s="10" t="str">
        <f t="shared" si="52"/>
        <v/>
      </c>
      <c r="G3397" s="10" t="str">
        <f>IF(OR(C3397="",B3397=""),"",IFERROR(C3397*INDEX(Harytlar!$D$5:$D$44,MATCH(B3397,Harytlar!$A$5:$A$44,0)),""))</f>
        <v/>
      </c>
    </row>
    <row r="3398" spans="1:7" x14ac:dyDescent="0.3">
      <c r="A3398" s="17"/>
      <c r="B3398" s="18"/>
      <c r="C3398" s="18"/>
      <c r="D3398" s="18"/>
      <c r="E3398" s="10" t="str">
        <f>IF(B3398="","",IFERROR(INDEX(Harytlar!$C$5:$C$44,MATCH(B3398,Harytlar!$A$5:$A$44,0)),""))</f>
        <v/>
      </c>
      <c r="F3398" s="10" t="str">
        <f t="shared" ref="F3398:F3461" si="53">IF(OR(C3398="",E3398=""),"",C3398*E3398)</f>
        <v/>
      </c>
      <c r="G3398" s="10" t="str">
        <f>IF(OR(C3398="",B3398=""),"",IFERROR(C3398*INDEX(Harytlar!$D$5:$D$44,MATCH(B3398,Harytlar!$A$5:$A$44,0)),""))</f>
        <v/>
      </c>
    </row>
    <row r="3399" spans="1:7" x14ac:dyDescent="0.3">
      <c r="A3399" s="17"/>
      <c r="B3399" s="18"/>
      <c r="C3399" s="18"/>
      <c r="D3399" s="18"/>
      <c r="E3399" s="10" t="str">
        <f>IF(B3399="","",IFERROR(INDEX(Harytlar!$C$5:$C$44,MATCH(B3399,Harytlar!$A$5:$A$44,0)),""))</f>
        <v/>
      </c>
      <c r="F3399" s="10" t="str">
        <f t="shared" si="53"/>
        <v/>
      </c>
      <c r="G3399" s="10" t="str">
        <f>IF(OR(C3399="",B3399=""),"",IFERROR(C3399*INDEX(Harytlar!$D$5:$D$44,MATCH(B3399,Harytlar!$A$5:$A$44,0)),""))</f>
        <v/>
      </c>
    </row>
    <row r="3400" spans="1:7" x14ac:dyDescent="0.3">
      <c r="A3400" s="17"/>
      <c r="B3400" s="18"/>
      <c r="C3400" s="18"/>
      <c r="D3400" s="18"/>
      <c r="E3400" s="10" t="str">
        <f>IF(B3400="","",IFERROR(INDEX(Harytlar!$C$5:$C$44,MATCH(B3400,Harytlar!$A$5:$A$44,0)),""))</f>
        <v/>
      </c>
      <c r="F3400" s="10" t="str">
        <f t="shared" si="53"/>
        <v/>
      </c>
      <c r="G3400" s="10" t="str">
        <f>IF(OR(C3400="",B3400=""),"",IFERROR(C3400*INDEX(Harytlar!$D$5:$D$44,MATCH(B3400,Harytlar!$A$5:$A$44,0)),""))</f>
        <v/>
      </c>
    </row>
    <row r="3401" spans="1:7" x14ac:dyDescent="0.3">
      <c r="A3401" s="17"/>
      <c r="B3401" s="18"/>
      <c r="C3401" s="18"/>
      <c r="D3401" s="18"/>
      <c r="E3401" s="10" t="str">
        <f>IF(B3401="","",IFERROR(INDEX(Harytlar!$C$5:$C$44,MATCH(B3401,Harytlar!$A$5:$A$44,0)),""))</f>
        <v/>
      </c>
      <c r="F3401" s="10" t="str">
        <f t="shared" si="53"/>
        <v/>
      </c>
      <c r="G3401" s="10" t="str">
        <f>IF(OR(C3401="",B3401=""),"",IFERROR(C3401*INDEX(Harytlar!$D$5:$D$44,MATCH(B3401,Harytlar!$A$5:$A$44,0)),""))</f>
        <v/>
      </c>
    </row>
    <row r="3402" spans="1:7" x14ac:dyDescent="0.3">
      <c r="A3402" s="17"/>
      <c r="B3402" s="18"/>
      <c r="C3402" s="18"/>
      <c r="D3402" s="18"/>
      <c r="E3402" s="10" t="str">
        <f>IF(B3402="","",IFERROR(INDEX(Harytlar!$C$5:$C$44,MATCH(B3402,Harytlar!$A$5:$A$44,0)),""))</f>
        <v/>
      </c>
      <c r="F3402" s="10" t="str">
        <f t="shared" si="53"/>
        <v/>
      </c>
      <c r="G3402" s="10" t="str">
        <f>IF(OR(C3402="",B3402=""),"",IFERROR(C3402*INDEX(Harytlar!$D$5:$D$44,MATCH(B3402,Harytlar!$A$5:$A$44,0)),""))</f>
        <v/>
      </c>
    </row>
    <row r="3403" spans="1:7" x14ac:dyDescent="0.3">
      <c r="A3403" s="17"/>
      <c r="B3403" s="18"/>
      <c r="C3403" s="18"/>
      <c r="D3403" s="18"/>
      <c r="E3403" s="10" t="str">
        <f>IF(B3403="","",IFERROR(INDEX(Harytlar!$C$5:$C$44,MATCH(B3403,Harytlar!$A$5:$A$44,0)),""))</f>
        <v/>
      </c>
      <c r="F3403" s="10" t="str">
        <f t="shared" si="53"/>
        <v/>
      </c>
      <c r="G3403" s="10" t="str">
        <f>IF(OR(C3403="",B3403=""),"",IFERROR(C3403*INDEX(Harytlar!$D$5:$D$44,MATCH(B3403,Harytlar!$A$5:$A$44,0)),""))</f>
        <v/>
      </c>
    </row>
    <row r="3404" spans="1:7" x14ac:dyDescent="0.3">
      <c r="A3404" s="17"/>
      <c r="B3404" s="18"/>
      <c r="C3404" s="18"/>
      <c r="D3404" s="18"/>
      <c r="E3404" s="10" t="str">
        <f>IF(B3404="","",IFERROR(INDEX(Harytlar!$C$5:$C$44,MATCH(B3404,Harytlar!$A$5:$A$44,0)),""))</f>
        <v/>
      </c>
      <c r="F3404" s="10" t="str">
        <f t="shared" si="53"/>
        <v/>
      </c>
      <c r="G3404" s="10" t="str">
        <f>IF(OR(C3404="",B3404=""),"",IFERROR(C3404*INDEX(Harytlar!$D$5:$D$44,MATCH(B3404,Harytlar!$A$5:$A$44,0)),""))</f>
        <v/>
      </c>
    </row>
    <row r="3405" spans="1:7" x14ac:dyDescent="0.3">
      <c r="A3405" s="17"/>
      <c r="B3405" s="18"/>
      <c r="C3405" s="18"/>
      <c r="D3405" s="18"/>
      <c r="E3405" s="10" t="str">
        <f>IF(B3405="","",IFERROR(INDEX(Harytlar!$C$5:$C$44,MATCH(B3405,Harytlar!$A$5:$A$44,0)),""))</f>
        <v/>
      </c>
      <c r="F3405" s="10" t="str">
        <f t="shared" si="53"/>
        <v/>
      </c>
      <c r="G3405" s="10" t="str">
        <f>IF(OR(C3405="",B3405=""),"",IFERROR(C3405*INDEX(Harytlar!$D$5:$D$44,MATCH(B3405,Harytlar!$A$5:$A$44,0)),""))</f>
        <v/>
      </c>
    </row>
    <row r="3406" spans="1:7" x14ac:dyDescent="0.3">
      <c r="A3406" s="17"/>
      <c r="B3406" s="18"/>
      <c r="C3406" s="18"/>
      <c r="D3406" s="18"/>
      <c r="E3406" s="10" t="str">
        <f>IF(B3406="","",IFERROR(INDEX(Harytlar!$C$5:$C$44,MATCH(B3406,Harytlar!$A$5:$A$44,0)),""))</f>
        <v/>
      </c>
      <c r="F3406" s="10" t="str">
        <f t="shared" si="53"/>
        <v/>
      </c>
      <c r="G3406" s="10" t="str">
        <f>IF(OR(C3406="",B3406=""),"",IFERROR(C3406*INDEX(Harytlar!$D$5:$D$44,MATCH(B3406,Harytlar!$A$5:$A$44,0)),""))</f>
        <v/>
      </c>
    </row>
    <row r="3407" spans="1:7" x14ac:dyDescent="0.3">
      <c r="A3407" s="17"/>
      <c r="B3407" s="18"/>
      <c r="C3407" s="18"/>
      <c r="D3407" s="18"/>
      <c r="E3407" s="10" t="str">
        <f>IF(B3407="","",IFERROR(INDEX(Harytlar!$C$5:$C$44,MATCH(B3407,Harytlar!$A$5:$A$44,0)),""))</f>
        <v/>
      </c>
      <c r="F3407" s="10" t="str">
        <f t="shared" si="53"/>
        <v/>
      </c>
      <c r="G3407" s="10" t="str">
        <f>IF(OR(C3407="",B3407=""),"",IFERROR(C3407*INDEX(Harytlar!$D$5:$D$44,MATCH(B3407,Harytlar!$A$5:$A$44,0)),""))</f>
        <v/>
      </c>
    </row>
    <row r="3408" spans="1:7" x14ac:dyDescent="0.3">
      <c r="A3408" s="17"/>
      <c r="B3408" s="18"/>
      <c r="C3408" s="18"/>
      <c r="D3408" s="18"/>
      <c r="E3408" s="10" t="str">
        <f>IF(B3408="","",IFERROR(INDEX(Harytlar!$C$5:$C$44,MATCH(B3408,Harytlar!$A$5:$A$44,0)),""))</f>
        <v/>
      </c>
      <c r="F3408" s="10" t="str">
        <f t="shared" si="53"/>
        <v/>
      </c>
      <c r="G3408" s="10" t="str">
        <f>IF(OR(C3408="",B3408=""),"",IFERROR(C3408*INDEX(Harytlar!$D$5:$D$44,MATCH(B3408,Harytlar!$A$5:$A$44,0)),""))</f>
        <v/>
      </c>
    </row>
    <row r="3409" spans="1:7" x14ac:dyDescent="0.3">
      <c r="A3409" s="17"/>
      <c r="B3409" s="18"/>
      <c r="C3409" s="18"/>
      <c r="D3409" s="18"/>
      <c r="E3409" s="10" t="str">
        <f>IF(B3409="","",IFERROR(INDEX(Harytlar!$C$5:$C$44,MATCH(B3409,Harytlar!$A$5:$A$44,0)),""))</f>
        <v/>
      </c>
      <c r="F3409" s="10" t="str">
        <f t="shared" si="53"/>
        <v/>
      </c>
      <c r="G3409" s="10" t="str">
        <f>IF(OR(C3409="",B3409=""),"",IFERROR(C3409*INDEX(Harytlar!$D$5:$D$44,MATCH(B3409,Harytlar!$A$5:$A$44,0)),""))</f>
        <v/>
      </c>
    </row>
    <row r="3410" spans="1:7" x14ac:dyDescent="0.3">
      <c r="A3410" s="17"/>
      <c r="B3410" s="18"/>
      <c r="C3410" s="18"/>
      <c r="D3410" s="18"/>
      <c r="E3410" s="10" t="str">
        <f>IF(B3410="","",IFERROR(INDEX(Harytlar!$C$5:$C$44,MATCH(B3410,Harytlar!$A$5:$A$44,0)),""))</f>
        <v/>
      </c>
      <c r="F3410" s="10" t="str">
        <f t="shared" si="53"/>
        <v/>
      </c>
      <c r="G3410" s="10" t="str">
        <f>IF(OR(C3410="",B3410=""),"",IFERROR(C3410*INDEX(Harytlar!$D$5:$D$44,MATCH(B3410,Harytlar!$A$5:$A$44,0)),""))</f>
        <v/>
      </c>
    </row>
    <row r="3411" spans="1:7" x14ac:dyDescent="0.3">
      <c r="A3411" s="17"/>
      <c r="B3411" s="18"/>
      <c r="C3411" s="18"/>
      <c r="D3411" s="18"/>
      <c r="E3411" s="10" t="str">
        <f>IF(B3411="","",IFERROR(INDEX(Harytlar!$C$5:$C$44,MATCH(B3411,Harytlar!$A$5:$A$44,0)),""))</f>
        <v/>
      </c>
      <c r="F3411" s="10" t="str">
        <f t="shared" si="53"/>
        <v/>
      </c>
      <c r="G3411" s="10" t="str">
        <f>IF(OR(C3411="",B3411=""),"",IFERROR(C3411*INDEX(Harytlar!$D$5:$D$44,MATCH(B3411,Harytlar!$A$5:$A$44,0)),""))</f>
        <v/>
      </c>
    </row>
    <row r="3412" spans="1:7" x14ac:dyDescent="0.3">
      <c r="A3412" s="17"/>
      <c r="B3412" s="18"/>
      <c r="C3412" s="18"/>
      <c r="D3412" s="18"/>
      <c r="E3412" s="10" t="str">
        <f>IF(B3412="","",IFERROR(INDEX(Harytlar!$C$5:$C$44,MATCH(B3412,Harytlar!$A$5:$A$44,0)),""))</f>
        <v/>
      </c>
      <c r="F3412" s="10" t="str">
        <f t="shared" si="53"/>
        <v/>
      </c>
      <c r="G3412" s="10" t="str">
        <f>IF(OR(C3412="",B3412=""),"",IFERROR(C3412*INDEX(Harytlar!$D$5:$D$44,MATCH(B3412,Harytlar!$A$5:$A$44,0)),""))</f>
        <v/>
      </c>
    </row>
    <row r="3413" spans="1:7" x14ac:dyDescent="0.3">
      <c r="A3413" s="17"/>
      <c r="B3413" s="18"/>
      <c r="C3413" s="18"/>
      <c r="D3413" s="18"/>
      <c r="E3413" s="10" t="str">
        <f>IF(B3413="","",IFERROR(INDEX(Harytlar!$C$5:$C$44,MATCH(B3413,Harytlar!$A$5:$A$44,0)),""))</f>
        <v/>
      </c>
      <c r="F3413" s="10" t="str">
        <f t="shared" si="53"/>
        <v/>
      </c>
      <c r="G3413" s="10" t="str">
        <f>IF(OR(C3413="",B3413=""),"",IFERROR(C3413*INDEX(Harytlar!$D$5:$D$44,MATCH(B3413,Harytlar!$A$5:$A$44,0)),""))</f>
        <v/>
      </c>
    </row>
    <row r="3414" spans="1:7" x14ac:dyDescent="0.3">
      <c r="A3414" s="17"/>
      <c r="B3414" s="18"/>
      <c r="C3414" s="18"/>
      <c r="D3414" s="18"/>
      <c r="E3414" s="10" t="str">
        <f>IF(B3414="","",IFERROR(INDEX(Harytlar!$C$5:$C$44,MATCH(B3414,Harytlar!$A$5:$A$44,0)),""))</f>
        <v/>
      </c>
      <c r="F3414" s="10" t="str">
        <f t="shared" si="53"/>
        <v/>
      </c>
      <c r="G3414" s="10" t="str">
        <f>IF(OR(C3414="",B3414=""),"",IFERROR(C3414*INDEX(Harytlar!$D$5:$D$44,MATCH(B3414,Harytlar!$A$5:$A$44,0)),""))</f>
        <v/>
      </c>
    </row>
    <row r="3415" spans="1:7" x14ac:dyDescent="0.3">
      <c r="A3415" s="17"/>
      <c r="B3415" s="18"/>
      <c r="C3415" s="18"/>
      <c r="D3415" s="18"/>
      <c r="E3415" s="10" t="str">
        <f>IF(B3415="","",IFERROR(INDEX(Harytlar!$C$5:$C$44,MATCH(B3415,Harytlar!$A$5:$A$44,0)),""))</f>
        <v/>
      </c>
      <c r="F3415" s="10" t="str">
        <f t="shared" si="53"/>
        <v/>
      </c>
      <c r="G3415" s="10" t="str">
        <f>IF(OR(C3415="",B3415=""),"",IFERROR(C3415*INDEX(Harytlar!$D$5:$D$44,MATCH(B3415,Harytlar!$A$5:$A$44,0)),""))</f>
        <v/>
      </c>
    </row>
    <row r="3416" spans="1:7" x14ac:dyDescent="0.3">
      <c r="A3416" s="17"/>
      <c r="B3416" s="18"/>
      <c r="C3416" s="18"/>
      <c r="D3416" s="18"/>
      <c r="E3416" s="10" t="str">
        <f>IF(B3416="","",IFERROR(INDEX(Harytlar!$C$5:$C$44,MATCH(B3416,Harytlar!$A$5:$A$44,0)),""))</f>
        <v/>
      </c>
      <c r="F3416" s="10" t="str">
        <f t="shared" si="53"/>
        <v/>
      </c>
      <c r="G3416" s="10" t="str">
        <f>IF(OR(C3416="",B3416=""),"",IFERROR(C3416*INDEX(Harytlar!$D$5:$D$44,MATCH(B3416,Harytlar!$A$5:$A$44,0)),""))</f>
        <v/>
      </c>
    </row>
    <row r="3417" spans="1:7" x14ac:dyDescent="0.3">
      <c r="A3417" s="17"/>
      <c r="B3417" s="18"/>
      <c r="C3417" s="18"/>
      <c r="D3417" s="18"/>
      <c r="E3417" s="10" t="str">
        <f>IF(B3417="","",IFERROR(INDEX(Harytlar!$C$5:$C$44,MATCH(B3417,Harytlar!$A$5:$A$44,0)),""))</f>
        <v/>
      </c>
      <c r="F3417" s="10" t="str">
        <f t="shared" si="53"/>
        <v/>
      </c>
      <c r="G3417" s="10" t="str">
        <f>IF(OR(C3417="",B3417=""),"",IFERROR(C3417*INDEX(Harytlar!$D$5:$D$44,MATCH(B3417,Harytlar!$A$5:$A$44,0)),""))</f>
        <v/>
      </c>
    </row>
    <row r="3418" spans="1:7" x14ac:dyDescent="0.3">
      <c r="A3418" s="17"/>
      <c r="B3418" s="18"/>
      <c r="C3418" s="18"/>
      <c r="D3418" s="18"/>
      <c r="E3418" s="10" t="str">
        <f>IF(B3418="","",IFERROR(INDEX(Harytlar!$C$5:$C$44,MATCH(B3418,Harytlar!$A$5:$A$44,0)),""))</f>
        <v/>
      </c>
      <c r="F3418" s="10" t="str">
        <f t="shared" si="53"/>
        <v/>
      </c>
      <c r="G3418" s="10" t="str">
        <f>IF(OR(C3418="",B3418=""),"",IFERROR(C3418*INDEX(Harytlar!$D$5:$D$44,MATCH(B3418,Harytlar!$A$5:$A$44,0)),""))</f>
        <v/>
      </c>
    </row>
    <row r="3419" spans="1:7" x14ac:dyDescent="0.3">
      <c r="A3419" s="17"/>
      <c r="B3419" s="18"/>
      <c r="C3419" s="18"/>
      <c r="D3419" s="18"/>
      <c r="E3419" s="10" t="str">
        <f>IF(B3419="","",IFERROR(INDEX(Harytlar!$C$5:$C$44,MATCH(B3419,Harytlar!$A$5:$A$44,0)),""))</f>
        <v/>
      </c>
      <c r="F3419" s="10" t="str">
        <f t="shared" si="53"/>
        <v/>
      </c>
      <c r="G3419" s="10" t="str">
        <f>IF(OR(C3419="",B3419=""),"",IFERROR(C3419*INDEX(Harytlar!$D$5:$D$44,MATCH(B3419,Harytlar!$A$5:$A$44,0)),""))</f>
        <v/>
      </c>
    </row>
    <row r="3420" spans="1:7" x14ac:dyDescent="0.3">
      <c r="A3420" s="17"/>
      <c r="B3420" s="18"/>
      <c r="C3420" s="18"/>
      <c r="D3420" s="18"/>
      <c r="E3420" s="10" t="str">
        <f>IF(B3420="","",IFERROR(INDEX(Harytlar!$C$5:$C$44,MATCH(B3420,Harytlar!$A$5:$A$44,0)),""))</f>
        <v/>
      </c>
      <c r="F3420" s="10" t="str">
        <f t="shared" si="53"/>
        <v/>
      </c>
      <c r="G3420" s="10" t="str">
        <f>IF(OR(C3420="",B3420=""),"",IFERROR(C3420*INDEX(Harytlar!$D$5:$D$44,MATCH(B3420,Harytlar!$A$5:$A$44,0)),""))</f>
        <v/>
      </c>
    </row>
    <row r="3421" spans="1:7" x14ac:dyDescent="0.3">
      <c r="A3421" s="17"/>
      <c r="B3421" s="18"/>
      <c r="C3421" s="18"/>
      <c r="D3421" s="18"/>
      <c r="E3421" s="10" t="str">
        <f>IF(B3421="","",IFERROR(INDEX(Harytlar!$C$5:$C$44,MATCH(B3421,Harytlar!$A$5:$A$44,0)),""))</f>
        <v/>
      </c>
      <c r="F3421" s="10" t="str">
        <f t="shared" si="53"/>
        <v/>
      </c>
      <c r="G3421" s="10" t="str">
        <f>IF(OR(C3421="",B3421=""),"",IFERROR(C3421*INDEX(Harytlar!$D$5:$D$44,MATCH(B3421,Harytlar!$A$5:$A$44,0)),""))</f>
        <v/>
      </c>
    </row>
    <row r="3422" spans="1:7" x14ac:dyDescent="0.3">
      <c r="A3422" s="17"/>
      <c r="B3422" s="18"/>
      <c r="C3422" s="18"/>
      <c r="D3422" s="18"/>
      <c r="E3422" s="10" t="str">
        <f>IF(B3422="","",IFERROR(INDEX(Harytlar!$C$5:$C$44,MATCH(B3422,Harytlar!$A$5:$A$44,0)),""))</f>
        <v/>
      </c>
      <c r="F3422" s="10" t="str">
        <f t="shared" si="53"/>
        <v/>
      </c>
      <c r="G3422" s="10" t="str">
        <f>IF(OR(C3422="",B3422=""),"",IFERROR(C3422*INDEX(Harytlar!$D$5:$D$44,MATCH(B3422,Harytlar!$A$5:$A$44,0)),""))</f>
        <v/>
      </c>
    </row>
    <row r="3423" spans="1:7" x14ac:dyDescent="0.3">
      <c r="A3423" s="17"/>
      <c r="B3423" s="18"/>
      <c r="C3423" s="18"/>
      <c r="D3423" s="18"/>
      <c r="E3423" s="10" t="str">
        <f>IF(B3423="","",IFERROR(INDEX(Harytlar!$C$5:$C$44,MATCH(B3423,Harytlar!$A$5:$A$44,0)),""))</f>
        <v/>
      </c>
      <c r="F3423" s="10" t="str">
        <f t="shared" si="53"/>
        <v/>
      </c>
      <c r="G3423" s="10" t="str">
        <f>IF(OR(C3423="",B3423=""),"",IFERROR(C3423*INDEX(Harytlar!$D$5:$D$44,MATCH(B3423,Harytlar!$A$5:$A$44,0)),""))</f>
        <v/>
      </c>
    </row>
    <row r="3424" spans="1:7" x14ac:dyDescent="0.3">
      <c r="A3424" s="17"/>
      <c r="B3424" s="18"/>
      <c r="C3424" s="18"/>
      <c r="D3424" s="18"/>
      <c r="E3424" s="10" t="str">
        <f>IF(B3424="","",IFERROR(INDEX(Harytlar!$C$5:$C$44,MATCH(B3424,Harytlar!$A$5:$A$44,0)),""))</f>
        <v/>
      </c>
      <c r="F3424" s="10" t="str">
        <f t="shared" si="53"/>
        <v/>
      </c>
      <c r="G3424" s="10" t="str">
        <f>IF(OR(C3424="",B3424=""),"",IFERROR(C3424*INDEX(Harytlar!$D$5:$D$44,MATCH(B3424,Harytlar!$A$5:$A$44,0)),""))</f>
        <v/>
      </c>
    </row>
    <row r="3425" spans="1:7" x14ac:dyDescent="0.3">
      <c r="A3425" s="17"/>
      <c r="B3425" s="18"/>
      <c r="C3425" s="18"/>
      <c r="D3425" s="18"/>
      <c r="E3425" s="10" t="str">
        <f>IF(B3425="","",IFERROR(INDEX(Harytlar!$C$5:$C$44,MATCH(B3425,Harytlar!$A$5:$A$44,0)),""))</f>
        <v/>
      </c>
      <c r="F3425" s="10" t="str">
        <f t="shared" si="53"/>
        <v/>
      </c>
      <c r="G3425" s="10" t="str">
        <f>IF(OR(C3425="",B3425=""),"",IFERROR(C3425*INDEX(Harytlar!$D$5:$D$44,MATCH(B3425,Harytlar!$A$5:$A$44,0)),""))</f>
        <v/>
      </c>
    </row>
    <row r="3426" spans="1:7" x14ac:dyDescent="0.3">
      <c r="A3426" s="17"/>
      <c r="B3426" s="18"/>
      <c r="C3426" s="18"/>
      <c r="D3426" s="18"/>
      <c r="E3426" s="10" t="str">
        <f>IF(B3426="","",IFERROR(INDEX(Harytlar!$C$5:$C$44,MATCH(B3426,Harytlar!$A$5:$A$44,0)),""))</f>
        <v/>
      </c>
      <c r="F3426" s="10" t="str">
        <f t="shared" si="53"/>
        <v/>
      </c>
      <c r="G3426" s="10" t="str">
        <f>IF(OR(C3426="",B3426=""),"",IFERROR(C3426*INDEX(Harytlar!$D$5:$D$44,MATCH(B3426,Harytlar!$A$5:$A$44,0)),""))</f>
        <v/>
      </c>
    </row>
    <row r="3427" spans="1:7" x14ac:dyDescent="0.3">
      <c r="A3427" s="17"/>
      <c r="B3427" s="18"/>
      <c r="C3427" s="18"/>
      <c r="D3427" s="18"/>
      <c r="E3427" s="10" t="str">
        <f>IF(B3427="","",IFERROR(INDEX(Harytlar!$C$5:$C$44,MATCH(B3427,Harytlar!$A$5:$A$44,0)),""))</f>
        <v/>
      </c>
      <c r="F3427" s="10" t="str">
        <f t="shared" si="53"/>
        <v/>
      </c>
      <c r="G3427" s="10" t="str">
        <f>IF(OR(C3427="",B3427=""),"",IFERROR(C3427*INDEX(Harytlar!$D$5:$D$44,MATCH(B3427,Harytlar!$A$5:$A$44,0)),""))</f>
        <v/>
      </c>
    </row>
    <row r="3428" spans="1:7" x14ac:dyDescent="0.3">
      <c r="A3428" s="17"/>
      <c r="B3428" s="18"/>
      <c r="C3428" s="18"/>
      <c r="D3428" s="18"/>
      <c r="E3428" s="10" t="str">
        <f>IF(B3428="","",IFERROR(INDEX(Harytlar!$C$5:$C$44,MATCH(B3428,Harytlar!$A$5:$A$44,0)),""))</f>
        <v/>
      </c>
      <c r="F3428" s="10" t="str">
        <f t="shared" si="53"/>
        <v/>
      </c>
      <c r="G3428" s="10" t="str">
        <f>IF(OR(C3428="",B3428=""),"",IFERROR(C3428*INDEX(Harytlar!$D$5:$D$44,MATCH(B3428,Harytlar!$A$5:$A$44,0)),""))</f>
        <v/>
      </c>
    </row>
    <row r="3429" spans="1:7" x14ac:dyDescent="0.3">
      <c r="A3429" s="17"/>
      <c r="B3429" s="18"/>
      <c r="C3429" s="18"/>
      <c r="D3429" s="18"/>
      <c r="E3429" s="10" t="str">
        <f>IF(B3429="","",IFERROR(INDEX(Harytlar!$C$5:$C$44,MATCH(B3429,Harytlar!$A$5:$A$44,0)),""))</f>
        <v/>
      </c>
      <c r="F3429" s="10" t="str">
        <f t="shared" si="53"/>
        <v/>
      </c>
      <c r="G3429" s="10" t="str">
        <f>IF(OR(C3429="",B3429=""),"",IFERROR(C3429*INDEX(Harytlar!$D$5:$D$44,MATCH(B3429,Harytlar!$A$5:$A$44,0)),""))</f>
        <v/>
      </c>
    </row>
    <row r="3430" spans="1:7" x14ac:dyDescent="0.3">
      <c r="A3430" s="17"/>
      <c r="B3430" s="18"/>
      <c r="C3430" s="18"/>
      <c r="D3430" s="18"/>
      <c r="E3430" s="10" t="str">
        <f>IF(B3430="","",IFERROR(INDEX(Harytlar!$C$5:$C$44,MATCH(B3430,Harytlar!$A$5:$A$44,0)),""))</f>
        <v/>
      </c>
      <c r="F3430" s="10" t="str">
        <f t="shared" si="53"/>
        <v/>
      </c>
      <c r="G3430" s="10" t="str">
        <f>IF(OR(C3430="",B3430=""),"",IFERROR(C3430*INDEX(Harytlar!$D$5:$D$44,MATCH(B3430,Harytlar!$A$5:$A$44,0)),""))</f>
        <v/>
      </c>
    </row>
    <row r="3431" spans="1:7" x14ac:dyDescent="0.3">
      <c r="A3431" s="17"/>
      <c r="B3431" s="18"/>
      <c r="C3431" s="18"/>
      <c r="D3431" s="18"/>
      <c r="E3431" s="10" t="str">
        <f>IF(B3431="","",IFERROR(INDEX(Harytlar!$C$5:$C$44,MATCH(B3431,Harytlar!$A$5:$A$44,0)),""))</f>
        <v/>
      </c>
      <c r="F3431" s="10" t="str">
        <f t="shared" si="53"/>
        <v/>
      </c>
      <c r="G3431" s="10" t="str">
        <f>IF(OR(C3431="",B3431=""),"",IFERROR(C3431*INDEX(Harytlar!$D$5:$D$44,MATCH(B3431,Harytlar!$A$5:$A$44,0)),""))</f>
        <v/>
      </c>
    </row>
    <row r="3432" spans="1:7" x14ac:dyDescent="0.3">
      <c r="A3432" s="17"/>
      <c r="B3432" s="18"/>
      <c r="C3432" s="18"/>
      <c r="D3432" s="18"/>
      <c r="E3432" s="10" t="str">
        <f>IF(B3432="","",IFERROR(INDEX(Harytlar!$C$5:$C$44,MATCH(B3432,Harytlar!$A$5:$A$44,0)),""))</f>
        <v/>
      </c>
      <c r="F3432" s="10" t="str">
        <f t="shared" si="53"/>
        <v/>
      </c>
      <c r="G3432" s="10" t="str">
        <f>IF(OR(C3432="",B3432=""),"",IFERROR(C3432*INDEX(Harytlar!$D$5:$D$44,MATCH(B3432,Harytlar!$A$5:$A$44,0)),""))</f>
        <v/>
      </c>
    </row>
    <row r="3433" spans="1:7" x14ac:dyDescent="0.3">
      <c r="A3433" s="17"/>
      <c r="B3433" s="18"/>
      <c r="C3433" s="18"/>
      <c r="D3433" s="18"/>
      <c r="E3433" s="10" t="str">
        <f>IF(B3433="","",IFERROR(INDEX(Harytlar!$C$5:$C$44,MATCH(B3433,Harytlar!$A$5:$A$44,0)),""))</f>
        <v/>
      </c>
      <c r="F3433" s="10" t="str">
        <f t="shared" si="53"/>
        <v/>
      </c>
      <c r="G3433" s="10" t="str">
        <f>IF(OR(C3433="",B3433=""),"",IFERROR(C3433*INDEX(Harytlar!$D$5:$D$44,MATCH(B3433,Harytlar!$A$5:$A$44,0)),""))</f>
        <v/>
      </c>
    </row>
    <row r="3434" spans="1:7" x14ac:dyDescent="0.3">
      <c r="A3434" s="17"/>
      <c r="B3434" s="18"/>
      <c r="C3434" s="18"/>
      <c r="D3434" s="18"/>
      <c r="E3434" s="10" t="str">
        <f>IF(B3434="","",IFERROR(INDEX(Harytlar!$C$5:$C$44,MATCH(B3434,Harytlar!$A$5:$A$44,0)),""))</f>
        <v/>
      </c>
      <c r="F3434" s="10" t="str">
        <f t="shared" si="53"/>
        <v/>
      </c>
      <c r="G3434" s="10" t="str">
        <f>IF(OR(C3434="",B3434=""),"",IFERROR(C3434*INDEX(Harytlar!$D$5:$D$44,MATCH(B3434,Harytlar!$A$5:$A$44,0)),""))</f>
        <v/>
      </c>
    </row>
    <row r="3435" spans="1:7" x14ac:dyDescent="0.3">
      <c r="A3435" s="17"/>
      <c r="B3435" s="18"/>
      <c r="C3435" s="18"/>
      <c r="D3435" s="18"/>
      <c r="E3435" s="10" t="str">
        <f>IF(B3435="","",IFERROR(INDEX(Harytlar!$C$5:$C$44,MATCH(B3435,Harytlar!$A$5:$A$44,0)),""))</f>
        <v/>
      </c>
      <c r="F3435" s="10" t="str">
        <f t="shared" si="53"/>
        <v/>
      </c>
      <c r="G3435" s="10" t="str">
        <f>IF(OR(C3435="",B3435=""),"",IFERROR(C3435*INDEX(Harytlar!$D$5:$D$44,MATCH(B3435,Harytlar!$A$5:$A$44,0)),""))</f>
        <v/>
      </c>
    </row>
    <row r="3436" spans="1:7" x14ac:dyDescent="0.3">
      <c r="A3436" s="17"/>
      <c r="B3436" s="18"/>
      <c r="C3436" s="18"/>
      <c r="D3436" s="18"/>
      <c r="E3436" s="10" t="str">
        <f>IF(B3436="","",IFERROR(INDEX(Harytlar!$C$5:$C$44,MATCH(B3436,Harytlar!$A$5:$A$44,0)),""))</f>
        <v/>
      </c>
      <c r="F3436" s="10" t="str">
        <f t="shared" si="53"/>
        <v/>
      </c>
      <c r="G3436" s="10" t="str">
        <f>IF(OR(C3436="",B3436=""),"",IFERROR(C3436*INDEX(Harytlar!$D$5:$D$44,MATCH(B3436,Harytlar!$A$5:$A$44,0)),""))</f>
        <v/>
      </c>
    </row>
    <row r="3437" spans="1:7" x14ac:dyDescent="0.3">
      <c r="A3437" s="17"/>
      <c r="B3437" s="18"/>
      <c r="C3437" s="18"/>
      <c r="D3437" s="18"/>
      <c r="E3437" s="10" t="str">
        <f>IF(B3437="","",IFERROR(INDEX(Harytlar!$C$5:$C$44,MATCH(B3437,Harytlar!$A$5:$A$44,0)),""))</f>
        <v/>
      </c>
      <c r="F3437" s="10" t="str">
        <f t="shared" si="53"/>
        <v/>
      </c>
      <c r="G3437" s="10" t="str">
        <f>IF(OR(C3437="",B3437=""),"",IFERROR(C3437*INDEX(Harytlar!$D$5:$D$44,MATCH(B3437,Harytlar!$A$5:$A$44,0)),""))</f>
        <v/>
      </c>
    </row>
    <row r="3438" spans="1:7" x14ac:dyDescent="0.3">
      <c r="A3438" s="17"/>
      <c r="B3438" s="18"/>
      <c r="C3438" s="18"/>
      <c r="D3438" s="18"/>
      <c r="E3438" s="10" t="str">
        <f>IF(B3438="","",IFERROR(INDEX(Harytlar!$C$5:$C$44,MATCH(B3438,Harytlar!$A$5:$A$44,0)),""))</f>
        <v/>
      </c>
      <c r="F3438" s="10" t="str">
        <f t="shared" si="53"/>
        <v/>
      </c>
      <c r="G3438" s="10" t="str">
        <f>IF(OR(C3438="",B3438=""),"",IFERROR(C3438*INDEX(Harytlar!$D$5:$D$44,MATCH(B3438,Harytlar!$A$5:$A$44,0)),""))</f>
        <v/>
      </c>
    </row>
    <row r="3439" spans="1:7" x14ac:dyDescent="0.3">
      <c r="A3439" s="17"/>
      <c r="B3439" s="18"/>
      <c r="C3439" s="18"/>
      <c r="D3439" s="18"/>
      <c r="E3439" s="10" t="str">
        <f>IF(B3439="","",IFERROR(INDEX(Harytlar!$C$5:$C$44,MATCH(B3439,Harytlar!$A$5:$A$44,0)),""))</f>
        <v/>
      </c>
      <c r="F3439" s="10" t="str">
        <f t="shared" si="53"/>
        <v/>
      </c>
      <c r="G3439" s="10" t="str">
        <f>IF(OR(C3439="",B3439=""),"",IFERROR(C3439*INDEX(Harytlar!$D$5:$D$44,MATCH(B3439,Harytlar!$A$5:$A$44,0)),""))</f>
        <v/>
      </c>
    </row>
    <row r="3440" spans="1:7" x14ac:dyDescent="0.3">
      <c r="A3440" s="17"/>
      <c r="B3440" s="18"/>
      <c r="C3440" s="18"/>
      <c r="D3440" s="18"/>
      <c r="E3440" s="10" t="str">
        <f>IF(B3440="","",IFERROR(INDEX(Harytlar!$C$5:$C$44,MATCH(B3440,Harytlar!$A$5:$A$44,0)),""))</f>
        <v/>
      </c>
      <c r="F3440" s="10" t="str">
        <f t="shared" si="53"/>
        <v/>
      </c>
      <c r="G3440" s="10" t="str">
        <f>IF(OR(C3440="",B3440=""),"",IFERROR(C3440*INDEX(Harytlar!$D$5:$D$44,MATCH(B3440,Harytlar!$A$5:$A$44,0)),""))</f>
        <v/>
      </c>
    </row>
    <row r="3441" spans="1:7" x14ac:dyDescent="0.3">
      <c r="A3441" s="17"/>
      <c r="B3441" s="18"/>
      <c r="C3441" s="18"/>
      <c r="D3441" s="18"/>
      <c r="E3441" s="10" t="str">
        <f>IF(B3441="","",IFERROR(INDEX(Harytlar!$C$5:$C$44,MATCH(B3441,Harytlar!$A$5:$A$44,0)),""))</f>
        <v/>
      </c>
      <c r="F3441" s="10" t="str">
        <f t="shared" si="53"/>
        <v/>
      </c>
      <c r="G3441" s="10" t="str">
        <f>IF(OR(C3441="",B3441=""),"",IFERROR(C3441*INDEX(Harytlar!$D$5:$D$44,MATCH(B3441,Harytlar!$A$5:$A$44,0)),""))</f>
        <v/>
      </c>
    </row>
    <row r="3442" spans="1:7" x14ac:dyDescent="0.3">
      <c r="A3442" s="17"/>
      <c r="B3442" s="18"/>
      <c r="C3442" s="18"/>
      <c r="D3442" s="18"/>
      <c r="E3442" s="10" t="str">
        <f>IF(B3442="","",IFERROR(INDEX(Harytlar!$C$5:$C$44,MATCH(B3442,Harytlar!$A$5:$A$44,0)),""))</f>
        <v/>
      </c>
      <c r="F3442" s="10" t="str">
        <f t="shared" si="53"/>
        <v/>
      </c>
      <c r="G3442" s="10" t="str">
        <f>IF(OR(C3442="",B3442=""),"",IFERROR(C3442*INDEX(Harytlar!$D$5:$D$44,MATCH(B3442,Harytlar!$A$5:$A$44,0)),""))</f>
        <v/>
      </c>
    </row>
    <row r="3443" spans="1:7" x14ac:dyDescent="0.3">
      <c r="A3443" s="17"/>
      <c r="B3443" s="18"/>
      <c r="C3443" s="18"/>
      <c r="D3443" s="18"/>
      <c r="E3443" s="10" t="str">
        <f>IF(B3443="","",IFERROR(INDEX(Harytlar!$C$5:$C$44,MATCH(B3443,Harytlar!$A$5:$A$44,0)),""))</f>
        <v/>
      </c>
      <c r="F3443" s="10" t="str">
        <f t="shared" si="53"/>
        <v/>
      </c>
      <c r="G3443" s="10" t="str">
        <f>IF(OR(C3443="",B3443=""),"",IFERROR(C3443*INDEX(Harytlar!$D$5:$D$44,MATCH(B3443,Harytlar!$A$5:$A$44,0)),""))</f>
        <v/>
      </c>
    </row>
    <row r="3444" spans="1:7" x14ac:dyDescent="0.3">
      <c r="A3444" s="17"/>
      <c r="B3444" s="18"/>
      <c r="C3444" s="18"/>
      <c r="D3444" s="18"/>
      <c r="E3444" s="10" t="str">
        <f>IF(B3444="","",IFERROR(INDEX(Harytlar!$C$5:$C$44,MATCH(B3444,Harytlar!$A$5:$A$44,0)),""))</f>
        <v/>
      </c>
      <c r="F3444" s="10" t="str">
        <f t="shared" si="53"/>
        <v/>
      </c>
      <c r="G3444" s="10" t="str">
        <f>IF(OR(C3444="",B3444=""),"",IFERROR(C3444*INDEX(Harytlar!$D$5:$D$44,MATCH(B3444,Harytlar!$A$5:$A$44,0)),""))</f>
        <v/>
      </c>
    </row>
    <row r="3445" spans="1:7" x14ac:dyDescent="0.3">
      <c r="A3445" s="17"/>
      <c r="B3445" s="18"/>
      <c r="C3445" s="18"/>
      <c r="D3445" s="18"/>
      <c r="E3445" s="10" t="str">
        <f>IF(B3445="","",IFERROR(INDEX(Harytlar!$C$5:$C$44,MATCH(B3445,Harytlar!$A$5:$A$44,0)),""))</f>
        <v/>
      </c>
      <c r="F3445" s="10" t="str">
        <f t="shared" si="53"/>
        <v/>
      </c>
      <c r="G3445" s="10" t="str">
        <f>IF(OR(C3445="",B3445=""),"",IFERROR(C3445*INDEX(Harytlar!$D$5:$D$44,MATCH(B3445,Harytlar!$A$5:$A$44,0)),""))</f>
        <v/>
      </c>
    </row>
    <row r="3446" spans="1:7" x14ac:dyDescent="0.3">
      <c r="A3446" s="17"/>
      <c r="B3446" s="18"/>
      <c r="C3446" s="18"/>
      <c r="D3446" s="18"/>
      <c r="E3446" s="10" t="str">
        <f>IF(B3446="","",IFERROR(INDEX(Harytlar!$C$5:$C$44,MATCH(B3446,Harytlar!$A$5:$A$44,0)),""))</f>
        <v/>
      </c>
      <c r="F3446" s="10" t="str">
        <f t="shared" si="53"/>
        <v/>
      </c>
      <c r="G3446" s="10" t="str">
        <f>IF(OR(C3446="",B3446=""),"",IFERROR(C3446*INDEX(Harytlar!$D$5:$D$44,MATCH(B3446,Harytlar!$A$5:$A$44,0)),""))</f>
        <v/>
      </c>
    </row>
    <row r="3447" spans="1:7" x14ac:dyDescent="0.3">
      <c r="A3447" s="17"/>
      <c r="B3447" s="18"/>
      <c r="C3447" s="18"/>
      <c r="D3447" s="18"/>
      <c r="E3447" s="10" t="str">
        <f>IF(B3447="","",IFERROR(INDEX(Harytlar!$C$5:$C$44,MATCH(B3447,Harytlar!$A$5:$A$44,0)),""))</f>
        <v/>
      </c>
      <c r="F3447" s="10" t="str">
        <f t="shared" si="53"/>
        <v/>
      </c>
      <c r="G3447" s="10" t="str">
        <f>IF(OR(C3447="",B3447=""),"",IFERROR(C3447*INDEX(Harytlar!$D$5:$D$44,MATCH(B3447,Harytlar!$A$5:$A$44,0)),""))</f>
        <v/>
      </c>
    </row>
    <row r="3448" spans="1:7" x14ac:dyDescent="0.3">
      <c r="A3448" s="17"/>
      <c r="B3448" s="18"/>
      <c r="C3448" s="18"/>
      <c r="D3448" s="18"/>
      <c r="E3448" s="10" t="str">
        <f>IF(B3448="","",IFERROR(INDEX(Harytlar!$C$5:$C$44,MATCH(B3448,Harytlar!$A$5:$A$44,0)),""))</f>
        <v/>
      </c>
      <c r="F3448" s="10" t="str">
        <f t="shared" si="53"/>
        <v/>
      </c>
      <c r="G3448" s="10" t="str">
        <f>IF(OR(C3448="",B3448=""),"",IFERROR(C3448*INDEX(Harytlar!$D$5:$D$44,MATCH(B3448,Harytlar!$A$5:$A$44,0)),""))</f>
        <v/>
      </c>
    </row>
    <row r="3449" spans="1:7" x14ac:dyDescent="0.3">
      <c r="A3449" s="17"/>
      <c r="B3449" s="18"/>
      <c r="C3449" s="18"/>
      <c r="D3449" s="18"/>
      <c r="E3449" s="10" t="str">
        <f>IF(B3449="","",IFERROR(INDEX(Harytlar!$C$5:$C$44,MATCH(B3449,Harytlar!$A$5:$A$44,0)),""))</f>
        <v/>
      </c>
      <c r="F3449" s="10" t="str">
        <f t="shared" si="53"/>
        <v/>
      </c>
      <c r="G3449" s="10" t="str">
        <f>IF(OR(C3449="",B3449=""),"",IFERROR(C3449*INDEX(Harytlar!$D$5:$D$44,MATCH(B3449,Harytlar!$A$5:$A$44,0)),""))</f>
        <v/>
      </c>
    </row>
    <row r="3450" spans="1:7" x14ac:dyDescent="0.3">
      <c r="A3450" s="17"/>
      <c r="B3450" s="18"/>
      <c r="C3450" s="18"/>
      <c r="D3450" s="18"/>
      <c r="E3450" s="10" t="str">
        <f>IF(B3450="","",IFERROR(INDEX(Harytlar!$C$5:$C$44,MATCH(B3450,Harytlar!$A$5:$A$44,0)),""))</f>
        <v/>
      </c>
      <c r="F3450" s="10" t="str">
        <f t="shared" si="53"/>
        <v/>
      </c>
      <c r="G3450" s="10" t="str">
        <f>IF(OR(C3450="",B3450=""),"",IFERROR(C3450*INDEX(Harytlar!$D$5:$D$44,MATCH(B3450,Harytlar!$A$5:$A$44,0)),""))</f>
        <v/>
      </c>
    </row>
    <row r="3451" spans="1:7" x14ac:dyDescent="0.3">
      <c r="A3451" s="17"/>
      <c r="B3451" s="18"/>
      <c r="C3451" s="18"/>
      <c r="D3451" s="18"/>
      <c r="E3451" s="10" t="str">
        <f>IF(B3451="","",IFERROR(INDEX(Harytlar!$C$5:$C$44,MATCH(B3451,Harytlar!$A$5:$A$44,0)),""))</f>
        <v/>
      </c>
      <c r="F3451" s="10" t="str">
        <f t="shared" si="53"/>
        <v/>
      </c>
      <c r="G3451" s="10" t="str">
        <f>IF(OR(C3451="",B3451=""),"",IFERROR(C3451*INDEX(Harytlar!$D$5:$D$44,MATCH(B3451,Harytlar!$A$5:$A$44,0)),""))</f>
        <v/>
      </c>
    </row>
    <row r="3452" spans="1:7" x14ac:dyDescent="0.3">
      <c r="A3452" s="17"/>
      <c r="B3452" s="18"/>
      <c r="C3452" s="18"/>
      <c r="D3452" s="18"/>
      <c r="E3452" s="10" t="str">
        <f>IF(B3452="","",IFERROR(INDEX(Harytlar!$C$5:$C$44,MATCH(B3452,Harytlar!$A$5:$A$44,0)),""))</f>
        <v/>
      </c>
      <c r="F3452" s="10" t="str">
        <f t="shared" si="53"/>
        <v/>
      </c>
      <c r="G3452" s="10" t="str">
        <f>IF(OR(C3452="",B3452=""),"",IFERROR(C3452*INDEX(Harytlar!$D$5:$D$44,MATCH(B3452,Harytlar!$A$5:$A$44,0)),""))</f>
        <v/>
      </c>
    </row>
    <row r="3453" spans="1:7" x14ac:dyDescent="0.3">
      <c r="A3453" s="17"/>
      <c r="B3453" s="18"/>
      <c r="C3453" s="18"/>
      <c r="D3453" s="18"/>
      <c r="E3453" s="10" t="str">
        <f>IF(B3453="","",IFERROR(INDEX(Harytlar!$C$5:$C$44,MATCH(B3453,Harytlar!$A$5:$A$44,0)),""))</f>
        <v/>
      </c>
      <c r="F3453" s="10" t="str">
        <f t="shared" si="53"/>
        <v/>
      </c>
      <c r="G3453" s="10" t="str">
        <f>IF(OR(C3453="",B3453=""),"",IFERROR(C3453*INDEX(Harytlar!$D$5:$D$44,MATCH(B3453,Harytlar!$A$5:$A$44,0)),""))</f>
        <v/>
      </c>
    </row>
    <row r="3454" spans="1:7" x14ac:dyDescent="0.3">
      <c r="A3454" s="17"/>
      <c r="B3454" s="18"/>
      <c r="C3454" s="18"/>
      <c r="D3454" s="18"/>
      <c r="E3454" s="10" t="str">
        <f>IF(B3454="","",IFERROR(INDEX(Harytlar!$C$5:$C$44,MATCH(B3454,Harytlar!$A$5:$A$44,0)),""))</f>
        <v/>
      </c>
      <c r="F3454" s="10" t="str">
        <f t="shared" si="53"/>
        <v/>
      </c>
      <c r="G3454" s="10" t="str">
        <f>IF(OR(C3454="",B3454=""),"",IFERROR(C3454*INDEX(Harytlar!$D$5:$D$44,MATCH(B3454,Harytlar!$A$5:$A$44,0)),""))</f>
        <v/>
      </c>
    </row>
    <row r="3455" spans="1:7" x14ac:dyDescent="0.3">
      <c r="A3455" s="17"/>
      <c r="B3455" s="18"/>
      <c r="C3455" s="18"/>
      <c r="D3455" s="18"/>
      <c r="E3455" s="10" t="str">
        <f>IF(B3455="","",IFERROR(INDEX(Harytlar!$C$5:$C$44,MATCH(B3455,Harytlar!$A$5:$A$44,0)),""))</f>
        <v/>
      </c>
      <c r="F3455" s="10" t="str">
        <f t="shared" si="53"/>
        <v/>
      </c>
      <c r="G3455" s="10" t="str">
        <f>IF(OR(C3455="",B3455=""),"",IFERROR(C3455*INDEX(Harytlar!$D$5:$D$44,MATCH(B3455,Harytlar!$A$5:$A$44,0)),""))</f>
        <v/>
      </c>
    </row>
    <row r="3456" spans="1:7" x14ac:dyDescent="0.3">
      <c r="A3456" s="17"/>
      <c r="B3456" s="18"/>
      <c r="C3456" s="18"/>
      <c r="D3456" s="18"/>
      <c r="E3456" s="10" t="str">
        <f>IF(B3456="","",IFERROR(INDEX(Harytlar!$C$5:$C$44,MATCH(B3456,Harytlar!$A$5:$A$44,0)),""))</f>
        <v/>
      </c>
      <c r="F3456" s="10" t="str">
        <f t="shared" si="53"/>
        <v/>
      </c>
      <c r="G3456" s="10" t="str">
        <f>IF(OR(C3456="",B3456=""),"",IFERROR(C3456*INDEX(Harytlar!$D$5:$D$44,MATCH(B3456,Harytlar!$A$5:$A$44,0)),""))</f>
        <v/>
      </c>
    </row>
    <row r="3457" spans="1:7" x14ac:dyDescent="0.3">
      <c r="A3457" s="17"/>
      <c r="B3457" s="18"/>
      <c r="C3457" s="18"/>
      <c r="D3457" s="18"/>
      <c r="E3457" s="10" t="str">
        <f>IF(B3457="","",IFERROR(INDEX(Harytlar!$C$5:$C$44,MATCH(B3457,Harytlar!$A$5:$A$44,0)),""))</f>
        <v/>
      </c>
      <c r="F3457" s="10" t="str">
        <f t="shared" si="53"/>
        <v/>
      </c>
      <c r="G3457" s="10" t="str">
        <f>IF(OR(C3457="",B3457=""),"",IFERROR(C3457*INDEX(Harytlar!$D$5:$D$44,MATCH(B3457,Harytlar!$A$5:$A$44,0)),""))</f>
        <v/>
      </c>
    </row>
    <row r="3458" spans="1:7" x14ac:dyDescent="0.3">
      <c r="A3458" s="17"/>
      <c r="B3458" s="18"/>
      <c r="C3458" s="18"/>
      <c r="D3458" s="18"/>
      <c r="E3458" s="10" t="str">
        <f>IF(B3458="","",IFERROR(INDEX(Harytlar!$C$5:$C$44,MATCH(B3458,Harytlar!$A$5:$A$44,0)),""))</f>
        <v/>
      </c>
      <c r="F3458" s="10" t="str">
        <f t="shared" si="53"/>
        <v/>
      </c>
      <c r="G3458" s="10" t="str">
        <f>IF(OR(C3458="",B3458=""),"",IFERROR(C3458*INDEX(Harytlar!$D$5:$D$44,MATCH(B3458,Harytlar!$A$5:$A$44,0)),""))</f>
        <v/>
      </c>
    </row>
    <row r="3459" spans="1:7" x14ac:dyDescent="0.3">
      <c r="A3459" s="17"/>
      <c r="B3459" s="18"/>
      <c r="C3459" s="18"/>
      <c r="D3459" s="18"/>
      <c r="E3459" s="10" t="str">
        <f>IF(B3459="","",IFERROR(INDEX(Harytlar!$C$5:$C$44,MATCH(B3459,Harytlar!$A$5:$A$44,0)),""))</f>
        <v/>
      </c>
      <c r="F3459" s="10" t="str">
        <f t="shared" si="53"/>
        <v/>
      </c>
      <c r="G3459" s="10" t="str">
        <f>IF(OR(C3459="",B3459=""),"",IFERROR(C3459*INDEX(Harytlar!$D$5:$D$44,MATCH(B3459,Harytlar!$A$5:$A$44,0)),""))</f>
        <v/>
      </c>
    </row>
    <row r="3460" spans="1:7" x14ac:dyDescent="0.3">
      <c r="A3460" s="17"/>
      <c r="B3460" s="18"/>
      <c r="C3460" s="18"/>
      <c r="D3460" s="18"/>
      <c r="E3460" s="10" t="str">
        <f>IF(B3460="","",IFERROR(INDEX(Harytlar!$C$5:$C$44,MATCH(B3460,Harytlar!$A$5:$A$44,0)),""))</f>
        <v/>
      </c>
      <c r="F3460" s="10" t="str">
        <f t="shared" si="53"/>
        <v/>
      </c>
      <c r="G3460" s="10" t="str">
        <f>IF(OR(C3460="",B3460=""),"",IFERROR(C3460*INDEX(Harytlar!$D$5:$D$44,MATCH(B3460,Harytlar!$A$5:$A$44,0)),""))</f>
        <v/>
      </c>
    </row>
    <row r="3461" spans="1:7" x14ac:dyDescent="0.3">
      <c r="A3461" s="17"/>
      <c r="B3461" s="18"/>
      <c r="C3461" s="18"/>
      <c r="D3461" s="18"/>
      <c r="E3461" s="10" t="str">
        <f>IF(B3461="","",IFERROR(INDEX(Harytlar!$C$5:$C$44,MATCH(B3461,Harytlar!$A$5:$A$44,0)),""))</f>
        <v/>
      </c>
      <c r="F3461" s="10" t="str">
        <f t="shared" si="53"/>
        <v/>
      </c>
      <c r="G3461" s="10" t="str">
        <f>IF(OR(C3461="",B3461=""),"",IFERROR(C3461*INDEX(Harytlar!$D$5:$D$44,MATCH(B3461,Harytlar!$A$5:$A$44,0)),""))</f>
        <v/>
      </c>
    </row>
    <row r="3462" spans="1:7" x14ac:dyDescent="0.3">
      <c r="A3462" s="17"/>
      <c r="B3462" s="18"/>
      <c r="C3462" s="18"/>
      <c r="D3462" s="18"/>
      <c r="E3462" s="10" t="str">
        <f>IF(B3462="","",IFERROR(INDEX(Harytlar!$C$5:$C$44,MATCH(B3462,Harytlar!$A$5:$A$44,0)),""))</f>
        <v/>
      </c>
      <c r="F3462" s="10" t="str">
        <f t="shared" ref="F3462:F3525" si="54">IF(OR(C3462="",E3462=""),"",C3462*E3462)</f>
        <v/>
      </c>
      <c r="G3462" s="10" t="str">
        <f>IF(OR(C3462="",B3462=""),"",IFERROR(C3462*INDEX(Harytlar!$D$5:$D$44,MATCH(B3462,Harytlar!$A$5:$A$44,0)),""))</f>
        <v/>
      </c>
    </row>
    <row r="3463" spans="1:7" x14ac:dyDescent="0.3">
      <c r="A3463" s="17"/>
      <c r="B3463" s="18"/>
      <c r="C3463" s="18"/>
      <c r="D3463" s="18"/>
      <c r="E3463" s="10" t="str">
        <f>IF(B3463="","",IFERROR(INDEX(Harytlar!$C$5:$C$44,MATCH(B3463,Harytlar!$A$5:$A$44,0)),""))</f>
        <v/>
      </c>
      <c r="F3463" s="10" t="str">
        <f t="shared" si="54"/>
        <v/>
      </c>
      <c r="G3463" s="10" t="str">
        <f>IF(OR(C3463="",B3463=""),"",IFERROR(C3463*INDEX(Harytlar!$D$5:$D$44,MATCH(B3463,Harytlar!$A$5:$A$44,0)),""))</f>
        <v/>
      </c>
    </row>
    <row r="3464" spans="1:7" x14ac:dyDescent="0.3">
      <c r="A3464" s="17"/>
      <c r="B3464" s="18"/>
      <c r="C3464" s="18"/>
      <c r="D3464" s="18"/>
      <c r="E3464" s="10" t="str">
        <f>IF(B3464="","",IFERROR(INDEX(Harytlar!$C$5:$C$44,MATCH(B3464,Harytlar!$A$5:$A$44,0)),""))</f>
        <v/>
      </c>
      <c r="F3464" s="10" t="str">
        <f t="shared" si="54"/>
        <v/>
      </c>
      <c r="G3464" s="10" t="str">
        <f>IF(OR(C3464="",B3464=""),"",IFERROR(C3464*INDEX(Harytlar!$D$5:$D$44,MATCH(B3464,Harytlar!$A$5:$A$44,0)),""))</f>
        <v/>
      </c>
    </row>
    <row r="3465" spans="1:7" x14ac:dyDescent="0.3">
      <c r="A3465" s="17"/>
      <c r="B3465" s="18"/>
      <c r="C3465" s="18"/>
      <c r="D3465" s="18"/>
      <c r="E3465" s="10" t="str">
        <f>IF(B3465="","",IFERROR(INDEX(Harytlar!$C$5:$C$44,MATCH(B3465,Harytlar!$A$5:$A$44,0)),""))</f>
        <v/>
      </c>
      <c r="F3465" s="10" t="str">
        <f t="shared" si="54"/>
        <v/>
      </c>
      <c r="G3465" s="10" t="str">
        <f>IF(OR(C3465="",B3465=""),"",IFERROR(C3465*INDEX(Harytlar!$D$5:$D$44,MATCH(B3465,Harytlar!$A$5:$A$44,0)),""))</f>
        <v/>
      </c>
    </row>
    <row r="3466" spans="1:7" x14ac:dyDescent="0.3">
      <c r="A3466" s="17"/>
      <c r="B3466" s="18"/>
      <c r="C3466" s="18"/>
      <c r="D3466" s="18"/>
      <c r="E3466" s="10" t="str">
        <f>IF(B3466="","",IFERROR(INDEX(Harytlar!$C$5:$C$44,MATCH(B3466,Harytlar!$A$5:$A$44,0)),""))</f>
        <v/>
      </c>
      <c r="F3466" s="10" t="str">
        <f t="shared" si="54"/>
        <v/>
      </c>
      <c r="G3466" s="10" t="str">
        <f>IF(OR(C3466="",B3466=""),"",IFERROR(C3466*INDEX(Harytlar!$D$5:$D$44,MATCH(B3466,Harytlar!$A$5:$A$44,0)),""))</f>
        <v/>
      </c>
    </row>
    <row r="3467" spans="1:7" x14ac:dyDescent="0.3">
      <c r="A3467" s="17"/>
      <c r="B3467" s="18"/>
      <c r="C3467" s="18"/>
      <c r="D3467" s="18"/>
      <c r="E3467" s="10" t="str">
        <f>IF(B3467="","",IFERROR(INDEX(Harytlar!$C$5:$C$44,MATCH(B3467,Harytlar!$A$5:$A$44,0)),""))</f>
        <v/>
      </c>
      <c r="F3467" s="10" t="str">
        <f t="shared" si="54"/>
        <v/>
      </c>
      <c r="G3467" s="10" t="str">
        <f>IF(OR(C3467="",B3467=""),"",IFERROR(C3467*INDEX(Harytlar!$D$5:$D$44,MATCH(B3467,Harytlar!$A$5:$A$44,0)),""))</f>
        <v/>
      </c>
    </row>
    <row r="3468" spans="1:7" x14ac:dyDescent="0.3">
      <c r="A3468" s="17"/>
      <c r="B3468" s="18"/>
      <c r="C3468" s="18"/>
      <c r="D3468" s="18"/>
      <c r="E3468" s="10" t="str">
        <f>IF(B3468="","",IFERROR(INDEX(Harytlar!$C$5:$C$44,MATCH(B3468,Harytlar!$A$5:$A$44,0)),""))</f>
        <v/>
      </c>
      <c r="F3468" s="10" t="str">
        <f t="shared" si="54"/>
        <v/>
      </c>
      <c r="G3468" s="10" t="str">
        <f>IF(OR(C3468="",B3468=""),"",IFERROR(C3468*INDEX(Harytlar!$D$5:$D$44,MATCH(B3468,Harytlar!$A$5:$A$44,0)),""))</f>
        <v/>
      </c>
    </row>
    <row r="3469" spans="1:7" x14ac:dyDescent="0.3">
      <c r="A3469" s="17"/>
      <c r="B3469" s="18"/>
      <c r="C3469" s="18"/>
      <c r="D3469" s="18"/>
      <c r="E3469" s="10" t="str">
        <f>IF(B3469="","",IFERROR(INDEX(Harytlar!$C$5:$C$44,MATCH(B3469,Harytlar!$A$5:$A$44,0)),""))</f>
        <v/>
      </c>
      <c r="F3469" s="10" t="str">
        <f t="shared" si="54"/>
        <v/>
      </c>
      <c r="G3469" s="10" t="str">
        <f>IF(OR(C3469="",B3469=""),"",IFERROR(C3469*INDEX(Harytlar!$D$5:$D$44,MATCH(B3469,Harytlar!$A$5:$A$44,0)),""))</f>
        <v/>
      </c>
    </row>
    <row r="3470" spans="1:7" x14ac:dyDescent="0.3">
      <c r="A3470" s="17"/>
      <c r="B3470" s="18"/>
      <c r="C3470" s="18"/>
      <c r="D3470" s="18"/>
      <c r="E3470" s="10" t="str">
        <f>IF(B3470="","",IFERROR(INDEX(Harytlar!$C$5:$C$44,MATCH(B3470,Harytlar!$A$5:$A$44,0)),""))</f>
        <v/>
      </c>
      <c r="F3470" s="10" t="str">
        <f t="shared" si="54"/>
        <v/>
      </c>
      <c r="G3470" s="10" t="str">
        <f>IF(OR(C3470="",B3470=""),"",IFERROR(C3470*INDEX(Harytlar!$D$5:$D$44,MATCH(B3470,Harytlar!$A$5:$A$44,0)),""))</f>
        <v/>
      </c>
    </row>
    <row r="3471" spans="1:7" x14ac:dyDescent="0.3">
      <c r="A3471" s="17"/>
      <c r="B3471" s="18"/>
      <c r="C3471" s="18"/>
      <c r="D3471" s="18"/>
      <c r="E3471" s="10" t="str">
        <f>IF(B3471="","",IFERROR(INDEX(Harytlar!$C$5:$C$44,MATCH(B3471,Harytlar!$A$5:$A$44,0)),""))</f>
        <v/>
      </c>
      <c r="F3471" s="10" t="str">
        <f t="shared" si="54"/>
        <v/>
      </c>
      <c r="G3471" s="10" t="str">
        <f>IF(OR(C3471="",B3471=""),"",IFERROR(C3471*INDEX(Harytlar!$D$5:$D$44,MATCH(B3471,Harytlar!$A$5:$A$44,0)),""))</f>
        <v/>
      </c>
    </row>
    <row r="3472" spans="1:7" x14ac:dyDescent="0.3">
      <c r="A3472" s="17"/>
      <c r="B3472" s="18"/>
      <c r="C3472" s="18"/>
      <c r="D3472" s="18"/>
      <c r="E3472" s="10" t="str">
        <f>IF(B3472="","",IFERROR(INDEX(Harytlar!$C$5:$C$44,MATCH(B3472,Harytlar!$A$5:$A$44,0)),""))</f>
        <v/>
      </c>
      <c r="F3472" s="10" t="str">
        <f t="shared" si="54"/>
        <v/>
      </c>
      <c r="G3472" s="10" t="str">
        <f>IF(OR(C3472="",B3472=""),"",IFERROR(C3472*INDEX(Harytlar!$D$5:$D$44,MATCH(B3472,Harytlar!$A$5:$A$44,0)),""))</f>
        <v/>
      </c>
    </row>
    <row r="3473" spans="1:7" x14ac:dyDescent="0.3">
      <c r="A3473" s="17"/>
      <c r="B3473" s="18"/>
      <c r="C3473" s="18"/>
      <c r="D3473" s="18"/>
      <c r="E3473" s="10" t="str">
        <f>IF(B3473="","",IFERROR(INDEX(Harytlar!$C$5:$C$44,MATCH(B3473,Harytlar!$A$5:$A$44,0)),""))</f>
        <v/>
      </c>
      <c r="F3473" s="10" t="str">
        <f t="shared" si="54"/>
        <v/>
      </c>
      <c r="G3473" s="10" t="str">
        <f>IF(OR(C3473="",B3473=""),"",IFERROR(C3473*INDEX(Harytlar!$D$5:$D$44,MATCH(B3473,Harytlar!$A$5:$A$44,0)),""))</f>
        <v/>
      </c>
    </row>
    <row r="3474" spans="1:7" x14ac:dyDescent="0.3">
      <c r="A3474" s="17"/>
      <c r="B3474" s="18"/>
      <c r="C3474" s="18"/>
      <c r="D3474" s="18"/>
      <c r="E3474" s="10" t="str">
        <f>IF(B3474="","",IFERROR(INDEX(Harytlar!$C$5:$C$44,MATCH(B3474,Harytlar!$A$5:$A$44,0)),""))</f>
        <v/>
      </c>
      <c r="F3474" s="10" t="str">
        <f t="shared" si="54"/>
        <v/>
      </c>
      <c r="G3474" s="10" t="str">
        <f>IF(OR(C3474="",B3474=""),"",IFERROR(C3474*INDEX(Harytlar!$D$5:$D$44,MATCH(B3474,Harytlar!$A$5:$A$44,0)),""))</f>
        <v/>
      </c>
    </row>
    <row r="3475" spans="1:7" x14ac:dyDescent="0.3">
      <c r="A3475" s="17"/>
      <c r="B3475" s="18"/>
      <c r="C3475" s="18"/>
      <c r="D3475" s="18"/>
      <c r="E3475" s="10" t="str">
        <f>IF(B3475="","",IFERROR(INDEX(Harytlar!$C$5:$C$44,MATCH(B3475,Harytlar!$A$5:$A$44,0)),""))</f>
        <v/>
      </c>
      <c r="F3475" s="10" t="str">
        <f t="shared" si="54"/>
        <v/>
      </c>
      <c r="G3475" s="10" t="str">
        <f>IF(OR(C3475="",B3475=""),"",IFERROR(C3475*INDEX(Harytlar!$D$5:$D$44,MATCH(B3475,Harytlar!$A$5:$A$44,0)),""))</f>
        <v/>
      </c>
    </row>
    <row r="3476" spans="1:7" x14ac:dyDescent="0.3">
      <c r="A3476" s="17"/>
      <c r="B3476" s="18"/>
      <c r="C3476" s="18"/>
      <c r="D3476" s="18"/>
      <c r="E3476" s="10" t="str">
        <f>IF(B3476="","",IFERROR(INDEX(Harytlar!$C$5:$C$44,MATCH(B3476,Harytlar!$A$5:$A$44,0)),""))</f>
        <v/>
      </c>
      <c r="F3476" s="10" t="str">
        <f t="shared" si="54"/>
        <v/>
      </c>
      <c r="G3476" s="10" t="str">
        <f>IF(OR(C3476="",B3476=""),"",IFERROR(C3476*INDEX(Harytlar!$D$5:$D$44,MATCH(B3476,Harytlar!$A$5:$A$44,0)),""))</f>
        <v/>
      </c>
    </row>
    <row r="3477" spans="1:7" x14ac:dyDescent="0.3">
      <c r="A3477" s="17"/>
      <c r="B3477" s="18"/>
      <c r="C3477" s="18"/>
      <c r="D3477" s="18"/>
      <c r="E3477" s="10" t="str">
        <f>IF(B3477="","",IFERROR(INDEX(Harytlar!$C$5:$C$44,MATCH(B3477,Harytlar!$A$5:$A$44,0)),""))</f>
        <v/>
      </c>
      <c r="F3477" s="10" t="str">
        <f t="shared" si="54"/>
        <v/>
      </c>
      <c r="G3477" s="10" t="str">
        <f>IF(OR(C3477="",B3477=""),"",IFERROR(C3477*INDEX(Harytlar!$D$5:$D$44,MATCH(B3477,Harytlar!$A$5:$A$44,0)),""))</f>
        <v/>
      </c>
    </row>
    <row r="3478" spans="1:7" x14ac:dyDescent="0.3">
      <c r="A3478" s="17"/>
      <c r="B3478" s="18"/>
      <c r="C3478" s="18"/>
      <c r="D3478" s="18"/>
      <c r="E3478" s="10" t="str">
        <f>IF(B3478="","",IFERROR(INDEX(Harytlar!$C$5:$C$44,MATCH(B3478,Harytlar!$A$5:$A$44,0)),""))</f>
        <v/>
      </c>
      <c r="F3478" s="10" t="str">
        <f t="shared" si="54"/>
        <v/>
      </c>
      <c r="G3478" s="10" t="str">
        <f>IF(OR(C3478="",B3478=""),"",IFERROR(C3478*INDEX(Harytlar!$D$5:$D$44,MATCH(B3478,Harytlar!$A$5:$A$44,0)),""))</f>
        <v/>
      </c>
    </row>
    <row r="3479" spans="1:7" x14ac:dyDescent="0.3">
      <c r="A3479" s="17"/>
      <c r="B3479" s="18"/>
      <c r="C3479" s="18"/>
      <c r="D3479" s="18"/>
      <c r="E3479" s="10" t="str">
        <f>IF(B3479="","",IFERROR(INDEX(Harytlar!$C$5:$C$44,MATCH(B3479,Harytlar!$A$5:$A$44,0)),""))</f>
        <v/>
      </c>
      <c r="F3479" s="10" t="str">
        <f t="shared" si="54"/>
        <v/>
      </c>
      <c r="G3479" s="10" t="str">
        <f>IF(OR(C3479="",B3479=""),"",IFERROR(C3479*INDEX(Harytlar!$D$5:$D$44,MATCH(B3479,Harytlar!$A$5:$A$44,0)),""))</f>
        <v/>
      </c>
    </row>
    <row r="3480" spans="1:7" x14ac:dyDescent="0.3">
      <c r="A3480" s="17"/>
      <c r="B3480" s="18"/>
      <c r="C3480" s="18"/>
      <c r="D3480" s="18"/>
      <c r="E3480" s="10" t="str">
        <f>IF(B3480="","",IFERROR(INDEX(Harytlar!$C$5:$C$44,MATCH(B3480,Harytlar!$A$5:$A$44,0)),""))</f>
        <v/>
      </c>
      <c r="F3480" s="10" t="str">
        <f t="shared" si="54"/>
        <v/>
      </c>
      <c r="G3480" s="10" t="str">
        <f>IF(OR(C3480="",B3480=""),"",IFERROR(C3480*INDEX(Harytlar!$D$5:$D$44,MATCH(B3480,Harytlar!$A$5:$A$44,0)),""))</f>
        <v/>
      </c>
    </row>
    <row r="3481" spans="1:7" x14ac:dyDescent="0.3">
      <c r="A3481" s="17"/>
      <c r="B3481" s="18"/>
      <c r="C3481" s="18"/>
      <c r="D3481" s="18"/>
      <c r="E3481" s="10" t="str">
        <f>IF(B3481="","",IFERROR(INDEX(Harytlar!$C$5:$C$44,MATCH(B3481,Harytlar!$A$5:$A$44,0)),""))</f>
        <v/>
      </c>
      <c r="F3481" s="10" t="str">
        <f t="shared" si="54"/>
        <v/>
      </c>
      <c r="G3481" s="10" t="str">
        <f>IF(OR(C3481="",B3481=""),"",IFERROR(C3481*INDEX(Harytlar!$D$5:$D$44,MATCH(B3481,Harytlar!$A$5:$A$44,0)),""))</f>
        <v/>
      </c>
    </row>
    <row r="3482" spans="1:7" x14ac:dyDescent="0.3">
      <c r="A3482" s="17"/>
      <c r="B3482" s="18"/>
      <c r="C3482" s="18"/>
      <c r="D3482" s="18"/>
      <c r="E3482" s="10" t="str">
        <f>IF(B3482="","",IFERROR(INDEX(Harytlar!$C$5:$C$44,MATCH(B3482,Harytlar!$A$5:$A$44,0)),""))</f>
        <v/>
      </c>
      <c r="F3482" s="10" t="str">
        <f t="shared" si="54"/>
        <v/>
      </c>
      <c r="G3482" s="10" t="str">
        <f>IF(OR(C3482="",B3482=""),"",IFERROR(C3482*INDEX(Harytlar!$D$5:$D$44,MATCH(B3482,Harytlar!$A$5:$A$44,0)),""))</f>
        <v/>
      </c>
    </row>
    <row r="3483" spans="1:7" x14ac:dyDescent="0.3">
      <c r="A3483" s="17"/>
      <c r="B3483" s="18"/>
      <c r="C3483" s="18"/>
      <c r="D3483" s="18"/>
      <c r="E3483" s="10" t="str">
        <f>IF(B3483="","",IFERROR(INDEX(Harytlar!$C$5:$C$44,MATCH(B3483,Harytlar!$A$5:$A$44,0)),""))</f>
        <v/>
      </c>
      <c r="F3483" s="10" t="str">
        <f t="shared" si="54"/>
        <v/>
      </c>
      <c r="G3483" s="10" t="str">
        <f>IF(OR(C3483="",B3483=""),"",IFERROR(C3483*INDEX(Harytlar!$D$5:$D$44,MATCH(B3483,Harytlar!$A$5:$A$44,0)),""))</f>
        <v/>
      </c>
    </row>
    <row r="3484" spans="1:7" x14ac:dyDescent="0.3">
      <c r="A3484" s="17"/>
      <c r="B3484" s="18"/>
      <c r="C3484" s="18"/>
      <c r="D3484" s="18"/>
      <c r="E3484" s="10" t="str">
        <f>IF(B3484="","",IFERROR(INDEX(Harytlar!$C$5:$C$44,MATCH(B3484,Harytlar!$A$5:$A$44,0)),""))</f>
        <v/>
      </c>
      <c r="F3484" s="10" t="str">
        <f t="shared" si="54"/>
        <v/>
      </c>
      <c r="G3484" s="10" t="str">
        <f>IF(OR(C3484="",B3484=""),"",IFERROR(C3484*INDEX(Harytlar!$D$5:$D$44,MATCH(B3484,Harytlar!$A$5:$A$44,0)),""))</f>
        <v/>
      </c>
    </row>
    <row r="3485" spans="1:7" x14ac:dyDescent="0.3">
      <c r="A3485" s="17"/>
      <c r="B3485" s="18"/>
      <c r="C3485" s="18"/>
      <c r="D3485" s="18"/>
      <c r="E3485" s="10" t="str">
        <f>IF(B3485="","",IFERROR(INDEX(Harytlar!$C$5:$C$44,MATCH(B3485,Harytlar!$A$5:$A$44,0)),""))</f>
        <v/>
      </c>
      <c r="F3485" s="10" t="str">
        <f t="shared" si="54"/>
        <v/>
      </c>
      <c r="G3485" s="10" t="str">
        <f>IF(OR(C3485="",B3485=""),"",IFERROR(C3485*INDEX(Harytlar!$D$5:$D$44,MATCH(B3485,Harytlar!$A$5:$A$44,0)),""))</f>
        <v/>
      </c>
    </row>
    <row r="3486" spans="1:7" x14ac:dyDescent="0.3">
      <c r="A3486" s="17"/>
      <c r="B3486" s="18"/>
      <c r="C3486" s="18"/>
      <c r="D3486" s="18"/>
      <c r="E3486" s="10" t="str">
        <f>IF(B3486="","",IFERROR(INDEX(Harytlar!$C$5:$C$44,MATCH(B3486,Harytlar!$A$5:$A$44,0)),""))</f>
        <v/>
      </c>
      <c r="F3486" s="10" t="str">
        <f t="shared" si="54"/>
        <v/>
      </c>
      <c r="G3486" s="10" t="str">
        <f>IF(OR(C3486="",B3486=""),"",IFERROR(C3486*INDEX(Harytlar!$D$5:$D$44,MATCH(B3486,Harytlar!$A$5:$A$44,0)),""))</f>
        <v/>
      </c>
    </row>
    <row r="3487" spans="1:7" x14ac:dyDescent="0.3">
      <c r="A3487" s="17"/>
      <c r="B3487" s="18"/>
      <c r="C3487" s="18"/>
      <c r="D3487" s="18"/>
      <c r="E3487" s="10" t="str">
        <f>IF(B3487="","",IFERROR(INDEX(Harytlar!$C$5:$C$44,MATCH(B3487,Harytlar!$A$5:$A$44,0)),""))</f>
        <v/>
      </c>
      <c r="F3487" s="10" t="str">
        <f t="shared" si="54"/>
        <v/>
      </c>
      <c r="G3487" s="10" t="str">
        <f>IF(OR(C3487="",B3487=""),"",IFERROR(C3487*INDEX(Harytlar!$D$5:$D$44,MATCH(B3487,Harytlar!$A$5:$A$44,0)),""))</f>
        <v/>
      </c>
    </row>
    <row r="3488" spans="1:7" x14ac:dyDescent="0.3">
      <c r="A3488" s="17"/>
      <c r="B3488" s="18"/>
      <c r="C3488" s="18"/>
      <c r="D3488" s="18"/>
      <c r="E3488" s="10" t="str">
        <f>IF(B3488="","",IFERROR(INDEX(Harytlar!$C$5:$C$44,MATCH(B3488,Harytlar!$A$5:$A$44,0)),""))</f>
        <v/>
      </c>
      <c r="F3488" s="10" t="str">
        <f t="shared" si="54"/>
        <v/>
      </c>
      <c r="G3488" s="10" t="str">
        <f>IF(OR(C3488="",B3488=""),"",IFERROR(C3488*INDEX(Harytlar!$D$5:$D$44,MATCH(B3488,Harytlar!$A$5:$A$44,0)),""))</f>
        <v/>
      </c>
    </row>
    <row r="3489" spans="1:7" x14ac:dyDescent="0.3">
      <c r="A3489" s="17"/>
      <c r="B3489" s="18"/>
      <c r="C3489" s="18"/>
      <c r="D3489" s="18"/>
      <c r="E3489" s="10" t="str">
        <f>IF(B3489="","",IFERROR(INDEX(Harytlar!$C$5:$C$44,MATCH(B3489,Harytlar!$A$5:$A$44,0)),""))</f>
        <v/>
      </c>
      <c r="F3489" s="10" t="str">
        <f t="shared" si="54"/>
        <v/>
      </c>
      <c r="G3489" s="10" t="str">
        <f>IF(OR(C3489="",B3489=""),"",IFERROR(C3489*INDEX(Harytlar!$D$5:$D$44,MATCH(B3489,Harytlar!$A$5:$A$44,0)),""))</f>
        <v/>
      </c>
    </row>
    <row r="3490" spans="1:7" x14ac:dyDescent="0.3">
      <c r="A3490" s="17"/>
      <c r="B3490" s="18"/>
      <c r="C3490" s="18"/>
      <c r="D3490" s="18"/>
      <c r="E3490" s="10" t="str">
        <f>IF(B3490="","",IFERROR(INDEX(Harytlar!$C$5:$C$44,MATCH(B3490,Harytlar!$A$5:$A$44,0)),""))</f>
        <v/>
      </c>
      <c r="F3490" s="10" t="str">
        <f t="shared" si="54"/>
        <v/>
      </c>
      <c r="G3490" s="10" t="str">
        <f>IF(OR(C3490="",B3490=""),"",IFERROR(C3490*INDEX(Harytlar!$D$5:$D$44,MATCH(B3490,Harytlar!$A$5:$A$44,0)),""))</f>
        <v/>
      </c>
    </row>
    <row r="3491" spans="1:7" x14ac:dyDescent="0.3">
      <c r="A3491" s="17"/>
      <c r="B3491" s="18"/>
      <c r="C3491" s="18"/>
      <c r="D3491" s="18"/>
      <c r="E3491" s="10" t="str">
        <f>IF(B3491="","",IFERROR(INDEX(Harytlar!$C$5:$C$44,MATCH(B3491,Harytlar!$A$5:$A$44,0)),""))</f>
        <v/>
      </c>
      <c r="F3491" s="10" t="str">
        <f t="shared" si="54"/>
        <v/>
      </c>
      <c r="G3491" s="10" t="str">
        <f>IF(OR(C3491="",B3491=""),"",IFERROR(C3491*INDEX(Harytlar!$D$5:$D$44,MATCH(B3491,Harytlar!$A$5:$A$44,0)),""))</f>
        <v/>
      </c>
    </row>
    <row r="3492" spans="1:7" x14ac:dyDescent="0.3">
      <c r="A3492" s="17"/>
      <c r="B3492" s="18"/>
      <c r="C3492" s="18"/>
      <c r="D3492" s="18"/>
      <c r="E3492" s="10" t="str">
        <f>IF(B3492="","",IFERROR(INDEX(Harytlar!$C$5:$C$44,MATCH(B3492,Harytlar!$A$5:$A$44,0)),""))</f>
        <v/>
      </c>
      <c r="F3492" s="10" t="str">
        <f t="shared" si="54"/>
        <v/>
      </c>
      <c r="G3492" s="10" t="str">
        <f>IF(OR(C3492="",B3492=""),"",IFERROR(C3492*INDEX(Harytlar!$D$5:$D$44,MATCH(B3492,Harytlar!$A$5:$A$44,0)),""))</f>
        <v/>
      </c>
    </row>
    <row r="3493" spans="1:7" x14ac:dyDescent="0.3">
      <c r="A3493" s="17"/>
      <c r="B3493" s="18"/>
      <c r="C3493" s="18"/>
      <c r="D3493" s="18"/>
      <c r="E3493" s="10" t="str">
        <f>IF(B3493="","",IFERROR(INDEX(Harytlar!$C$5:$C$44,MATCH(B3493,Harytlar!$A$5:$A$44,0)),""))</f>
        <v/>
      </c>
      <c r="F3493" s="10" t="str">
        <f t="shared" si="54"/>
        <v/>
      </c>
      <c r="G3493" s="10" t="str">
        <f>IF(OR(C3493="",B3493=""),"",IFERROR(C3493*INDEX(Harytlar!$D$5:$D$44,MATCH(B3493,Harytlar!$A$5:$A$44,0)),""))</f>
        <v/>
      </c>
    </row>
    <row r="3494" spans="1:7" x14ac:dyDescent="0.3">
      <c r="A3494" s="17"/>
      <c r="B3494" s="18"/>
      <c r="C3494" s="18"/>
      <c r="D3494" s="18"/>
      <c r="E3494" s="10" t="str">
        <f>IF(B3494="","",IFERROR(INDEX(Harytlar!$C$5:$C$44,MATCH(B3494,Harytlar!$A$5:$A$44,0)),""))</f>
        <v/>
      </c>
      <c r="F3494" s="10" t="str">
        <f t="shared" si="54"/>
        <v/>
      </c>
      <c r="G3494" s="10" t="str">
        <f>IF(OR(C3494="",B3494=""),"",IFERROR(C3494*INDEX(Harytlar!$D$5:$D$44,MATCH(B3494,Harytlar!$A$5:$A$44,0)),""))</f>
        <v/>
      </c>
    </row>
    <row r="3495" spans="1:7" x14ac:dyDescent="0.3">
      <c r="A3495" s="17"/>
      <c r="B3495" s="18"/>
      <c r="C3495" s="18"/>
      <c r="D3495" s="18"/>
      <c r="E3495" s="10" t="str">
        <f>IF(B3495="","",IFERROR(INDEX(Harytlar!$C$5:$C$44,MATCH(B3495,Harytlar!$A$5:$A$44,0)),""))</f>
        <v/>
      </c>
      <c r="F3495" s="10" t="str">
        <f t="shared" si="54"/>
        <v/>
      </c>
      <c r="G3495" s="10" t="str">
        <f>IF(OR(C3495="",B3495=""),"",IFERROR(C3495*INDEX(Harytlar!$D$5:$D$44,MATCH(B3495,Harytlar!$A$5:$A$44,0)),""))</f>
        <v/>
      </c>
    </row>
    <row r="3496" spans="1:7" x14ac:dyDescent="0.3">
      <c r="A3496" s="17"/>
      <c r="B3496" s="18"/>
      <c r="C3496" s="18"/>
      <c r="D3496" s="18"/>
      <c r="E3496" s="10" t="str">
        <f>IF(B3496="","",IFERROR(INDEX(Harytlar!$C$5:$C$44,MATCH(B3496,Harytlar!$A$5:$A$44,0)),""))</f>
        <v/>
      </c>
      <c r="F3496" s="10" t="str">
        <f t="shared" si="54"/>
        <v/>
      </c>
      <c r="G3496" s="10" t="str">
        <f>IF(OR(C3496="",B3496=""),"",IFERROR(C3496*INDEX(Harytlar!$D$5:$D$44,MATCH(B3496,Harytlar!$A$5:$A$44,0)),""))</f>
        <v/>
      </c>
    </row>
    <row r="3497" spans="1:7" x14ac:dyDescent="0.3">
      <c r="A3497" s="17"/>
      <c r="B3497" s="18"/>
      <c r="C3497" s="18"/>
      <c r="D3497" s="18"/>
      <c r="E3497" s="10" t="str">
        <f>IF(B3497="","",IFERROR(INDEX(Harytlar!$C$5:$C$44,MATCH(B3497,Harytlar!$A$5:$A$44,0)),""))</f>
        <v/>
      </c>
      <c r="F3497" s="10" t="str">
        <f t="shared" si="54"/>
        <v/>
      </c>
      <c r="G3497" s="10" t="str">
        <f>IF(OR(C3497="",B3497=""),"",IFERROR(C3497*INDEX(Harytlar!$D$5:$D$44,MATCH(B3497,Harytlar!$A$5:$A$44,0)),""))</f>
        <v/>
      </c>
    </row>
    <row r="3498" spans="1:7" x14ac:dyDescent="0.3">
      <c r="A3498" s="17"/>
      <c r="B3498" s="18"/>
      <c r="C3498" s="18"/>
      <c r="D3498" s="18"/>
      <c r="E3498" s="10" t="str">
        <f>IF(B3498="","",IFERROR(INDEX(Harytlar!$C$5:$C$44,MATCH(B3498,Harytlar!$A$5:$A$44,0)),""))</f>
        <v/>
      </c>
      <c r="F3498" s="10" t="str">
        <f t="shared" si="54"/>
        <v/>
      </c>
      <c r="G3498" s="10" t="str">
        <f>IF(OR(C3498="",B3498=""),"",IFERROR(C3498*INDEX(Harytlar!$D$5:$D$44,MATCH(B3498,Harytlar!$A$5:$A$44,0)),""))</f>
        <v/>
      </c>
    </row>
    <row r="3499" spans="1:7" x14ac:dyDescent="0.3">
      <c r="A3499" s="17"/>
      <c r="B3499" s="18"/>
      <c r="C3499" s="18"/>
      <c r="D3499" s="18"/>
      <c r="E3499" s="10" t="str">
        <f>IF(B3499="","",IFERROR(INDEX(Harytlar!$C$5:$C$44,MATCH(B3499,Harytlar!$A$5:$A$44,0)),""))</f>
        <v/>
      </c>
      <c r="F3499" s="10" t="str">
        <f t="shared" si="54"/>
        <v/>
      </c>
      <c r="G3499" s="10" t="str">
        <f>IF(OR(C3499="",B3499=""),"",IFERROR(C3499*INDEX(Harytlar!$D$5:$D$44,MATCH(B3499,Harytlar!$A$5:$A$44,0)),""))</f>
        <v/>
      </c>
    </row>
    <row r="3500" spans="1:7" x14ac:dyDescent="0.3">
      <c r="A3500" s="17"/>
      <c r="B3500" s="18"/>
      <c r="C3500" s="18"/>
      <c r="D3500" s="18"/>
      <c r="E3500" s="10" t="str">
        <f>IF(B3500="","",IFERROR(INDEX(Harytlar!$C$5:$C$44,MATCH(B3500,Harytlar!$A$5:$A$44,0)),""))</f>
        <v/>
      </c>
      <c r="F3500" s="10" t="str">
        <f t="shared" si="54"/>
        <v/>
      </c>
      <c r="G3500" s="10" t="str">
        <f>IF(OR(C3500="",B3500=""),"",IFERROR(C3500*INDEX(Harytlar!$D$5:$D$44,MATCH(B3500,Harytlar!$A$5:$A$44,0)),""))</f>
        <v/>
      </c>
    </row>
    <row r="3501" spans="1:7" x14ac:dyDescent="0.3">
      <c r="A3501" s="17"/>
      <c r="B3501" s="18"/>
      <c r="C3501" s="18"/>
      <c r="D3501" s="18"/>
      <c r="E3501" s="10" t="str">
        <f>IF(B3501="","",IFERROR(INDEX(Harytlar!$C$5:$C$44,MATCH(B3501,Harytlar!$A$5:$A$44,0)),""))</f>
        <v/>
      </c>
      <c r="F3501" s="10" t="str">
        <f t="shared" si="54"/>
        <v/>
      </c>
      <c r="G3501" s="10" t="str">
        <f>IF(OR(C3501="",B3501=""),"",IFERROR(C3501*INDEX(Harytlar!$D$5:$D$44,MATCH(B3501,Harytlar!$A$5:$A$44,0)),""))</f>
        <v/>
      </c>
    </row>
    <row r="3502" spans="1:7" x14ac:dyDescent="0.3">
      <c r="A3502" s="17"/>
      <c r="B3502" s="18"/>
      <c r="C3502" s="18"/>
      <c r="D3502" s="18"/>
      <c r="E3502" s="10" t="str">
        <f>IF(B3502="","",IFERROR(INDEX(Harytlar!$C$5:$C$44,MATCH(B3502,Harytlar!$A$5:$A$44,0)),""))</f>
        <v/>
      </c>
      <c r="F3502" s="10" t="str">
        <f t="shared" si="54"/>
        <v/>
      </c>
      <c r="G3502" s="10" t="str">
        <f>IF(OR(C3502="",B3502=""),"",IFERROR(C3502*INDEX(Harytlar!$D$5:$D$44,MATCH(B3502,Harytlar!$A$5:$A$44,0)),""))</f>
        <v/>
      </c>
    </row>
    <row r="3503" spans="1:7" x14ac:dyDescent="0.3">
      <c r="A3503" s="17"/>
      <c r="B3503" s="18"/>
      <c r="C3503" s="18"/>
      <c r="D3503" s="18"/>
      <c r="E3503" s="10" t="str">
        <f>IF(B3503="","",IFERROR(INDEX(Harytlar!$C$5:$C$44,MATCH(B3503,Harytlar!$A$5:$A$44,0)),""))</f>
        <v/>
      </c>
      <c r="F3503" s="10" t="str">
        <f t="shared" si="54"/>
        <v/>
      </c>
      <c r="G3503" s="10" t="str">
        <f>IF(OR(C3503="",B3503=""),"",IFERROR(C3503*INDEX(Harytlar!$D$5:$D$44,MATCH(B3503,Harytlar!$A$5:$A$44,0)),""))</f>
        <v/>
      </c>
    </row>
    <row r="3504" spans="1:7" x14ac:dyDescent="0.3">
      <c r="A3504" s="17"/>
      <c r="B3504" s="18"/>
      <c r="C3504" s="18"/>
      <c r="D3504" s="18"/>
      <c r="E3504" s="10" t="str">
        <f>IF(B3504="","",IFERROR(INDEX(Harytlar!$C$5:$C$44,MATCH(B3504,Harytlar!$A$5:$A$44,0)),""))</f>
        <v/>
      </c>
      <c r="F3504" s="10" t="str">
        <f t="shared" si="54"/>
        <v/>
      </c>
      <c r="G3504" s="10" t="str">
        <f>IF(OR(C3504="",B3504=""),"",IFERROR(C3504*INDEX(Harytlar!$D$5:$D$44,MATCH(B3504,Harytlar!$A$5:$A$44,0)),""))</f>
        <v/>
      </c>
    </row>
    <row r="3505" spans="1:7" x14ac:dyDescent="0.3">
      <c r="A3505" s="17"/>
      <c r="B3505" s="18"/>
      <c r="C3505" s="18"/>
      <c r="D3505" s="18"/>
      <c r="E3505" s="10" t="str">
        <f>IF(B3505="","",IFERROR(INDEX(Harytlar!$C$5:$C$44,MATCH(B3505,Harytlar!$A$5:$A$44,0)),""))</f>
        <v/>
      </c>
      <c r="F3505" s="10" t="str">
        <f t="shared" si="54"/>
        <v/>
      </c>
      <c r="G3505" s="10" t="str">
        <f>IF(OR(C3505="",B3505=""),"",IFERROR(C3505*INDEX(Harytlar!$D$5:$D$44,MATCH(B3505,Harytlar!$A$5:$A$44,0)),""))</f>
        <v/>
      </c>
    </row>
    <row r="3506" spans="1:7" x14ac:dyDescent="0.3">
      <c r="A3506" s="17"/>
      <c r="B3506" s="18"/>
      <c r="C3506" s="18"/>
      <c r="D3506" s="18"/>
      <c r="E3506" s="10" t="str">
        <f>IF(B3506="","",IFERROR(INDEX(Harytlar!$C$5:$C$44,MATCH(B3506,Harytlar!$A$5:$A$44,0)),""))</f>
        <v/>
      </c>
      <c r="F3506" s="10" t="str">
        <f t="shared" si="54"/>
        <v/>
      </c>
      <c r="G3506" s="10" t="str">
        <f>IF(OR(C3506="",B3506=""),"",IFERROR(C3506*INDEX(Harytlar!$D$5:$D$44,MATCH(B3506,Harytlar!$A$5:$A$44,0)),""))</f>
        <v/>
      </c>
    </row>
    <row r="3507" spans="1:7" x14ac:dyDescent="0.3">
      <c r="A3507" s="17"/>
      <c r="B3507" s="18"/>
      <c r="C3507" s="18"/>
      <c r="D3507" s="18"/>
      <c r="E3507" s="10" t="str">
        <f>IF(B3507="","",IFERROR(INDEX(Harytlar!$C$5:$C$44,MATCH(B3507,Harytlar!$A$5:$A$44,0)),""))</f>
        <v/>
      </c>
      <c r="F3507" s="10" t="str">
        <f t="shared" si="54"/>
        <v/>
      </c>
      <c r="G3507" s="10" t="str">
        <f>IF(OR(C3507="",B3507=""),"",IFERROR(C3507*INDEX(Harytlar!$D$5:$D$44,MATCH(B3507,Harytlar!$A$5:$A$44,0)),""))</f>
        <v/>
      </c>
    </row>
    <row r="3508" spans="1:7" x14ac:dyDescent="0.3">
      <c r="A3508" s="17"/>
      <c r="B3508" s="18"/>
      <c r="C3508" s="18"/>
      <c r="D3508" s="18"/>
      <c r="E3508" s="10" t="str">
        <f>IF(B3508="","",IFERROR(INDEX(Harytlar!$C$5:$C$44,MATCH(B3508,Harytlar!$A$5:$A$44,0)),""))</f>
        <v/>
      </c>
      <c r="F3508" s="10" t="str">
        <f t="shared" si="54"/>
        <v/>
      </c>
      <c r="G3508" s="10" t="str">
        <f>IF(OR(C3508="",B3508=""),"",IFERROR(C3508*INDEX(Harytlar!$D$5:$D$44,MATCH(B3508,Harytlar!$A$5:$A$44,0)),""))</f>
        <v/>
      </c>
    </row>
    <row r="3509" spans="1:7" x14ac:dyDescent="0.3">
      <c r="A3509" s="17"/>
      <c r="B3509" s="18"/>
      <c r="C3509" s="18"/>
      <c r="D3509" s="18"/>
      <c r="E3509" s="10" t="str">
        <f>IF(B3509="","",IFERROR(INDEX(Harytlar!$C$5:$C$44,MATCH(B3509,Harytlar!$A$5:$A$44,0)),""))</f>
        <v/>
      </c>
      <c r="F3509" s="10" t="str">
        <f t="shared" si="54"/>
        <v/>
      </c>
      <c r="G3509" s="10" t="str">
        <f>IF(OR(C3509="",B3509=""),"",IFERROR(C3509*INDEX(Harytlar!$D$5:$D$44,MATCH(B3509,Harytlar!$A$5:$A$44,0)),""))</f>
        <v/>
      </c>
    </row>
    <row r="3510" spans="1:7" x14ac:dyDescent="0.3">
      <c r="A3510" s="17"/>
      <c r="B3510" s="18"/>
      <c r="C3510" s="18"/>
      <c r="D3510" s="18"/>
      <c r="E3510" s="10" t="str">
        <f>IF(B3510="","",IFERROR(INDEX(Harytlar!$C$5:$C$44,MATCH(B3510,Harytlar!$A$5:$A$44,0)),""))</f>
        <v/>
      </c>
      <c r="F3510" s="10" t="str">
        <f t="shared" si="54"/>
        <v/>
      </c>
      <c r="G3510" s="10" t="str">
        <f>IF(OR(C3510="",B3510=""),"",IFERROR(C3510*INDEX(Harytlar!$D$5:$D$44,MATCH(B3510,Harytlar!$A$5:$A$44,0)),""))</f>
        <v/>
      </c>
    </row>
    <row r="3511" spans="1:7" x14ac:dyDescent="0.3">
      <c r="A3511" s="17"/>
      <c r="B3511" s="18"/>
      <c r="C3511" s="18"/>
      <c r="D3511" s="18"/>
      <c r="E3511" s="10" t="str">
        <f>IF(B3511="","",IFERROR(INDEX(Harytlar!$C$5:$C$44,MATCH(B3511,Harytlar!$A$5:$A$44,0)),""))</f>
        <v/>
      </c>
      <c r="F3511" s="10" t="str">
        <f t="shared" si="54"/>
        <v/>
      </c>
      <c r="G3511" s="10" t="str">
        <f>IF(OR(C3511="",B3511=""),"",IFERROR(C3511*INDEX(Harytlar!$D$5:$D$44,MATCH(B3511,Harytlar!$A$5:$A$44,0)),""))</f>
        <v/>
      </c>
    </row>
    <row r="3512" spans="1:7" x14ac:dyDescent="0.3">
      <c r="A3512" s="17"/>
      <c r="B3512" s="18"/>
      <c r="C3512" s="18"/>
      <c r="D3512" s="18"/>
      <c r="E3512" s="10" t="str">
        <f>IF(B3512="","",IFERROR(INDEX(Harytlar!$C$5:$C$44,MATCH(B3512,Harytlar!$A$5:$A$44,0)),""))</f>
        <v/>
      </c>
      <c r="F3512" s="10" t="str">
        <f t="shared" si="54"/>
        <v/>
      </c>
      <c r="G3512" s="10" t="str">
        <f>IF(OR(C3512="",B3512=""),"",IFERROR(C3512*INDEX(Harytlar!$D$5:$D$44,MATCH(B3512,Harytlar!$A$5:$A$44,0)),""))</f>
        <v/>
      </c>
    </row>
    <row r="3513" spans="1:7" x14ac:dyDescent="0.3">
      <c r="A3513" s="17"/>
      <c r="B3513" s="18"/>
      <c r="C3513" s="18"/>
      <c r="D3513" s="18"/>
      <c r="E3513" s="10" t="str">
        <f>IF(B3513="","",IFERROR(INDEX(Harytlar!$C$5:$C$44,MATCH(B3513,Harytlar!$A$5:$A$44,0)),""))</f>
        <v/>
      </c>
      <c r="F3513" s="10" t="str">
        <f t="shared" si="54"/>
        <v/>
      </c>
      <c r="G3513" s="10" t="str">
        <f>IF(OR(C3513="",B3513=""),"",IFERROR(C3513*INDEX(Harytlar!$D$5:$D$44,MATCH(B3513,Harytlar!$A$5:$A$44,0)),""))</f>
        <v/>
      </c>
    </row>
    <row r="3514" spans="1:7" x14ac:dyDescent="0.3">
      <c r="A3514" s="17"/>
      <c r="B3514" s="18"/>
      <c r="C3514" s="18"/>
      <c r="D3514" s="18"/>
      <c r="E3514" s="10" t="str">
        <f>IF(B3514="","",IFERROR(INDEX(Harytlar!$C$5:$C$44,MATCH(B3514,Harytlar!$A$5:$A$44,0)),""))</f>
        <v/>
      </c>
      <c r="F3514" s="10" t="str">
        <f t="shared" si="54"/>
        <v/>
      </c>
      <c r="G3514" s="10" t="str">
        <f>IF(OR(C3514="",B3514=""),"",IFERROR(C3514*INDEX(Harytlar!$D$5:$D$44,MATCH(B3514,Harytlar!$A$5:$A$44,0)),""))</f>
        <v/>
      </c>
    </row>
    <row r="3515" spans="1:7" x14ac:dyDescent="0.3">
      <c r="A3515" s="17"/>
      <c r="B3515" s="18"/>
      <c r="C3515" s="18"/>
      <c r="D3515" s="18"/>
      <c r="E3515" s="10" t="str">
        <f>IF(B3515="","",IFERROR(INDEX(Harytlar!$C$5:$C$44,MATCH(B3515,Harytlar!$A$5:$A$44,0)),""))</f>
        <v/>
      </c>
      <c r="F3515" s="10" t="str">
        <f t="shared" si="54"/>
        <v/>
      </c>
      <c r="G3515" s="10" t="str">
        <f>IF(OR(C3515="",B3515=""),"",IFERROR(C3515*INDEX(Harytlar!$D$5:$D$44,MATCH(B3515,Harytlar!$A$5:$A$44,0)),""))</f>
        <v/>
      </c>
    </row>
    <row r="3516" spans="1:7" x14ac:dyDescent="0.3">
      <c r="A3516" s="17"/>
      <c r="B3516" s="18"/>
      <c r="C3516" s="18"/>
      <c r="D3516" s="18"/>
      <c r="E3516" s="10" t="str">
        <f>IF(B3516="","",IFERROR(INDEX(Harytlar!$C$5:$C$44,MATCH(B3516,Harytlar!$A$5:$A$44,0)),""))</f>
        <v/>
      </c>
      <c r="F3516" s="10" t="str">
        <f t="shared" si="54"/>
        <v/>
      </c>
      <c r="G3516" s="10" t="str">
        <f>IF(OR(C3516="",B3516=""),"",IFERROR(C3516*INDEX(Harytlar!$D$5:$D$44,MATCH(B3516,Harytlar!$A$5:$A$44,0)),""))</f>
        <v/>
      </c>
    </row>
    <row r="3517" spans="1:7" x14ac:dyDescent="0.3">
      <c r="A3517" s="17"/>
      <c r="B3517" s="18"/>
      <c r="C3517" s="18"/>
      <c r="D3517" s="18"/>
      <c r="E3517" s="10" t="str">
        <f>IF(B3517="","",IFERROR(INDEX(Harytlar!$C$5:$C$44,MATCH(B3517,Harytlar!$A$5:$A$44,0)),""))</f>
        <v/>
      </c>
      <c r="F3517" s="10" t="str">
        <f t="shared" si="54"/>
        <v/>
      </c>
      <c r="G3517" s="10" t="str">
        <f>IF(OR(C3517="",B3517=""),"",IFERROR(C3517*INDEX(Harytlar!$D$5:$D$44,MATCH(B3517,Harytlar!$A$5:$A$44,0)),""))</f>
        <v/>
      </c>
    </row>
    <row r="3518" spans="1:7" x14ac:dyDescent="0.3">
      <c r="A3518" s="17"/>
      <c r="B3518" s="18"/>
      <c r="C3518" s="18"/>
      <c r="D3518" s="18"/>
      <c r="E3518" s="10" t="str">
        <f>IF(B3518="","",IFERROR(INDEX(Harytlar!$C$5:$C$44,MATCH(B3518,Harytlar!$A$5:$A$44,0)),""))</f>
        <v/>
      </c>
      <c r="F3518" s="10" t="str">
        <f t="shared" si="54"/>
        <v/>
      </c>
      <c r="G3518" s="10" t="str">
        <f>IF(OR(C3518="",B3518=""),"",IFERROR(C3518*INDEX(Harytlar!$D$5:$D$44,MATCH(B3518,Harytlar!$A$5:$A$44,0)),""))</f>
        <v/>
      </c>
    </row>
    <row r="3519" spans="1:7" x14ac:dyDescent="0.3">
      <c r="A3519" s="17"/>
      <c r="B3519" s="18"/>
      <c r="C3519" s="18"/>
      <c r="D3519" s="18"/>
      <c r="E3519" s="10" t="str">
        <f>IF(B3519="","",IFERROR(INDEX(Harytlar!$C$5:$C$44,MATCH(B3519,Harytlar!$A$5:$A$44,0)),""))</f>
        <v/>
      </c>
      <c r="F3519" s="10" t="str">
        <f t="shared" si="54"/>
        <v/>
      </c>
      <c r="G3519" s="10" t="str">
        <f>IF(OR(C3519="",B3519=""),"",IFERROR(C3519*INDEX(Harytlar!$D$5:$D$44,MATCH(B3519,Harytlar!$A$5:$A$44,0)),""))</f>
        <v/>
      </c>
    </row>
    <row r="3520" spans="1:7" x14ac:dyDescent="0.3">
      <c r="A3520" s="17"/>
      <c r="B3520" s="18"/>
      <c r="C3520" s="18"/>
      <c r="D3520" s="18"/>
      <c r="E3520" s="10" t="str">
        <f>IF(B3520="","",IFERROR(INDEX(Harytlar!$C$5:$C$44,MATCH(B3520,Harytlar!$A$5:$A$44,0)),""))</f>
        <v/>
      </c>
      <c r="F3520" s="10" t="str">
        <f t="shared" si="54"/>
        <v/>
      </c>
      <c r="G3520" s="10" t="str">
        <f>IF(OR(C3520="",B3520=""),"",IFERROR(C3520*INDEX(Harytlar!$D$5:$D$44,MATCH(B3520,Harytlar!$A$5:$A$44,0)),""))</f>
        <v/>
      </c>
    </row>
    <row r="3521" spans="1:7" x14ac:dyDescent="0.3">
      <c r="A3521" s="17"/>
      <c r="B3521" s="18"/>
      <c r="C3521" s="18"/>
      <c r="D3521" s="18"/>
      <c r="E3521" s="10" t="str">
        <f>IF(B3521="","",IFERROR(INDEX(Harytlar!$C$5:$C$44,MATCH(B3521,Harytlar!$A$5:$A$44,0)),""))</f>
        <v/>
      </c>
      <c r="F3521" s="10" t="str">
        <f t="shared" si="54"/>
        <v/>
      </c>
      <c r="G3521" s="10" t="str">
        <f>IF(OR(C3521="",B3521=""),"",IFERROR(C3521*INDEX(Harytlar!$D$5:$D$44,MATCH(B3521,Harytlar!$A$5:$A$44,0)),""))</f>
        <v/>
      </c>
    </row>
    <row r="3522" spans="1:7" x14ac:dyDescent="0.3">
      <c r="A3522" s="17"/>
      <c r="B3522" s="18"/>
      <c r="C3522" s="18"/>
      <c r="D3522" s="18"/>
      <c r="E3522" s="10" t="str">
        <f>IF(B3522="","",IFERROR(INDEX(Harytlar!$C$5:$C$44,MATCH(B3522,Harytlar!$A$5:$A$44,0)),""))</f>
        <v/>
      </c>
      <c r="F3522" s="10" t="str">
        <f t="shared" si="54"/>
        <v/>
      </c>
      <c r="G3522" s="10" t="str">
        <f>IF(OR(C3522="",B3522=""),"",IFERROR(C3522*INDEX(Harytlar!$D$5:$D$44,MATCH(B3522,Harytlar!$A$5:$A$44,0)),""))</f>
        <v/>
      </c>
    </row>
    <row r="3523" spans="1:7" x14ac:dyDescent="0.3">
      <c r="A3523" s="17"/>
      <c r="B3523" s="18"/>
      <c r="C3523" s="18"/>
      <c r="D3523" s="18"/>
      <c r="E3523" s="10" t="str">
        <f>IF(B3523="","",IFERROR(INDEX(Harytlar!$C$5:$C$44,MATCH(B3523,Harytlar!$A$5:$A$44,0)),""))</f>
        <v/>
      </c>
      <c r="F3523" s="10" t="str">
        <f t="shared" si="54"/>
        <v/>
      </c>
      <c r="G3523" s="10" t="str">
        <f>IF(OR(C3523="",B3523=""),"",IFERROR(C3523*INDEX(Harytlar!$D$5:$D$44,MATCH(B3523,Harytlar!$A$5:$A$44,0)),""))</f>
        <v/>
      </c>
    </row>
    <row r="3524" spans="1:7" x14ac:dyDescent="0.3">
      <c r="A3524" s="17"/>
      <c r="B3524" s="18"/>
      <c r="C3524" s="18"/>
      <c r="D3524" s="18"/>
      <c r="E3524" s="10" t="str">
        <f>IF(B3524="","",IFERROR(INDEX(Harytlar!$C$5:$C$44,MATCH(B3524,Harytlar!$A$5:$A$44,0)),""))</f>
        <v/>
      </c>
      <c r="F3524" s="10" t="str">
        <f t="shared" si="54"/>
        <v/>
      </c>
      <c r="G3524" s="10" t="str">
        <f>IF(OR(C3524="",B3524=""),"",IFERROR(C3524*INDEX(Harytlar!$D$5:$D$44,MATCH(B3524,Harytlar!$A$5:$A$44,0)),""))</f>
        <v/>
      </c>
    </row>
    <row r="3525" spans="1:7" x14ac:dyDescent="0.3">
      <c r="A3525" s="17"/>
      <c r="B3525" s="18"/>
      <c r="C3525" s="18"/>
      <c r="D3525" s="18"/>
      <c r="E3525" s="10" t="str">
        <f>IF(B3525="","",IFERROR(INDEX(Harytlar!$C$5:$C$44,MATCH(B3525,Harytlar!$A$5:$A$44,0)),""))</f>
        <v/>
      </c>
      <c r="F3525" s="10" t="str">
        <f t="shared" si="54"/>
        <v/>
      </c>
      <c r="G3525" s="10" t="str">
        <f>IF(OR(C3525="",B3525=""),"",IFERROR(C3525*INDEX(Harytlar!$D$5:$D$44,MATCH(B3525,Harytlar!$A$5:$A$44,0)),""))</f>
        <v/>
      </c>
    </row>
    <row r="3526" spans="1:7" x14ac:dyDescent="0.3">
      <c r="A3526" s="17"/>
      <c r="B3526" s="18"/>
      <c r="C3526" s="18"/>
      <c r="D3526" s="18"/>
      <c r="E3526" s="10" t="str">
        <f>IF(B3526="","",IFERROR(INDEX(Harytlar!$C$5:$C$44,MATCH(B3526,Harytlar!$A$5:$A$44,0)),""))</f>
        <v/>
      </c>
      <c r="F3526" s="10" t="str">
        <f t="shared" ref="F3526:F3589" si="55">IF(OR(C3526="",E3526=""),"",C3526*E3526)</f>
        <v/>
      </c>
      <c r="G3526" s="10" t="str">
        <f>IF(OR(C3526="",B3526=""),"",IFERROR(C3526*INDEX(Harytlar!$D$5:$D$44,MATCH(B3526,Harytlar!$A$5:$A$44,0)),""))</f>
        <v/>
      </c>
    </row>
    <row r="3527" spans="1:7" x14ac:dyDescent="0.3">
      <c r="A3527" s="17"/>
      <c r="B3527" s="18"/>
      <c r="C3527" s="18"/>
      <c r="D3527" s="18"/>
      <c r="E3527" s="10" t="str">
        <f>IF(B3527="","",IFERROR(INDEX(Harytlar!$C$5:$C$44,MATCH(B3527,Harytlar!$A$5:$A$44,0)),""))</f>
        <v/>
      </c>
      <c r="F3527" s="10" t="str">
        <f t="shared" si="55"/>
        <v/>
      </c>
      <c r="G3527" s="10" t="str">
        <f>IF(OR(C3527="",B3527=""),"",IFERROR(C3527*INDEX(Harytlar!$D$5:$D$44,MATCH(B3527,Harytlar!$A$5:$A$44,0)),""))</f>
        <v/>
      </c>
    </row>
    <row r="3528" spans="1:7" x14ac:dyDescent="0.3">
      <c r="A3528" s="17"/>
      <c r="B3528" s="18"/>
      <c r="C3528" s="18"/>
      <c r="D3528" s="18"/>
      <c r="E3528" s="10" t="str">
        <f>IF(B3528="","",IFERROR(INDEX(Harytlar!$C$5:$C$44,MATCH(B3528,Harytlar!$A$5:$A$44,0)),""))</f>
        <v/>
      </c>
      <c r="F3528" s="10" t="str">
        <f t="shared" si="55"/>
        <v/>
      </c>
      <c r="G3528" s="10" t="str">
        <f>IF(OR(C3528="",B3528=""),"",IFERROR(C3528*INDEX(Harytlar!$D$5:$D$44,MATCH(B3528,Harytlar!$A$5:$A$44,0)),""))</f>
        <v/>
      </c>
    </row>
    <row r="3529" spans="1:7" x14ac:dyDescent="0.3">
      <c r="A3529" s="17"/>
      <c r="B3529" s="18"/>
      <c r="C3529" s="18"/>
      <c r="D3529" s="18"/>
      <c r="E3529" s="10" t="str">
        <f>IF(B3529="","",IFERROR(INDEX(Harytlar!$C$5:$C$44,MATCH(B3529,Harytlar!$A$5:$A$44,0)),""))</f>
        <v/>
      </c>
      <c r="F3529" s="10" t="str">
        <f t="shared" si="55"/>
        <v/>
      </c>
      <c r="G3529" s="10" t="str">
        <f>IF(OR(C3529="",B3529=""),"",IFERROR(C3529*INDEX(Harytlar!$D$5:$D$44,MATCH(B3529,Harytlar!$A$5:$A$44,0)),""))</f>
        <v/>
      </c>
    </row>
    <row r="3530" spans="1:7" x14ac:dyDescent="0.3">
      <c r="A3530" s="17"/>
      <c r="B3530" s="18"/>
      <c r="C3530" s="18"/>
      <c r="D3530" s="18"/>
      <c r="E3530" s="10" t="str">
        <f>IF(B3530="","",IFERROR(INDEX(Harytlar!$C$5:$C$44,MATCH(B3530,Harytlar!$A$5:$A$44,0)),""))</f>
        <v/>
      </c>
      <c r="F3530" s="10" t="str">
        <f t="shared" si="55"/>
        <v/>
      </c>
      <c r="G3530" s="10" t="str">
        <f>IF(OR(C3530="",B3530=""),"",IFERROR(C3530*INDEX(Harytlar!$D$5:$D$44,MATCH(B3530,Harytlar!$A$5:$A$44,0)),""))</f>
        <v/>
      </c>
    </row>
    <row r="3531" spans="1:7" x14ac:dyDescent="0.3">
      <c r="A3531" s="17"/>
      <c r="B3531" s="18"/>
      <c r="C3531" s="18"/>
      <c r="D3531" s="18"/>
      <c r="E3531" s="10" t="str">
        <f>IF(B3531="","",IFERROR(INDEX(Harytlar!$C$5:$C$44,MATCH(B3531,Harytlar!$A$5:$A$44,0)),""))</f>
        <v/>
      </c>
      <c r="F3531" s="10" t="str">
        <f t="shared" si="55"/>
        <v/>
      </c>
      <c r="G3531" s="10" t="str">
        <f>IF(OR(C3531="",B3531=""),"",IFERROR(C3531*INDEX(Harytlar!$D$5:$D$44,MATCH(B3531,Harytlar!$A$5:$A$44,0)),""))</f>
        <v/>
      </c>
    </row>
    <row r="3532" spans="1:7" x14ac:dyDescent="0.3">
      <c r="A3532" s="17"/>
      <c r="B3532" s="18"/>
      <c r="C3532" s="18"/>
      <c r="D3532" s="18"/>
      <c r="E3532" s="10" t="str">
        <f>IF(B3532="","",IFERROR(INDEX(Harytlar!$C$5:$C$44,MATCH(B3532,Harytlar!$A$5:$A$44,0)),""))</f>
        <v/>
      </c>
      <c r="F3532" s="10" t="str">
        <f t="shared" si="55"/>
        <v/>
      </c>
      <c r="G3532" s="10" t="str">
        <f>IF(OR(C3532="",B3532=""),"",IFERROR(C3532*INDEX(Harytlar!$D$5:$D$44,MATCH(B3532,Harytlar!$A$5:$A$44,0)),""))</f>
        <v/>
      </c>
    </row>
    <row r="3533" spans="1:7" x14ac:dyDescent="0.3">
      <c r="A3533" s="17"/>
      <c r="B3533" s="18"/>
      <c r="C3533" s="18"/>
      <c r="D3533" s="18"/>
      <c r="E3533" s="10" t="str">
        <f>IF(B3533="","",IFERROR(INDEX(Harytlar!$C$5:$C$44,MATCH(B3533,Harytlar!$A$5:$A$44,0)),""))</f>
        <v/>
      </c>
      <c r="F3533" s="10" t="str">
        <f t="shared" si="55"/>
        <v/>
      </c>
      <c r="G3533" s="10" t="str">
        <f>IF(OR(C3533="",B3533=""),"",IFERROR(C3533*INDEX(Harytlar!$D$5:$D$44,MATCH(B3533,Harytlar!$A$5:$A$44,0)),""))</f>
        <v/>
      </c>
    </row>
    <row r="3534" spans="1:7" x14ac:dyDescent="0.3">
      <c r="A3534" s="17"/>
      <c r="B3534" s="18"/>
      <c r="C3534" s="18"/>
      <c r="D3534" s="18"/>
      <c r="E3534" s="10" t="str">
        <f>IF(B3534="","",IFERROR(INDEX(Harytlar!$C$5:$C$44,MATCH(B3534,Harytlar!$A$5:$A$44,0)),""))</f>
        <v/>
      </c>
      <c r="F3534" s="10" t="str">
        <f t="shared" si="55"/>
        <v/>
      </c>
      <c r="G3534" s="10" t="str">
        <f>IF(OR(C3534="",B3534=""),"",IFERROR(C3534*INDEX(Harytlar!$D$5:$D$44,MATCH(B3534,Harytlar!$A$5:$A$44,0)),""))</f>
        <v/>
      </c>
    </row>
    <row r="3535" spans="1:7" x14ac:dyDescent="0.3">
      <c r="A3535" s="17"/>
      <c r="B3535" s="18"/>
      <c r="C3535" s="18"/>
      <c r="D3535" s="18"/>
      <c r="E3535" s="10" t="str">
        <f>IF(B3535="","",IFERROR(INDEX(Harytlar!$C$5:$C$44,MATCH(B3535,Harytlar!$A$5:$A$44,0)),""))</f>
        <v/>
      </c>
      <c r="F3535" s="10" t="str">
        <f t="shared" si="55"/>
        <v/>
      </c>
      <c r="G3535" s="10" t="str">
        <f>IF(OR(C3535="",B3535=""),"",IFERROR(C3535*INDEX(Harytlar!$D$5:$D$44,MATCH(B3535,Harytlar!$A$5:$A$44,0)),""))</f>
        <v/>
      </c>
    </row>
    <row r="3536" spans="1:7" x14ac:dyDescent="0.3">
      <c r="A3536" s="17"/>
      <c r="B3536" s="18"/>
      <c r="C3536" s="18"/>
      <c r="D3536" s="18"/>
      <c r="E3536" s="10" t="str">
        <f>IF(B3536="","",IFERROR(INDEX(Harytlar!$C$5:$C$44,MATCH(B3536,Harytlar!$A$5:$A$44,0)),""))</f>
        <v/>
      </c>
      <c r="F3536" s="10" t="str">
        <f t="shared" si="55"/>
        <v/>
      </c>
      <c r="G3536" s="10" t="str">
        <f>IF(OR(C3536="",B3536=""),"",IFERROR(C3536*INDEX(Harytlar!$D$5:$D$44,MATCH(B3536,Harytlar!$A$5:$A$44,0)),""))</f>
        <v/>
      </c>
    </row>
    <row r="3537" spans="1:7" x14ac:dyDescent="0.3">
      <c r="A3537" s="17"/>
      <c r="B3537" s="18"/>
      <c r="C3537" s="18"/>
      <c r="D3537" s="18"/>
      <c r="E3537" s="10" t="str">
        <f>IF(B3537="","",IFERROR(INDEX(Harytlar!$C$5:$C$44,MATCH(B3537,Harytlar!$A$5:$A$44,0)),""))</f>
        <v/>
      </c>
      <c r="F3537" s="10" t="str">
        <f t="shared" si="55"/>
        <v/>
      </c>
      <c r="G3537" s="10" t="str">
        <f>IF(OR(C3537="",B3537=""),"",IFERROR(C3537*INDEX(Harytlar!$D$5:$D$44,MATCH(B3537,Harytlar!$A$5:$A$44,0)),""))</f>
        <v/>
      </c>
    </row>
    <row r="3538" spans="1:7" x14ac:dyDescent="0.3">
      <c r="A3538" s="17"/>
      <c r="B3538" s="18"/>
      <c r="C3538" s="18"/>
      <c r="D3538" s="18"/>
      <c r="E3538" s="10" t="str">
        <f>IF(B3538="","",IFERROR(INDEX(Harytlar!$C$5:$C$44,MATCH(B3538,Harytlar!$A$5:$A$44,0)),""))</f>
        <v/>
      </c>
      <c r="F3538" s="10" t="str">
        <f t="shared" si="55"/>
        <v/>
      </c>
      <c r="G3538" s="10" t="str">
        <f>IF(OR(C3538="",B3538=""),"",IFERROR(C3538*INDEX(Harytlar!$D$5:$D$44,MATCH(B3538,Harytlar!$A$5:$A$44,0)),""))</f>
        <v/>
      </c>
    </row>
    <row r="3539" spans="1:7" x14ac:dyDescent="0.3">
      <c r="A3539" s="17"/>
      <c r="B3539" s="18"/>
      <c r="C3539" s="18"/>
      <c r="D3539" s="18"/>
      <c r="E3539" s="10" t="str">
        <f>IF(B3539="","",IFERROR(INDEX(Harytlar!$C$5:$C$44,MATCH(B3539,Harytlar!$A$5:$A$44,0)),""))</f>
        <v/>
      </c>
      <c r="F3539" s="10" t="str">
        <f t="shared" si="55"/>
        <v/>
      </c>
      <c r="G3539" s="10" t="str">
        <f>IF(OR(C3539="",B3539=""),"",IFERROR(C3539*INDEX(Harytlar!$D$5:$D$44,MATCH(B3539,Harytlar!$A$5:$A$44,0)),""))</f>
        <v/>
      </c>
    </row>
    <row r="3540" spans="1:7" x14ac:dyDescent="0.3">
      <c r="A3540" s="17"/>
      <c r="B3540" s="18"/>
      <c r="C3540" s="18"/>
      <c r="D3540" s="18"/>
      <c r="E3540" s="10" t="str">
        <f>IF(B3540="","",IFERROR(INDEX(Harytlar!$C$5:$C$44,MATCH(B3540,Harytlar!$A$5:$A$44,0)),""))</f>
        <v/>
      </c>
      <c r="F3540" s="10" t="str">
        <f t="shared" si="55"/>
        <v/>
      </c>
      <c r="G3540" s="10" t="str">
        <f>IF(OR(C3540="",B3540=""),"",IFERROR(C3540*INDEX(Harytlar!$D$5:$D$44,MATCH(B3540,Harytlar!$A$5:$A$44,0)),""))</f>
        <v/>
      </c>
    </row>
    <row r="3541" spans="1:7" x14ac:dyDescent="0.3">
      <c r="A3541" s="17"/>
      <c r="B3541" s="18"/>
      <c r="C3541" s="18"/>
      <c r="D3541" s="18"/>
      <c r="E3541" s="10" t="str">
        <f>IF(B3541="","",IFERROR(INDEX(Harytlar!$C$5:$C$44,MATCH(B3541,Harytlar!$A$5:$A$44,0)),""))</f>
        <v/>
      </c>
      <c r="F3541" s="10" t="str">
        <f t="shared" si="55"/>
        <v/>
      </c>
      <c r="G3541" s="10" t="str">
        <f>IF(OR(C3541="",B3541=""),"",IFERROR(C3541*INDEX(Harytlar!$D$5:$D$44,MATCH(B3541,Harytlar!$A$5:$A$44,0)),""))</f>
        <v/>
      </c>
    </row>
    <row r="3542" spans="1:7" x14ac:dyDescent="0.3">
      <c r="A3542" s="17"/>
      <c r="B3542" s="18"/>
      <c r="C3542" s="18"/>
      <c r="D3542" s="18"/>
      <c r="E3542" s="10" t="str">
        <f>IF(B3542="","",IFERROR(INDEX(Harytlar!$C$5:$C$44,MATCH(B3542,Harytlar!$A$5:$A$44,0)),""))</f>
        <v/>
      </c>
      <c r="F3542" s="10" t="str">
        <f t="shared" si="55"/>
        <v/>
      </c>
      <c r="G3542" s="10" t="str">
        <f>IF(OR(C3542="",B3542=""),"",IFERROR(C3542*INDEX(Harytlar!$D$5:$D$44,MATCH(B3542,Harytlar!$A$5:$A$44,0)),""))</f>
        <v/>
      </c>
    </row>
    <row r="3543" spans="1:7" x14ac:dyDescent="0.3">
      <c r="A3543" s="17"/>
      <c r="B3543" s="18"/>
      <c r="C3543" s="18"/>
      <c r="D3543" s="18"/>
      <c r="E3543" s="10" t="str">
        <f>IF(B3543="","",IFERROR(INDEX(Harytlar!$C$5:$C$44,MATCH(B3543,Harytlar!$A$5:$A$44,0)),""))</f>
        <v/>
      </c>
      <c r="F3543" s="10" t="str">
        <f t="shared" si="55"/>
        <v/>
      </c>
      <c r="G3543" s="10" t="str">
        <f>IF(OR(C3543="",B3543=""),"",IFERROR(C3543*INDEX(Harytlar!$D$5:$D$44,MATCH(B3543,Harytlar!$A$5:$A$44,0)),""))</f>
        <v/>
      </c>
    </row>
    <row r="3544" spans="1:7" x14ac:dyDescent="0.3">
      <c r="A3544" s="17"/>
      <c r="B3544" s="18"/>
      <c r="C3544" s="18"/>
      <c r="D3544" s="18"/>
      <c r="E3544" s="10" t="str">
        <f>IF(B3544="","",IFERROR(INDEX(Harytlar!$C$5:$C$44,MATCH(B3544,Harytlar!$A$5:$A$44,0)),""))</f>
        <v/>
      </c>
      <c r="F3544" s="10" t="str">
        <f t="shared" si="55"/>
        <v/>
      </c>
      <c r="G3544" s="10" t="str">
        <f>IF(OR(C3544="",B3544=""),"",IFERROR(C3544*INDEX(Harytlar!$D$5:$D$44,MATCH(B3544,Harytlar!$A$5:$A$44,0)),""))</f>
        <v/>
      </c>
    </row>
    <row r="3545" spans="1:7" x14ac:dyDescent="0.3">
      <c r="A3545" s="17"/>
      <c r="B3545" s="18"/>
      <c r="C3545" s="18"/>
      <c r="D3545" s="18"/>
      <c r="E3545" s="10" t="str">
        <f>IF(B3545="","",IFERROR(INDEX(Harytlar!$C$5:$C$44,MATCH(B3545,Harytlar!$A$5:$A$44,0)),""))</f>
        <v/>
      </c>
      <c r="F3545" s="10" t="str">
        <f t="shared" si="55"/>
        <v/>
      </c>
      <c r="G3545" s="10" t="str">
        <f>IF(OR(C3545="",B3545=""),"",IFERROR(C3545*INDEX(Harytlar!$D$5:$D$44,MATCH(B3545,Harytlar!$A$5:$A$44,0)),""))</f>
        <v/>
      </c>
    </row>
    <row r="3546" spans="1:7" x14ac:dyDescent="0.3">
      <c r="A3546" s="17"/>
      <c r="B3546" s="18"/>
      <c r="C3546" s="18"/>
      <c r="D3546" s="18"/>
      <c r="E3546" s="10" t="str">
        <f>IF(B3546="","",IFERROR(INDEX(Harytlar!$C$5:$C$44,MATCH(B3546,Harytlar!$A$5:$A$44,0)),""))</f>
        <v/>
      </c>
      <c r="F3546" s="10" t="str">
        <f t="shared" si="55"/>
        <v/>
      </c>
      <c r="G3546" s="10" t="str">
        <f>IF(OR(C3546="",B3546=""),"",IFERROR(C3546*INDEX(Harytlar!$D$5:$D$44,MATCH(B3546,Harytlar!$A$5:$A$44,0)),""))</f>
        <v/>
      </c>
    </row>
    <row r="3547" spans="1:7" x14ac:dyDescent="0.3">
      <c r="A3547" s="17"/>
      <c r="B3547" s="18"/>
      <c r="C3547" s="18"/>
      <c r="D3547" s="18"/>
      <c r="E3547" s="10" t="str">
        <f>IF(B3547="","",IFERROR(INDEX(Harytlar!$C$5:$C$44,MATCH(B3547,Harytlar!$A$5:$A$44,0)),""))</f>
        <v/>
      </c>
      <c r="F3547" s="10" t="str">
        <f t="shared" si="55"/>
        <v/>
      </c>
      <c r="G3547" s="10" t="str">
        <f>IF(OR(C3547="",B3547=""),"",IFERROR(C3547*INDEX(Harytlar!$D$5:$D$44,MATCH(B3547,Harytlar!$A$5:$A$44,0)),""))</f>
        <v/>
      </c>
    </row>
    <row r="3548" spans="1:7" x14ac:dyDescent="0.3">
      <c r="A3548" s="17"/>
      <c r="B3548" s="18"/>
      <c r="C3548" s="18"/>
      <c r="D3548" s="18"/>
      <c r="E3548" s="10" t="str">
        <f>IF(B3548="","",IFERROR(INDEX(Harytlar!$C$5:$C$44,MATCH(B3548,Harytlar!$A$5:$A$44,0)),""))</f>
        <v/>
      </c>
      <c r="F3548" s="10" t="str">
        <f t="shared" si="55"/>
        <v/>
      </c>
      <c r="G3548" s="10" t="str">
        <f>IF(OR(C3548="",B3548=""),"",IFERROR(C3548*INDEX(Harytlar!$D$5:$D$44,MATCH(B3548,Harytlar!$A$5:$A$44,0)),""))</f>
        <v/>
      </c>
    </row>
    <row r="3549" spans="1:7" x14ac:dyDescent="0.3">
      <c r="A3549" s="17"/>
      <c r="B3549" s="18"/>
      <c r="C3549" s="18"/>
      <c r="D3549" s="18"/>
      <c r="E3549" s="10" t="str">
        <f>IF(B3549="","",IFERROR(INDEX(Harytlar!$C$5:$C$44,MATCH(B3549,Harytlar!$A$5:$A$44,0)),""))</f>
        <v/>
      </c>
      <c r="F3549" s="10" t="str">
        <f t="shared" si="55"/>
        <v/>
      </c>
      <c r="G3549" s="10" t="str">
        <f>IF(OR(C3549="",B3549=""),"",IFERROR(C3549*INDEX(Harytlar!$D$5:$D$44,MATCH(B3549,Harytlar!$A$5:$A$44,0)),""))</f>
        <v/>
      </c>
    </row>
    <row r="3550" spans="1:7" x14ac:dyDescent="0.3">
      <c r="A3550" s="17"/>
      <c r="B3550" s="18"/>
      <c r="C3550" s="18"/>
      <c r="D3550" s="18"/>
      <c r="E3550" s="10" t="str">
        <f>IF(B3550="","",IFERROR(INDEX(Harytlar!$C$5:$C$44,MATCH(B3550,Harytlar!$A$5:$A$44,0)),""))</f>
        <v/>
      </c>
      <c r="F3550" s="10" t="str">
        <f t="shared" si="55"/>
        <v/>
      </c>
      <c r="G3550" s="10" t="str">
        <f>IF(OR(C3550="",B3550=""),"",IFERROR(C3550*INDEX(Harytlar!$D$5:$D$44,MATCH(B3550,Harytlar!$A$5:$A$44,0)),""))</f>
        <v/>
      </c>
    </row>
    <row r="3551" spans="1:7" x14ac:dyDescent="0.3">
      <c r="A3551" s="17"/>
      <c r="B3551" s="18"/>
      <c r="C3551" s="18"/>
      <c r="D3551" s="18"/>
      <c r="E3551" s="10" t="str">
        <f>IF(B3551="","",IFERROR(INDEX(Harytlar!$C$5:$C$44,MATCH(B3551,Harytlar!$A$5:$A$44,0)),""))</f>
        <v/>
      </c>
      <c r="F3551" s="10" t="str">
        <f t="shared" si="55"/>
        <v/>
      </c>
      <c r="G3551" s="10" t="str">
        <f>IF(OR(C3551="",B3551=""),"",IFERROR(C3551*INDEX(Harytlar!$D$5:$D$44,MATCH(B3551,Harytlar!$A$5:$A$44,0)),""))</f>
        <v/>
      </c>
    </row>
    <row r="3552" spans="1:7" x14ac:dyDescent="0.3">
      <c r="A3552" s="17"/>
      <c r="B3552" s="18"/>
      <c r="C3552" s="18"/>
      <c r="D3552" s="18"/>
      <c r="E3552" s="10" t="str">
        <f>IF(B3552="","",IFERROR(INDEX(Harytlar!$C$5:$C$44,MATCH(B3552,Harytlar!$A$5:$A$44,0)),""))</f>
        <v/>
      </c>
      <c r="F3552" s="10" t="str">
        <f t="shared" si="55"/>
        <v/>
      </c>
      <c r="G3552" s="10" t="str">
        <f>IF(OR(C3552="",B3552=""),"",IFERROR(C3552*INDEX(Harytlar!$D$5:$D$44,MATCH(B3552,Harytlar!$A$5:$A$44,0)),""))</f>
        <v/>
      </c>
    </row>
    <row r="3553" spans="1:7" x14ac:dyDescent="0.3">
      <c r="A3553" s="17"/>
      <c r="B3553" s="18"/>
      <c r="C3553" s="18"/>
      <c r="D3553" s="18"/>
      <c r="E3553" s="10" t="str">
        <f>IF(B3553="","",IFERROR(INDEX(Harytlar!$C$5:$C$44,MATCH(B3553,Harytlar!$A$5:$A$44,0)),""))</f>
        <v/>
      </c>
      <c r="F3553" s="10" t="str">
        <f t="shared" si="55"/>
        <v/>
      </c>
      <c r="G3553" s="10" t="str">
        <f>IF(OR(C3553="",B3553=""),"",IFERROR(C3553*INDEX(Harytlar!$D$5:$D$44,MATCH(B3553,Harytlar!$A$5:$A$44,0)),""))</f>
        <v/>
      </c>
    </row>
    <row r="3554" spans="1:7" x14ac:dyDescent="0.3">
      <c r="A3554" s="17"/>
      <c r="B3554" s="18"/>
      <c r="C3554" s="18"/>
      <c r="D3554" s="18"/>
      <c r="E3554" s="10" t="str">
        <f>IF(B3554="","",IFERROR(INDEX(Harytlar!$C$5:$C$44,MATCH(B3554,Harytlar!$A$5:$A$44,0)),""))</f>
        <v/>
      </c>
      <c r="F3554" s="10" t="str">
        <f t="shared" si="55"/>
        <v/>
      </c>
      <c r="G3554" s="10" t="str">
        <f>IF(OR(C3554="",B3554=""),"",IFERROR(C3554*INDEX(Harytlar!$D$5:$D$44,MATCH(B3554,Harytlar!$A$5:$A$44,0)),""))</f>
        <v/>
      </c>
    </row>
    <row r="3555" spans="1:7" x14ac:dyDescent="0.3">
      <c r="A3555" s="17"/>
      <c r="B3555" s="18"/>
      <c r="C3555" s="18"/>
      <c r="D3555" s="18"/>
      <c r="E3555" s="10" t="str">
        <f>IF(B3555="","",IFERROR(INDEX(Harytlar!$C$5:$C$44,MATCH(B3555,Harytlar!$A$5:$A$44,0)),""))</f>
        <v/>
      </c>
      <c r="F3555" s="10" t="str">
        <f t="shared" si="55"/>
        <v/>
      </c>
      <c r="G3555" s="10" t="str">
        <f>IF(OR(C3555="",B3555=""),"",IFERROR(C3555*INDEX(Harytlar!$D$5:$D$44,MATCH(B3555,Harytlar!$A$5:$A$44,0)),""))</f>
        <v/>
      </c>
    </row>
    <row r="3556" spans="1:7" x14ac:dyDescent="0.3">
      <c r="A3556" s="17"/>
      <c r="B3556" s="18"/>
      <c r="C3556" s="18"/>
      <c r="D3556" s="18"/>
      <c r="E3556" s="10" t="str">
        <f>IF(B3556="","",IFERROR(INDEX(Harytlar!$C$5:$C$44,MATCH(B3556,Harytlar!$A$5:$A$44,0)),""))</f>
        <v/>
      </c>
      <c r="F3556" s="10" t="str">
        <f t="shared" si="55"/>
        <v/>
      </c>
      <c r="G3556" s="10" t="str">
        <f>IF(OR(C3556="",B3556=""),"",IFERROR(C3556*INDEX(Harytlar!$D$5:$D$44,MATCH(B3556,Harytlar!$A$5:$A$44,0)),""))</f>
        <v/>
      </c>
    </row>
    <row r="3557" spans="1:7" x14ac:dyDescent="0.3">
      <c r="A3557" s="17"/>
      <c r="B3557" s="18"/>
      <c r="C3557" s="18"/>
      <c r="D3557" s="18"/>
      <c r="E3557" s="10" t="str">
        <f>IF(B3557="","",IFERROR(INDEX(Harytlar!$C$5:$C$44,MATCH(B3557,Harytlar!$A$5:$A$44,0)),""))</f>
        <v/>
      </c>
      <c r="F3557" s="10" t="str">
        <f t="shared" si="55"/>
        <v/>
      </c>
      <c r="G3557" s="10" t="str">
        <f>IF(OR(C3557="",B3557=""),"",IFERROR(C3557*INDEX(Harytlar!$D$5:$D$44,MATCH(B3557,Harytlar!$A$5:$A$44,0)),""))</f>
        <v/>
      </c>
    </row>
    <row r="3558" spans="1:7" x14ac:dyDescent="0.3">
      <c r="A3558" s="17"/>
      <c r="B3558" s="18"/>
      <c r="C3558" s="18"/>
      <c r="D3558" s="18"/>
      <c r="E3558" s="10" t="str">
        <f>IF(B3558="","",IFERROR(INDEX(Harytlar!$C$5:$C$44,MATCH(B3558,Harytlar!$A$5:$A$44,0)),""))</f>
        <v/>
      </c>
      <c r="F3558" s="10" t="str">
        <f t="shared" si="55"/>
        <v/>
      </c>
      <c r="G3558" s="10" t="str">
        <f>IF(OR(C3558="",B3558=""),"",IFERROR(C3558*INDEX(Harytlar!$D$5:$D$44,MATCH(B3558,Harytlar!$A$5:$A$44,0)),""))</f>
        <v/>
      </c>
    </row>
    <row r="3559" spans="1:7" x14ac:dyDescent="0.3">
      <c r="A3559" s="17"/>
      <c r="B3559" s="18"/>
      <c r="C3559" s="18"/>
      <c r="D3559" s="18"/>
      <c r="E3559" s="10" t="str">
        <f>IF(B3559="","",IFERROR(INDEX(Harytlar!$C$5:$C$44,MATCH(B3559,Harytlar!$A$5:$A$44,0)),""))</f>
        <v/>
      </c>
      <c r="F3559" s="10" t="str">
        <f t="shared" si="55"/>
        <v/>
      </c>
      <c r="G3559" s="10" t="str">
        <f>IF(OR(C3559="",B3559=""),"",IFERROR(C3559*INDEX(Harytlar!$D$5:$D$44,MATCH(B3559,Harytlar!$A$5:$A$44,0)),""))</f>
        <v/>
      </c>
    </row>
    <row r="3560" spans="1:7" x14ac:dyDescent="0.3">
      <c r="A3560" s="17"/>
      <c r="B3560" s="18"/>
      <c r="C3560" s="18"/>
      <c r="D3560" s="18"/>
      <c r="E3560" s="10" t="str">
        <f>IF(B3560="","",IFERROR(INDEX(Harytlar!$C$5:$C$44,MATCH(B3560,Harytlar!$A$5:$A$44,0)),""))</f>
        <v/>
      </c>
      <c r="F3560" s="10" t="str">
        <f t="shared" si="55"/>
        <v/>
      </c>
      <c r="G3560" s="10" t="str">
        <f>IF(OR(C3560="",B3560=""),"",IFERROR(C3560*INDEX(Harytlar!$D$5:$D$44,MATCH(B3560,Harytlar!$A$5:$A$44,0)),""))</f>
        <v/>
      </c>
    </row>
    <row r="3561" spans="1:7" x14ac:dyDescent="0.3">
      <c r="A3561" s="17"/>
      <c r="B3561" s="18"/>
      <c r="C3561" s="18"/>
      <c r="D3561" s="18"/>
      <c r="E3561" s="10" t="str">
        <f>IF(B3561="","",IFERROR(INDEX(Harytlar!$C$5:$C$44,MATCH(B3561,Harytlar!$A$5:$A$44,0)),""))</f>
        <v/>
      </c>
      <c r="F3561" s="10" t="str">
        <f t="shared" si="55"/>
        <v/>
      </c>
      <c r="G3561" s="10" t="str">
        <f>IF(OR(C3561="",B3561=""),"",IFERROR(C3561*INDEX(Harytlar!$D$5:$D$44,MATCH(B3561,Harytlar!$A$5:$A$44,0)),""))</f>
        <v/>
      </c>
    </row>
    <row r="3562" spans="1:7" x14ac:dyDescent="0.3">
      <c r="A3562" s="17"/>
      <c r="B3562" s="18"/>
      <c r="C3562" s="18"/>
      <c r="D3562" s="18"/>
      <c r="E3562" s="10" t="str">
        <f>IF(B3562="","",IFERROR(INDEX(Harytlar!$C$5:$C$44,MATCH(B3562,Harytlar!$A$5:$A$44,0)),""))</f>
        <v/>
      </c>
      <c r="F3562" s="10" t="str">
        <f t="shared" si="55"/>
        <v/>
      </c>
      <c r="G3562" s="10" t="str">
        <f>IF(OR(C3562="",B3562=""),"",IFERROR(C3562*INDEX(Harytlar!$D$5:$D$44,MATCH(B3562,Harytlar!$A$5:$A$44,0)),""))</f>
        <v/>
      </c>
    </row>
    <row r="3563" spans="1:7" x14ac:dyDescent="0.3">
      <c r="A3563" s="17"/>
      <c r="B3563" s="18"/>
      <c r="C3563" s="18"/>
      <c r="D3563" s="18"/>
      <c r="E3563" s="10" t="str">
        <f>IF(B3563="","",IFERROR(INDEX(Harytlar!$C$5:$C$44,MATCH(B3563,Harytlar!$A$5:$A$44,0)),""))</f>
        <v/>
      </c>
      <c r="F3563" s="10" t="str">
        <f t="shared" si="55"/>
        <v/>
      </c>
      <c r="G3563" s="10" t="str">
        <f>IF(OR(C3563="",B3563=""),"",IFERROR(C3563*INDEX(Harytlar!$D$5:$D$44,MATCH(B3563,Harytlar!$A$5:$A$44,0)),""))</f>
        <v/>
      </c>
    </row>
    <row r="3564" spans="1:7" x14ac:dyDescent="0.3">
      <c r="A3564" s="17"/>
      <c r="B3564" s="18"/>
      <c r="C3564" s="18"/>
      <c r="D3564" s="18"/>
      <c r="E3564" s="10" t="str">
        <f>IF(B3564="","",IFERROR(INDEX(Harytlar!$C$5:$C$44,MATCH(B3564,Harytlar!$A$5:$A$44,0)),""))</f>
        <v/>
      </c>
      <c r="F3564" s="10" t="str">
        <f t="shared" si="55"/>
        <v/>
      </c>
      <c r="G3564" s="10" t="str">
        <f>IF(OR(C3564="",B3564=""),"",IFERROR(C3564*INDEX(Harytlar!$D$5:$D$44,MATCH(B3564,Harytlar!$A$5:$A$44,0)),""))</f>
        <v/>
      </c>
    </row>
    <row r="3565" spans="1:7" x14ac:dyDescent="0.3">
      <c r="A3565" s="17"/>
      <c r="B3565" s="18"/>
      <c r="C3565" s="18"/>
      <c r="D3565" s="18"/>
      <c r="E3565" s="10" t="str">
        <f>IF(B3565="","",IFERROR(INDEX(Harytlar!$C$5:$C$44,MATCH(B3565,Harytlar!$A$5:$A$44,0)),""))</f>
        <v/>
      </c>
      <c r="F3565" s="10" t="str">
        <f t="shared" si="55"/>
        <v/>
      </c>
      <c r="G3565" s="10" t="str">
        <f>IF(OR(C3565="",B3565=""),"",IFERROR(C3565*INDEX(Harytlar!$D$5:$D$44,MATCH(B3565,Harytlar!$A$5:$A$44,0)),""))</f>
        <v/>
      </c>
    </row>
    <row r="3566" spans="1:7" x14ac:dyDescent="0.3">
      <c r="A3566" s="17"/>
      <c r="B3566" s="18"/>
      <c r="C3566" s="18"/>
      <c r="D3566" s="18"/>
      <c r="E3566" s="10" t="str">
        <f>IF(B3566="","",IFERROR(INDEX(Harytlar!$C$5:$C$44,MATCH(B3566,Harytlar!$A$5:$A$44,0)),""))</f>
        <v/>
      </c>
      <c r="F3566" s="10" t="str">
        <f t="shared" si="55"/>
        <v/>
      </c>
      <c r="G3566" s="10" t="str">
        <f>IF(OR(C3566="",B3566=""),"",IFERROR(C3566*INDEX(Harytlar!$D$5:$D$44,MATCH(B3566,Harytlar!$A$5:$A$44,0)),""))</f>
        <v/>
      </c>
    </row>
    <row r="3567" spans="1:7" x14ac:dyDescent="0.3">
      <c r="A3567" s="17"/>
      <c r="B3567" s="18"/>
      <c r="C3567" s="18"/>
      <c r="D3567" s="18"/>
      <c r="E3567" s="10" t="str">
        <f>IF(B3567="","",IFERROR(INDEX(Harytlar!$C$5:$C$44,MATCH(B3567,Harytlar!$A$5:$A$44,0)),""))</f>
        <v/>
      </c>
      <c r="F3567" s="10" t="str">
        <f t="shared" si="55"/>
        <v/>
      </c>
      <c r="G3567" s="10" t="str">
        <f>IF(OR(C3567="",B3567=""),"",IFERROR(C3567*INDEX(Harytlar!$D$5:$D$44,MATCH(B3567,Harytlar!$A$5:$A$44,0)),""))</f>
        <v/>
      </c>
    </row>
    <row r="3568" spans="1:7" x14ac:dyDescent="0.3">
      <c r="A3568" s="17"/>
      <c r="B3568" s="18"/>
      <c r="C3568" s="18"/>
      <c r="D3568" s="18"/>
      <c r="E3568" s="10" t="str">
        <f>IF(B3568="","",IFERROR(INDEX(Harytlar!$C$5:$C$44,MATCH(B3568,Harytlar!$A$5:$A$44,0)),""))</f>
        <v/>
      </c>
      <c r="F3568" s="10" t="str">
        <f t="shared" si="55"/>
        <v/>
      </c>
      <c r="G3568" s="10" t="str">
        <f>IF(OR(C3568="",B3568=""),"",IFERROR(C3568*INDEX(Harytlar!$D$5:$D$44,MATCH(B3568,Harytlar!$A$5:$A$44,0)),""))</f>
        <v/>
      </c>
    </row>
    <row r="3569" spans="1:7" x14ac:dyDescent="0.3">
      <c r="A3569" s="17"/>
      <c r="B3569" s="18"/>
      <c r="C3569" s="18"/>
      <c r="D3569" s="18"/>
      <c r="E3569" s="10" t="str">
        <f>IF(B3569="","",IFERROR(INDEX(Harytlar!$C$5:$C$44,MATCH(B3569,Harytlar!$A$5:$A$44,0)),""))</f>
        <v/>
      </c>
      <c r="F3569" s="10" t="str">
        <f t="shared" si="55"/>
        <v/>
      </c>
      <c r="G3569" s="10" t="str">
        <f>IF(OR(C3569="",B3569=""),"",IFERROR(C3569*INDEX(Harytlar!$D$5:$D$44,MATCH(B3569,Harytlar!$A$5:$A$44,0)),""))</f>
        <v/>
      </c>
    </row>
    <row r="3570" spans="1:7" x14ac:dyDescent="0.3">
      <c r="A3570" s="17"/>
      <c r="B3570" s="18"/>
      <c r="C3570" s="18"/>
      <c r="D3570" s="18"/>
      <c r="E3570" s="10" t="str">
        <f>IF(B3570="","",IFERROR(INDEX(Harytlar!$C$5:$C$44,MATCH(B3570,Harytlar!$A$5:$A$44,0)),""))</f>
        <v/>
      </c>
      <c r="F3570" s="10" t="str">
        <f t="shared" si="55"/>
        <v/>
      </c>
      <c r="G3570" s="10" t="str">
        <f>IF(OR(C3570="",B3570=""),"",IFERROR(C3570*INDEX(Harytlar!$D$5:$D$44,MATCH(B3570,Harytlar!$A$5:$A$44,0)),""))</f>
        <v/>
      </c>
    </row>
    <row r="3571" spans="1:7" x14ac:dyDescent="0.3">
      <c r="A3571" s="17"/>
      <c r="B3571" s="18"/>
      <c r="C3571" s="18"/>
      <c r="D3571" s="18"/>
      <c r="E3571" s="10" t="str">
        <f>IF(B3571="","",IFERROR(INDEX(Harytlar!$C$5:$C$44,MATCH(B3571,Harytlar!$A$5:$A$44,0)),""))</f>
        <v/>
      </c>
      <c r="F3571" s="10" t="str">
        <f t="shared" si="55"/>
        <v/>
      </c>
      <c r="G3571" s="10" t="str">
        <f>IF(OR(C3571="",B3571=""),"",IFERROR(C3571*INDEX(Harytlar!$D$5:$D$44,MATCH(B3571,Harytlar!$A$5:$A$44,0)),""))</f>
        <v/>
      </c>
    </row>
    <row r="3572" spans="1:7" x14ac:dyDescent="0.3">
      <c r="A3572" s="17"/>
      <c r="B3572" s="18"/>
      <c r="C3572" s="18"/>
      <c r="D3572" s="18"/>
      <c r="E3572" s="10" t="str">
        <f>IF(B3572="","",IFERROR(INDEX(Harytlar!$C$5:$C$44,MATCH(B3572,Harytlar!$A$5:$A$44,0)),""))</f>
        <v/>
      </c>
      <c r="F3572" s="10" t="str">
        <f t="shared" si="55"/>
        <v/>
      </c>
      <c r="G3572" s="10" t="str">
        <f>IF(OR(C3572="",B3572=""),"",IFERROR(C3572*INDEX(Harytlar!$D$5:$D$44,MATCH(B3572,Harytlar!$A$5:$A$44,0)),""))</f>
        <v/>
      </c>
    </row>
    <row r="3573" spans="1:7" x14ac:dyDescent="0.3">
      <c r="A3573" s="17"/>
      <c r="B3573" s="18"/>
      <c r="C3573" s="18"/>
      <c r="D3573" s="18"/>
      <c r="E3573" s="10" t="str">
        <f>IF(B3573="","",IFERROR(INDEX(Harytlar!$C$5:$C$44,MATCH(B3573,Harytlar!$A$5:$A$44,0)),""))</f>
        <v/>
      </c>
      <c r="F3573" s="10" t="str">
        <f t="shared" si="55"/>
        <v/>
      </c>
      <c r="G3573" s="10" t="str">
        <f>IF(OR(C3573="",B3573=""),"",IFERROR(C3573*INDEX(Harytlar!$D$5:$D$44,MATCH(B3573,Harytlar!$A$5:$A$44,0)),""))</f>
        <v/>
      </c>
    </row>
    <row r="3574" spans="1:7" x14ac:dyDescent="0.3">
      <c r="A3574" s="17"/>
      <c r="B3574" s="18"/>
      <c r="C3574" s="18"/>
      <c r="D3574" s="18"/>
      <c r="E3574" s="10" t="str">
        <f>IF(B3574="","",IFERROR(INDEX(Harytlar!$C$5:$C$44,MATCH(B3574,Harytlar!$A$5:$A$44,0)),""))</f>
        <v/>
      </c>
      <c r="F3574" s="10" t="str">
        <f t="shared" si="55"/>
        <v/>
      </c>
      <c r="G3574" s="10" t="str">
        <f>IF(OR(C3574="",B3574=""),"",IFERROR(C3574*INDEX(Harytlar!$D$5:$D$44,MATCH(B3574,Harytlar!$A$5:$A$44,0)),""))</f>
        <v/>
      </c>
    </row>
    <row r="3575" spans="1:7" x14ac:dyDescent="0.3">
      <c r="A3575" s="17"/>
      <c r="B3575" s="18"/>
      <c r="C3575" s="18"/>
      <c r="D3575" s="18"/>
      <c r="E3575" s="10" t="str">
        <f>IF(B3575="","",IFERROR(INDEX(Harytlar!$C$5:$C$44,MATCH(B3575,Harytlar!$A$5:$A$44,0)),""))</f>
        <v/>
      </c>
      <c r="F3575" s="10" t="str">
        <f t="shared" si="55"/>
        <v/>
      </c>
      <c r="G3575" s="10" t="str">
        <f>IF(OR(C3575="",B3575=""),"",IFERROR(C3575*INDEX(Harytlar!$D$5:$D$44,MATCH(B3575,Harytlar!$A$5:$A$44,0)),""))</f>
        <v/>
      </c>
    </row>
    <row r="3576" spans="1:7" x14ac:dyDescent="0.3">
      <c r="A3576" s="17"/>
      <c r="B3576" s="18"/>
      <c r="C3576" s="18"/>
      <c r="D3576" s="18"/>
      <c r="E3576" s="10" t="str">
        <f>IF(B3576="","",IFERROR(INDEX(Harytlar!$C$5:$C$44,MATCH(B3576,Harytlar!$A$5:$A$44,0)),""))</f>
        <v/>
      </c>
      <c r="F3576" s="10" t="str">
        <f t="shared" si="55"/>
        <v/>
      </c>
      <c r="G3576" s="10" t="str">
        <f>IF(OR(C3576="",B3576=""),"",IFERROR(C3576*INDEX(Harytlar!$D$5:$D$44,MATCH(B3576,Harytlar!$A$5:$A$44,0)),""))</f>
        <v/>
      </c>
    </row>
    <row r="3577" spans="1:7" x14ac:dyDescent="0.3">
      <c r="A3577" s="17"/>
      <c r="B3577" s="18"/>
      <c r="C3577" s="18"/>
      <c r="D3577" s="18"/>
      <c r="E3577" s="10" t="str">
        <f>IF(B3577="","",IFERROR(INDEX(Harytlar!$C$5:$C$44,MATCH(B3577,Harytlar!$A$5:$A$44,0)),""))</f>
        <v/>
      </c>
      <c r="F3577" s="10" t="str">
        <f t="shared" si="55"/>
        <v/>
      </c>
      <c r="G3577" s="10" t="str">
        <f>IF(OR(C3577="",B3577=""),"",IFERROR(C3577*INDEX(Harytlar!$D$5:$D$44,MATCH(B3577,Harytlar!$A$5:$A$44,0)),""))</f>
        <v/>
      </c>
    </row>
    <row r="3578" spans="1:7" x14ac:dyDescent="0.3">
      <c r="A3578" s="17"/>
      <c r="B3578" s="18"/>
      <c r="C3578" s="18"/>
      <c r="D3578" s="18"/>
      <c r="E3578" s="10" t="str">
        <f>IF(B3578="","",IFERROR(INDEX(Harytlar!$C$5:$C$44,MATCH(B3578,Harytlar!$A$5:$A$44,0)),""))</f>
        <v/>
      </c>
      <c r="F3578" s="10" t="str">
        <f t="shared" si="55"/>
        <v/>
      </c>
      <c r="G3578" s="10" t="str">
        <f>IF(OR(C3578="",B3578=""),"",IFERROR(C3578*INDEX(Harytlar!$D$5:$D$44,MATCH(B3578,Harytlar!$A$5:$A$44,0)),""))</f>
        <v/>
      </c>
    </row>
    <row r="3579" spans="1:7" x14ac:dyDescent="0.3">
      <c r="A3579" s="17"/>
      <c r="B3579" s="18"/>
      <c r="C3579" s="18"/>
      <c r="D3579" s="18"/>
      <c r="E3579" s="10" t="str">
        <f>IF(B3579="","",IFERROR(INDEX(Harytlar!$C$5:$C$44,MATCH(B3579,Harytlar!$A$5:$A$44,0)),""))</f>
        <v/>
      </c>
      <c r="F3579" s="10" t="str">
        <f t="shared" si="55"/>
        <v/>
      </c>
      <c r="G3579" s="10" t="str">
        <f>IF(OR(C3579="",B3579=""),"",IFERROR(C3579*INDEX(Harytlar!$D$5:$D$44,MATCH(B3579,Harytlar!$A$5:$A$44,0)),""))</f>
        <v/>
      </c>
    </row>
    <row r="3580" spans="1:7" x14ac:dyDescent="0.3">
      <c r="A3580" s="17"/>
      <c r="B3580" s="18"/>
      <c r="C3580" s="18"/>
      <c r="D3580" s="18"/>
      <c r="E3580" s="10" t="str">
        <f>IF(B3580="","",IFERROR(INDEX(Harytlar!$C$5:$C$44,MATCH(B3580,Harytlar!$A$5:$A$44,0)),""))</f>
        <v/>
      </c>
      <c r="F3580" s="10" t="str">
        <f t="shared" si="55"/>
        <v/>
      </c>
      <c r="G3580" s="10" t="str">
        <f>IF(OR(C3580="",B3580=""),"",IFERROR(C3580*INDEX(Harytlar!$D$5:$D$44,MATCH(B3580,Harytlar!$A$5:$A$44,0)),""))</f>
        <v/>
      </c>
    </row>
    <row r="3581" spans="1:7" x14ac:dyDescent="0.3">
      <c r="A3581" s="17"/>
      <c r="B3581" s="18"/>
      <c r="C3581" s="18"/>
      <c r="D3581" s="18"/>
      <c r="E3581" s="10" t="str">
        <f>IF(B3581="","",IFERROR(INDEX(Harytlar!$C$5:$C$44,MATCH(B3581,Harytlar!$A$5:$A$44,0)),""))</f>
        <v/>
      </c>
      <c r="F3581" s="10" t="str">
        <f t="shared" si="55"/>
        <v/>
      </c>
      <c r="G3581" s="10" t="str">
        <f>IF(OR(C3581="",B3581=""),"",IFERROR(C3581*INDEX(Harytlar!$D$5:$D$44,MATCH(B3581,Harytlar!$A$5:$A$44,0)),""))</f>
        <v/>
      </c>
    </row>
    <row r="3582" spans="1:7" x14ac:dyDescent="0.3">
      <c r="A3582" s="17"/>
      <c r="B3582" s="18"/>
      <c r="C3582" s="18"/>
      <c r="D3582" s="18"/>
      <c r="E3582" s="10" t="str">
        <f>IF(B3582="","",IFERROR(INDEX(Harytlar!$C$5:$C$44,MATCH(B3582,Harytlar!$A$5:$A$44,0)),""))</f>
        <v/>
      </c>
      <c r="F3582" s="10" t="str">
        <f t="shared" si="55"/>
        <v/>
      </c>
      <c r="G3582" s="10" t="str">
        <f>IF(OR(C3582="",B3582=""),"",IFERROR(C3582*INDEX(Harytlar!$D$5:$D$44,MATCH(B3582,Harytlar!$A$5:$A$44,0)),""))</f>
        <v/>
      </c>
    </row>
    <row r="3583" spans="1:7" x14ac:dyDescent="0.3">
      <c r="A3583" s="17"/>
      <c r="B3583" s="18"/>
      <c r="C3583" s="18"/>
      <c r="D3583" s="18"/>
      <c r="E3583" s="10" t="str">
        <f>IF(B3583="","",IFERROR(INDEX(Harytlar!$C$5:$C$44,MATCH(B3583,Harytlar!$A$5:$A$44,0)),""))</f>
        <v/>
      </c>
      <c r="F3583" s="10" t="str">
        <f t="shared" si="55"/>
        <v/>
      </c>
      <c r="G3583" s="10" t="str">
        <f>IF(OR(C3583="",B3583=""),"",IFERROR(C3583*INDEX(Harytlar!$D$5:$D$44,MATCH(B3583,Harytlar!$A$5:$A$44,0)),""))</f>
        <v/>
      </c>
    </row>
    <row r="3584" spans="1:7" x14ac:dyDescent="0.3">
      <c r="A3584" s="17"/>
      <c r="B3584" s="18"/>
      <c r="C3584" s="18"/>
      <c r="D3584" s="18"/>
      <c r="E3584" s="10" t="str">
        <f>IF(B3584="","",IFERROR(INDEX(Harytlar!$C$5:$C$44,MATCH(B3584,Harytlar!$A$5:$A$44,0)),""))</f>
        <v/>
      </c>
      <c r="F3584" s="10" t="str">
        <f t="shared" si="55"/>
        <v/>
      </c>
      <c r="G3584" s="10" t="str">
        <f>IF(OR(C3584="",B3584=""),"",IFERROR(C3584*INDEX(Harytlar!$D$5:$D$44,MATCH(B3584,Harytlar!$A$5:$A$44,0)),""))</f>
        <v/>
      </c>
    </row>
    <row r="3585" spans="1:7" x14ac:dyDescent="0.3">
      <c r="A3585" s="17"/>
      <c r="B3585" s="18"/>
      <c r="C3585" s="18"/>
      <c r="D3585" s="18"/>
      <c r="E3585" s="10" t="str">
        <f>IF(B3585="","",IFERROR(INDEX(Harytlar!$C$5:$C$44,MATCH(B3585,Harytlar!$A$5:$A$44,0)),""))</f>
        <v/>
      </c>
      <c r="F3585" s="10" t="str">
        <f t="shared" si="55"/>
        <v/>
      </c>
      <c r="G3585" s="10" t="str">
        <f>IF(OR(C3585="",B3585=""),"",IFERROR(C3585*INDEX(Harytlar!$D$5:$D$44,MATCH(B3585,Harytlar!$A$5:$A$44,0)),""))</f>
        <v/>
      </c>
    </row>
    <row r="3586" spans="1:7" x14ac:dyDescent="0.3">
      <c r="A3586" s="17"/>
      <c r="B3586" s="18"/>
      <c r="C3586" s="18"/>
      <c r="D3586" s="18"/>
      <c r="E3586" s="10" t="str">
        <f>IF(B3586="","",IFERROR(INDEX(Harytlar!$C$5:$C$44,MATCH(B3586,Harytlar!$A$5:$A$44,0)),""))</f>
        <v/>
      </c>
      <c r="F3586" s="10" t="str">
        <f t="shared" si="55"/>
        <v/>
      </c>
      <c r="G3586" s="10" t="str">
        <f>IF(OR(C3586="",B3586=""),"",IFERROR(C3586*INDEX(Harytlar!$D$5:$D$44,MATCH(B3586,Harytlar!$A$5:$A$44,0)),""))</f>
        <v/>
      </c>
    </row>
    <row r="3587" spans="1:7" x14ac:dyDescent="0.3">
      <c r="A3587" s="17"/>
      <c r="B3587" s="18"/>
      <c r="C3587" s="18"/>
      <c r="D3587" s="18"/>
      <c r="E3587" s="10" t="str">
        <f>IF(B3587="","",IFERROR(INDEX(Harytlar!$C$5:$C$44,MATCH(B3587,Harytlar!$A$5:$A$44,0)),""))</f>
        <v/>
      </c>
      <c r="F3587" s="10" t="str">
        <f t="shared" si="55"/>
        <v/>
      </c>
      <c r="G3587" s="10" t="str">
        <f>IF(OR(C3587="",B3587=""),"",IFERROR(C3587*INDEX(Harytlar!$D$5:$D$44,MATCH(B3587,Harytlar!$A$5:$A$44,0)),""))</f>
        <v/>
      </c>
    </row>
    <row r="3588" spans="1:7" x14ac:dyDescent="0.3">
      <c r="A3588" s="17"/>
      <c r="B3588" s="18"/>
      <c r="C3588" s="18"/>
      <c r="D3588" s="18"/>
      <c r="E3588" s="10" t="str">
        <f>IF(B3588="","",IFERROR(INDEX(Harytlar!$C$5:$C$44,MATCH(B3588,Harytlar!$A$5:$A$44,0)),""))</f>
        <v/>
      </c>
      <c r="F3588" s="10" t="str">
        <f t="shared" si="55"/>
        <v/>
      </c>
      <c r="G3588" s="10" t="str">
        <f>IF(OR(C3588="",B3588=""),"",IFERROR(C3588*INDEX(Harytlar!$D$5:$D$44,MATCH(B3588,Harytlar!$A$5:$A$44,0)),""))</f>
        <v/>
      </c>
    </row>
    <row r="3589" spans="1:7" x14ac:dyDescent="0.3">
      <c r="A3589" s="17"/>
      <c r="B3589" s="18"/>
      <c r="C3589" s="18"/>
      <c r="D3589" s="18"/>
      <c r="E3589" s="10" t="str">
        <f>IF(B3589="","",IFERROR(INDEX(Harytlar!$C$5:$C$44,MATCH(B3589,Harytlar!$A$5:$A$44,0)),""))</f>
        <v/>
      </c>
      <c r="F3589" s="10" t="str">
        <f t="shared" si="55"/>
        <v/>
      </c>
      <c r="G3589" s="10" t="str">
        <f>IF(OR(C3589="",B3589=""),"",IFERROR(C3589*INDEX(Harytlar!$D$5:$D$44,MATCH(B3589,Harytlar!$A$5:$A$44,0)),""))</f>
        <v/>
      </c>
    </row>
    <row r="3590" spans="1:7" x14ac:dyDescent="0.3">
      <c r="A3590" s="17"/>
      <c r="B3590" s="18"/>
      <c r="C3590" s="18"/>
      <c r="D3590" s="18"/>
      <c r="E3590" s="10" t="str">
        <f>IF(B3590="","",IFERROR(INDEX(Harytlar!$C$5:$C$44,MATCH(B3590,Harytlar!$A$5:$A$44,0)),""))</f>
        <v/>
      </c>
      <c r="F3590" s="10" t="str">
        <f t="shared" ref="F3590:F3653" si="56">IF(OR(C3590="",E3590=""),"",C3590*E3590)</f>
        <v/>
      </c>
      <c r="G3590" s="10" t="str">
        <f>IF(OR(C3590="",B3590=""),"",IFERROR(C3590*INDEX(Harytlar!$D$5:$D$44,MATCH(B3590,Harytlar!$A$5:$A$44,0)),""))</f>
        <v/>
      </c>
    </row>
    <row r="3591" spans="1:7" x14ac:dyDescent="0.3">
      <c r="A3591" s="17"/>
      <c r="B3591" s="18"/>
      <c r="C3591" s="18"/>
      <c r="D3591" s="18"/>
      <c r="E3591" s="10" t="str">
        <f>IF(B3591="","",IFERROR(INDEX(Harytlar!$C$5:$C$44,MATCH(B3591,Harytlar!$A$5:$A$44,0)),""))</f>
        <v/>
      </c>
      <c r="F3591" s="10" t="str">
        <f t="shared" si="56"/>
        <v/>
      </c>
      <c r="G3591" s="10" t="str">
        <f>IF(OR(C3591="",B3591=""),"",IFERROR(C3591*INDEX(Harytlar!$D$5:$D$44,MATCH(B3591,Harytlar!$A$5:$A$44,0)),""))</f>
        <v/>
      </c>
    </row>
    <row r="3592" spans="1:7" x14ac:dyDescent="0.3">
      <c r="A3592" s="17"/>
      <c r="B3592" s="18"/>
      <c r="C3592" s="18"/>
      <c r="D3592" s="18"/>
      <c r="E3592" s="10" t="str">
        <f>IF(B3592="","",IFERROR(INDEX(Harytlar!$C$5:$C$44,MATCH(B3592,Harytlar!$A$5:$A$44,0)),""))</f>
        <v/>
      </c>
      <c r="F3592" s="10" t="str">
        <f t="shared" si="56"/>
        <v/>
      </c>
      <c r="G3592" s="10" t="str">
        <f>IF(OR(C3592="",B3592=""),"",IFERROR(C3592*INDEX(Harytlar!$D$5:$D$44,MATCH(B3592,Harytlar!$A$5:$A$44,0)),""))</f>
        <v/>
      </c>
    </row>
    <row r="3593" spans="1:7" x14ac:dyDescent="0.3">
      <c r="A3593" s="17"/>
      <c r="B3593" s="18"/>
      <c r="C3593" s="18"/>
      <c r="D3593" s="18"/>
      <c r="E3593" s="10" t="str">
        <f>IF(B3593="","",IFERROR(INDEX(Harytlar!$C$5:$C$44,MATCH(B3593,Harytlar!$A$5:$A$44,0)),""))</f>
        <v/>
      </c>
      <c r="F3593" s="10" t="str">
        <f t="shared" si="56"/>
        <v/>
      </c>
      <c r="G3593" s="10" t="str">
        <f>IF(OR(C3593="",B3593=""),"",IFERROR(C3593*INDEX(Harytlar!$D$5:$D$44,MATCH(B3593,Harytlar!$A$5:$A$44,0)),""))</f>
        <v/>
      </c>
    </row>
    <row r="3594" spans="1:7" x14ac:dyDescent="0.3">
      <c r="A3594" s="17"/>
      <c r="B3594" s="18"/>
      <c r="C3594" s="18"/>
      <c r="D3594" s="18"/>
      <c r="E3594" s="10" t="str">
        <f>IF(B3594="","",IFERROR(INDEX(Harytlar!$C$5:$C$44,MATCH(B3594,Harytlar!$A$5:$A$44,0)),""))</f>
        <v/>
      </c>
      <c r="F3594" s="10" t="str">
        <f t="shared" si="56"/>
        <v/>
      </c>
      <c r="G3594" s="10" t="str">
        <f>IF(OR(C3594="",B3594=""),"",IFERROR(C3594*INDEX(Harytlar!$D$5:$D$44,MATCH(B3594,Harytlar!$A$5:$A$44,0)),""))</f>
        <v/>
      </c>
    </row>
    <row r="3595" spans="1:7" x14ac:dyDescent="0.3">
      <c r="A3595" s="17"/>
      <c r="B3595" s="18"/>
      <c r="C3595" s="18"/>
      <c r="D3595" s="18"/>
      <c r="E3595" s="10" t="str">
        <f>IF(B3595="","",IFERROR(INDEX(Harytlar!$C$5:$C$44,MATCH(B3595,Harytlar!$A$5:$A$44,0)),""))</f>
        <v/>
      </c>
      <c r="F3595" s="10" t="str">
        <f t="shared" si="56"/>
        <v/>
      </c>
      <c r="G3595" s="10" t="str">
        <f>IF(OR(C3595="",B3595=""),"",IFERROR(C3595*INDEX(Harytlar!$D$5:$D$44,MATCH(B3595,Harytlar!$A$5:$A$44,0)),""))</f>
        <v/>
      </c>
    </row>
    <row r="3596" spans="1:7" x14ac:dyDescent="0.3">
      <c r="A3596" s="17"/>
      <c r="B3596" s="18"/>
      <c r="C3596" s="18"/>
      <c r="D3596" s="18"/>
      <c r="E3596" s="10" t="str">
        <f>IF(B3596="","",IFERROR(INDEX(Harytlar!$C$5:$C$44,MATCH(B3596,Harytlar!$A$5:$A$44,0)),""))</f>
        <v/>
      </c>
      <c r="F3596" s="10" t="str">
        <f t="shared" si="56"/>
        <v/>
      </c>
      <c r="G3596" s="10" t="str">
        <f>IF(OR(C3596="",B3596=""),"",IFERROR(C3596*INDEX(Harytlar!$D$5:$D$44,MATCH(B3596,Harytlar!$A$5:$A$44,0)),""))</f>
        <v/>
      </c>
    </row>
    <row r="3597" spans="1:7" x14ac:dyDescent="0.3">
      <c r="A3597" s="17"/>
      <c r="B3597" s="18"/>
      <c r="C3597" s="18"/>
      <c r="D3597" s="18"/>
      <c r="E3597" s="10" t="str">
        <f>IF(B3597="","",IFERROR(INDEX(Harytlar!$C$5:$C$44,MATCH(B3597,Harytlar!$A$5:$A$44,0)),""))</f>
        <v/>
      </c>
      <c r="F3597" s="10" t="str">
        <f t="shared" si="56"/>
        <v/>
      </c>
      <c r="G3597" s="10" t="str">
        <f>IF(OR(C3597="",B3597=""),"",IFERROR(C3597*INDEX(Harytlar!$D$5:$D$44,MATCH(B3597,Harytlar!$A$5:$A$44,0)),""))</f>
        <v/>
      </c>
    </row>
    <row r="3598" spans="1:7" x14ac:dyDescent="0.3">
      <c r="A3598" s="17"/>
      <c r="B3598" s="18"/>
      <c r="C3598" s="18"/>
      <c r="D3598" s="18"/>
      <c r="E3598" s="10" t="str">
        <f>IF(B3598="","",IFERROR(INDEX(Harytlar!$C$5:$C$44,MATCH(B3598,Harytlar!$A$5:$A$44,0)),""))</f>
        <v/>
      </c>
      <c r="F3598" s="10" t="str">
        <f t="shared" si="56"/>
        <v/>
      </c>
      <c r="G3598" s="10" t="str">
        <f>IF(OR(C3598="",B3598=""),"",IFERROR(C3598*INDEX(Harytlar!$D$5:$D$44,MATCH(B3598,Harytlar!$A$5:$A$44,0)),""))</f>
        <v/>
      </c>
    </row>
    <row r="3599" spans="1:7" x14ac:dyDescent="0.3">
      <c r="A3599" s="17"/>
      <c r="B3599" s="18"/>
      <c r="C3599" s="18"/>
      <c r="D3599" s="18"/>
      <c r="E3599" s="10" t="str">
        <f>IF(B3599="","",IFERROR(INDEX(Harytlar!$C$5:$C$44,MATCH(B3599,Harytlar!$A$5:$A$44,0)),""))</f>
        <v/>
      </c>
      <c r="F3599" s="10" t="str">
        <f t="shared" si="56"/>
        <v/>
      </c>
      <c r="G3599" s="10" t="str">
        <f>IF(OR(C3599="",B3599=""),"",IFERROR(C3599*INDEX(Harytlar!$D$5:$D$44,MATCH(B3599,Harytlar!$A$5:$A$44,0)),""))</f>
        <v/>
      </c>
    </row>
    <row r="3600" spans="1:7" x14ac:dyDescent="0.3">
      <c r="A3600" s="17"/>
      <c r="B3600" s="18"/>
      <c r="C3600" s="18"/>
      <c r="D3600" s="18"/>
      <c r="E3600" s="10" t="str">
        <f>IF(B3600="","",IFERROR(INDEX(Harytlar!$C$5:$C$44,MATCH(B3600,Harytlar!$A$5:$A$44,0)),""))</f>
        <v/>
      </c>
      <c r="F3600" s="10" t="str">
        <f t="shared" si="56"/>
        <v/>
      </c>
      <c r="G3600" s="10" t="str">
        <f>IF(OR(C3600="",B3600=""),"",IFERROR(C3600*INDEX(Harytlar!$D$5:$D$44,MATCH(B3600,Harytlar!$A$5:$A$44,0)),""))</f>
        <v/>
      </c>
    </row>
    <row r="3601" spans="1:7" x14ac:dyDescent="0.3">
      <c r="A3601" s="17"/>
      <c r="B3601" s="18"/>
      <c r="C3601" s="18"/>
      <c r="D3601" s="18"/>
      <c r="E3601" s="10" t="str">
        <f>IF(B3601="","",IFERROR(INDEX(Harytlar!$C$5:$C$44,MATCH(B3601,Harytlar!$A$5:$A$44,0)),""))</f>
        <v/>
      </c>
      <c r="F3601" s="10" t="str">
        <f t="shared" si="56"/>
        <v/>
      </c>
      <c r="G3601" s="10" t="str">
        <f>IF(OR(C3601="",B3601=""),"",IFERROR(C3601*INDEX(Harytlar!$D$5:$D$44,MATCH(B3601,Harytlar!$A$5:$A$44,0)),""))</f>
        <v/>
      </c>
    </row>
    <row r="3602" spans="1:7" x14ac:dyDescent="0.3">
      <c r="A3602" s="17"/>
      <c r="B3602" s="18"/>
      <c r="C3602" s="18"/>
      <c r="D3602" s="18"/>
      <c r="E3602" s="10" t="str">
        <f>IF(B3602="","",IFERROR(INDEX(Harytlar!$C$5:$C$44,MATCH(B3602,Harytlar!$A$5:$A$44,0)),""))</f>
        <v/>
      </c>
      <c r="F3602" s="10" t="str">
        <f t="shared" si="56"/>
        <v/>
      </c>
      <c r="G3602" s="10" t="str">
        <f>IF(OR(C3602="",B3602=""),"",IFERROR(C3602*INDEX(Harytlar!$D$5:$D$44,MATCH(B3602,Harytlar!$A$5:$A$44,0)),""))</f>
        <v/>
      </c>
    </row>
    <row r="3603" spans="1:7" x14ac:dyDescent="0.3">
      <c r="A3603" s="17"/>
      <c r="B3603" s="18"/>
      <c r="C3603" s="18"/>
      <c r="D3603" s="18"/>
      <c r="E3603" s="10" t="str">
        <f>IF(B3603="","",IFERROR(INDEX(Harytlar!$C$5:$C$44,MATCH(B3603,Harytlar!$A$5:$A$44,0)),""))</f>
        <v/>
      </c>
      <c r="F3603" s="10" t="str">
        <f t="shared" si="56"/>
        <v/>
      </c>
      <c r="G3603" s="10" t="str">
        <f>IF(OR(C3603="",B3603=""),"",IFERROR(C3603*INDEX(Harytlar!$D$5:$D$44,MATCH(B3603,Harytlar!$A$5:$A$44,0)),""))</f>
        <v/>
      </c>
    </row>
    <row r="3604" spans="1:7" x14ac:dyDescent="0.3">
      <c r="A3604" s="17"/>
      <c r="B3604" s="18"/>
      <c r="C3604" s="18"/>
      <c r="D3604" s="18"/>
      <c r="E3604" s="10" t="str">
        <f>IF(B3604="","",IFERROR(INDEX(Harytlar!$C$5:$C$44,MATCH(B3604,Harytlar!$A$5:$A$44,0)),""))</f>
        <v/>
      </c>
      <c r="F3604" s="10" t="str">
        <f t="shared" si="56"/>
        <v/>
      </c>
      <c r="G3604" s="10" t="str">
        <f>IF(OR(C3604="",B3604=""),"",IFERROR(C3604*INDEX(Harytlar!$D$5:$D$44,MATCH(B3604,Harytlar!$A$5:$A$44,0)),""))</f>
        <v/>
      </c>
    </row>
    <row r="3605" spans="1:7" x14ac:dyDescent="0.3">
      <c r="A3605" s="17"/>
      <c r="B3605" s="18"/>
      <c r="C3605" s="18"/>
      <c r="D3605" s="18"/>
      <c r="E3605" s="10" t="str">
        <f>IF(B3605="","",IFERROR(INDEX(Harytlar!$C$5:$C$44,MATCH(B3605,Harytlar!$A$5:$A$44,0)),""))</f>
        <v/>
      </c>
      <c r="F3605" s="10" t="str">
        <f t="shared" si="56"/>
        <v/>
      </c>
      <c r="G3605" s="10" t="str">
        <f>IF(OR(C3605="",B3605=""),"",IFERROR(C3605*INDEX(Harytlar!$D$5:$D$44,MATCH(B3605,Harytlar!$A$5:$A$44,0)),""))</f>
        <v/>
      </c>
    </row>
    <row r="3606" spans="1:7" x14ac:dyDescent="0.3">
      <c r="A3606" s="17"/>
      <c r="B3606" s="18"/>
      <c r="C3606" s="18"/>
      <c r="D3606" s="18"/>
      <c r="E3606" s="10" t="str">
        <f>IF(B3606="","",IFERROR(INDEX(Harytlar!$C$5:$C$44,MATCH(B3606,Harytlar!$A$5:$A$44,0)),""))</f>
        <v/>
      </c>
      <c r="F3606" s="10" t="str">
        <f t="shared" si="56"/>
        <v/>
      </c>
      <c r="G3606" s="10" t="str">
        <f>IF(OR(C3606="",B3606=""),"",IFERROR(C3606*INDEX(Harytlar!$D$5:$D$44,MATCH(B3606,Harytlar!$A$5:$A$44,0)),""))</f>
        <v/>
      </c>
    </row>
    <row r="3607" spans="1:7" x14ac:dyDescent="0.3">
      <c r="A3607" s="17"/>
      <c r="B3607" s="18"/>
      <c r="C3607" s="18"/>
      <c r="D3607" s="18"/>
      <c r="E3607" s="10" t="str">
        <f>IF(B3607="","",IFERROR(INDEX(Harytlar!$C$5:$C$44,MATCH(B3607,Harytlar!$A$5:$A$44,0)),""))</f>
        <v/>
      </c>
      <c r="F3607" s="10" t="str">
        <f t="shared" si="56"/>
        <v/>
      </c>
      <c r="G3607" s="10" t="str">
        <f>IF(OR(C3607="",B3607=""),"",IFERROR(C3607*INDEX(Harytlar!$D$5:$D$44,MATCH(B3607,Harytlar!$A$5:$A$44,0)),""))</f>
        <v/>
      </c>
    </row>
    <row r="3608" spans="1:7" x14ac:dyDescent="0.3">
      <c r="A3608" s="17"/>
      <c r="B3608" s="18"/>
      <c r="C3608" s="18"/>
      <c r="D3608" s="18"/>
      <c r="E3608" s="10" t="str">
        <f>IF(B3608="","",IFERROR(INDEX(Harytlar!$C$5:$C$44,MATCH(B3608,Harytlar!$A$5:$A$44,0)),""))</f>
        <v/>
      </c>
      <c r="F3608" s="10" t="str">
        <f t="shared" si="56"/>
        <v/>
      </c>
      <c r="G3608" s="10" t="str">
        <f>IF(OR(C3608="",B3608=""),"",IFERROR(C3608*INDEX(Harytlar!$D$5:$D$44,MATCH(B3608,Harytlar!$A$5:$A$44,0)),""))</f>
        <v/>
      </c>
    </row>
    <row r="3609" spans="1:7" x14ac:dyDescent="0.3">
      <c r="A3609" s="17"/>
      <c r="B3609" s="18"/>
      <c r="C3609" s="18"/>
      <c r="D3609" s="18"/>
      <c r="E3609" s="10" t="str">
        <f>IF(B3609="","",IFERROR(INDEX(Harytlar!$C$5:$C$44,MATCH(B3609,Harytlar!$A$5:$A$44,0)),""))</f>
        <v/>
      </c>
      <c r="F3609" s="10" t="str">
        <f t="shared" si="56"/>
        <v/>
      </c>
      <c r="G3609" s="10" t="str">
        <f>IF(OR(C3609="",B3609=""),"",IFERROR(C3609*INDEX(Harytlar!$D$5:$D$44,MATCH(B3609,Harytlar!$A$5:$A$44,0)),""))</f>
        <v/>
      </c>
    </row>
    <row r="3610" spans="1:7" x14ac:dyDescent="0.3">
      <c r="A3610" s="17"/>
      <c r="B3610" s="18"/>
      <c r="C3610" s="18"/>
      <c r="D3610" s="18"/>
      <c r="E3610" s="10" t="str">
        <f>IF(B3610="","",IFERROR(INDEX(Harytlar!$C$5:$C$44,MATCH(B3610,Harytlar!$A$5:$A$44,0)),""))</f>
        <v/>
      </c>
      <c r="F3610" s="10" t="str">
        <f t="shared" si="56"/>
        <v/>
      </c>
      <c r="G3610" s="10" t="str">
        <f>IF(OR(C3610="",B3610=""),"",IFERROR(C3610*INDEX(Harytlar!$D$5:$D$44,MATCH(B3610,Harytlar!$A$5:$A$44,0)),""))</f>
        <v/>
      </c>
    </row>
    <row r="3611" spans="1:7" x14ac:dyDescent="0.3">
      <c r="A3611" s="17"/>
      <c r="B3611" s="18"/>
      <c r="C3611" s="18"/>
      <c r="D3611" s="18"/>
      <c r="E3611" s="10" t="str">
        <f>IF(B3611="","",IFERROR(INDEX(Harytlar!$C$5:$C$44,MATCH(B3611,Harytlar!$A$5:$A$44,0)),""))</f>
        <v/>
      </c>
      <c r="F3611" s="10" t="str">
        <f t="shared" si="56"/>
        <v/>
      </c>
      <c r="G3611" s="10" t="str">
        <f>IF(OR(C3611="",B3611=""),"",IFERROR(C3611*INDEX(Harytlar!$D$5:$D$44,MATCH(B3611,Harytlar!$A$5:$A$44,0)),""))</f>
        <v/>
      </c>
    </row>
    <row r="3612" spans="1:7" x14ac:dyDescent="0.3">
      <c r="A3612" s="17"/>
      <c r="B3612" s="18"/>
      <c r="C3612" s="18"/>
      <c r="D3612" s="18"/>
      <c r="E3612" s="10" t="str">
        <f>IF(B3612="","",IFERROR(INDEX(Harytlar!$C$5:$C$44,MATCH(B3612,Harytlar!$A$5:$A$44,0)),""))</f>
        <v/>
      </c>
      <c r="F3612" s="10" t="str">
        <f t="shared" si="56"/>
        <v/>
      </c>
      <c r="G3612" s="10" t="str">
        <f>IF(OR(C3612="",B3612=""),"",IFERROR(C3612*INDEX(Harytlar!$D$5:$D$44,MATCH(B3612,Harytlar!$A$5:$A$44,0)),""))</f>
        <v/>
      </c>
    </row>
    <row r="3613" spans="1:7" x14ac:dyDescent="0.3">
      <c r="A3613" s="17"/>
      <c r="B3613" s="18"/>
      <c r="C3613" s="18"/>
      <c r="D3613" s="18"/>
      <c r="E3613" s="10" t="str">
        <f>IF(B3613="","",IFERROR(INDEX(Harytlar!$C$5:$C$44,MATCH(B3613,Harytlar!$A$5:$A$44,0)),""))</f>
        <v/>
      </c>
      <c r="F3613" s="10" t="str">
        <f t="shared" si="56"/>
        <v/>
      </c>
      <c r="G3613" s="10" t="str">
        <f>IF(OR(C3613="",B3613=""),"",IFERROR(C3613*INDEX(Harytlar!$D$5:$D$44,MATCH(B3613,Harytlar!$A$5:$A$44,0)),""))</f>
        <v/>
      </c>
    </row>
    <row r="3614" spans="1:7" x14ac:dyDescent="0.3">
      <c r="A3614" s="17"/>
      <c r="B3614" s="18"/>
      <c r="C3614" s="18"/>
      <c r="D3614" s="18"/>
      <c r="E3614" s="10" t="str">
        <f>IF(B3614="","",IFERROR(INDEX(Harytlar!$C$5:$C$44,MATCH(B3614,Harytlar!$A$5:$A$44,0)),""))</f>
        <v/>
      </c>
      <c r="F3614" s="10" t="str">
        <f t="shared" si="56"/>
        <v/>
      </c>
      <c r="G3614" s="10" t="str">
        <f>IF(OR(C3614="",B3614=""),"",IFERROR(C3614*INDEX(Harytlar!$D$5:$D$44,MATCH(B3614,Harytlar!$A$5:$A$44,0)),""))</f>
        <v/>
      </c>
    </row>
    <row r="3615" spans="1:7" x14ac:dyDescent="0.3">
      <c r="A3615" s="17"/>
      <c r="B3615" s="18"/>
      <c r="C3615" s="18"/>
      <c r="D3615" s="18"/>
      <c r="E3615" s="10" t="str">
        <f>IF(B3615="","",IFERROR(INDEX(Harytlar!$C$5:$C$44,MATCH(B3615,Harytlar!$A$5:$A$44,0)),""))</f>
        <v/>
      </c>
      <c r="F3615" s="10" t="str">
        <f t="shared" si="56"/>
        <v/>
      </c>
      <c r="G3615" s="10" t="str">
        <f>IF(OR(C3615="",B3615=""),"",IFERROR(C3615*INDEX(Harytlar!$D$5:$D$44,MATCH(B3615,Harytlar!$A$5:$A$44,0)),""))</f>
        <v/>
      </c>
    </row>
    <row r="3616" spans="1:7" x14ac:dyDescent="0.3">
      <c r="A3616" s="17"/>
      <c r="B3616" s="18"/>
      <c r="C3616" s="18"/>
      <c r="D3616" s="18"/>
      <c r="E3616" s="10" t="str">
        <f>IF(B3616="","",IFERROR(INDEX(Harytlar!$C$5:$C$44,MATCH(B3616,Harytlar!$A$5:$A$44,0)),""))</f>
        <v/>
      </c>
      <c r="F3616" s="10" t="str">
        <f t="shared" si="56"/>
        <v/>
      </c>
      <c r="G3616" s="10" t="str">
        <f>IF(OR(C3616="",B3616=""),"",IFERROR(C3616*INDEX(Harytlar!$D$5:$D$44,MATCH(B3616,Harytlar!$A$5:$A$44,0)),""))</f>
        <v/>
      </c>
    </row>
    <row r="3617" spans="1:7" x14ac:dyDescent="0.3">
      <c r="A3617" s="17"/>
      <c r="B3617" s="18"/>
      <c r="C3617" s="18"/>
      <c r="D3617" s="18"/>
      <c r="E3617" s="10" t="str">
        <f>IF(B3617="","",IFERROR(INDEX(Harytlar!$C$5:$C$44,MATCH(B3617,Harytlar!$A$5:$A$44,0)),""))</f>
        <v/>
      </c>
      <c r="F3617" s="10" t="str">
        <f t="shared" si="56"/>
        <v/>
      </c>
      <c r="G3617" s="10" t="str">
        <f>IF(OR(C3617="",B3617=""),"",IFERROR(C3617*INDEX(Harytlar!$D$5:$D$44,MATCH(B3617,Harytlar!$A$5:$A$44,0)),""))</f>
        <v/>
      </c>
    </row>
    <row r="3618" spans="1:7" x14ac:dyDescent="0.3">
      <c r="A3618" s="17"/>
      <c r="B3618" s="18"/>
      <c r="C3618" s="18"/>
      <c r="D3618" s="18"/>
      <c r="E3618" s="10" t="str">
        <f>IF(B3618="","",IFERROR(INDEX(Harytlar!$C$5:$C$44,MATCH(B3618,Harytlar!$A$5:$A$44,0)),""))</f>
        <v/>
      </c>
      <c r="F3618" s="10" t="str">
        <f t="shared" si="56"/>
        <v/>
      </c>
      <c r="G3618" s="10" t="str">
        <f>IF(OR(C3618="",B3618=""),"",IFERROR(C3618*INDEX(Harytlar!$D$5:$D$44,MATCH(B3618,Harytlar!$A$5:$A$44,0)),""))</f>
        <v/>
      </c>
    </row>
    <row r="3619" spans="1:7" x14ac:dyDescent="0.3">
      <c r="A3619" s="17"/>
      <c r="B3619" s="18"/>
      <c r="C3619" s="18"/>
      <c r="D3619" s="18"/>
      <c r="E3619" s="10" t="str">
        <f>IF(B3619="","",IFERROR(INDEX(Harytlar!$C$5:$C$44,MATCH(B3619,Harytlar!$A$5:$A$44,0)),""))</f>
        <v/>
      </c>
      <c r="F3619" s="10" t="str">
        <f t="shared" si="56"/>
        <v/>
      </c>
      <c r="G3619" s="10" t="str">
        <f>IF(OR(C3619="",B3619=""),"",IFERROR(C3619*INDEX(Harytlar!$D$5:$D$44,MATCH(B3619,Harytlar!$A$5:$A$44,0)),""))</f>
        <v/>
      </c>
    </row>
    <row r="3620" spans="1:7" x14ac:dyDescent="0.3">
      <c r="A3620" s="17"/>
      <c r="B3620" s="18"/>
      <c r="C3620" s="18"/>
      <c r="D3620" s="18"/>
      <c r="E3620" s="10" t="str">
        <f>IF(B3620="","",IFERROR(INDEX(Harytlar!$C$5:$C$44,MATCH(B3620,Harytlar!$A$5:$A$44,0)),""))</f>
        <v/>
      </c>
      <c r="F3620" s="10" t="str">
        <f t="shared" si="56"/>
        <v/>
      </c>
      <c r="G3620" s="10" t="str">
        <f>IF(OR(C3620="",B3620=""),"",IFERROR(C3620*INDEX(Harytlar!$D$5:$D$44,MATCH(B3620,Harytlar!$A$5:$A$44,0)),""))</f>
        <v/>
      </c>
    </row>
    <row r="3621" spans="1:7" x14ac:dyDescent="0.3">
      <c r="A3621" s="17"/>
      <c r="B3621" s="18"/>
      <c r="C3621" s="18"/>
      <c r="D3621" s="18"/>
      <c r="E3621" s="10" t="str">
        <f>IF(B3621="","",IFERROR(INDEX(Harytlar!$C$5:$C$44,MATCH(B3621,Harytlar!$A$5:$A$44,0)),""))</f>
        <v/>
      </c>
      <c r="F3621" s="10" t="str">
        <f t="shared" si="56"/>
        <v/>
      </c>
      <c r="G3621" s="10" t="str">
        <f>IF(OR(C3621="",B3621=""),"",IFERROR(C3621*INDEX(Harytlar!$D$5:$D$44,MATCH(B3621,Harytlar!$A$5:$A$44,0)),""))</f>
        <v/>
      </c>
    </row>
    <row r="3622" spans="1:7" x14ac:dyDescent="0.3">
      <c r="A3622" s="17"/>
      <c r="B3622" s="18"/>
      <c r="C3622" s="18"/>
      <c r="D3622" s="18"/>
      <c r="E3622" s="10" t="str">
        <f>IF(B3622="","",IFERROR(INDEX(Harytlar!$C$5:$C$44,MATCH(B3622,Harytlar!$A$5:$A$44,0)),""))</f>
        <v/>
      </c>
      <c r="F3622" s="10" t="str">
        <f t="shared" si="56"/>
        <v/>
      </c>
      <c r="G3622" s="10" t="str">
        <f>IF(OR(C3622="",B3622=""),"",IFERROR(C3622*INDEX(Harytlar!$D$5:$D$44,MATCH(B3622,Harytlar!$A$5:$A$44,0)),""))</f>
        <v/>
      </c>
    </row>
    <row r="3623" spans="1:7" x14ac:dyDescent="0.3">
      <c r="A3623" s="17"/>
      <c r="B3623" s="18"/>
      <c r="C3623" s="18"/>
      <c r="D3623" s="18"/>
      <c r="E3623" s="10" t="str">
        <f>IF(B3623="","",IFERROR(INDEX(Harytlar!$C$5:$C$44,MATCH(B3623,Harytlar!$A$5:$A$44,0)),""))</f>
        <v/>
      </c>
      <c r="F3623" s="10" t="str">
        <f t="shared" si="56"/>
        <v/>
      </c>
      <c r="G3623" s="10" t="str">
        <f>IF(OR(C3623="",B3623=""),"",IFERROR(C3623*INDEX(Harytlar!$D$5:$D$44,MATCH(B3623,Harytlar!$A$5:$A$44,0)),""))</f>
        <v/>
      </c>
    </row>
    <row r="3624" spans="1:7" x14ac:dyDescent="0.3">
      <c r="A3624" s="17"/>
      <c r="B3624" s="18"/>
      <c r="C3624" s="18"/>
      <c r="D3624" s="18"/>
      <c r="E3624" s="10" t="str">
        <f>IF(B3624="","",IFERROR(INDEX(Harytlar!$C$5:$C$44,MATCH(B3624,Harytlar!$A$5:$A$44,0)),""))</f>
        <v/>
      </c>
      <c r="F3624" s="10" t="str">
        <f t="shared" si="56"/>
        <v/>
      </c>
      <c r="G3624" s="10" t="str">
        <f>IF(OR(C3624="",B3624=""),"",IFERROR(C3624*INDEX(Harytlar!$D$5:$D$44,MATCH(B3624,Harytlar!$A$5:$A$44,0)),""))</f>
        <v/>
      </c>
    </row>
    <row r="3625" spans="1:7" x14ac:dyDescent="0.3">
      <c r="A3625" s="17"/>
      <c r="B3625" s="18"/>
      <c r="C3625" s="18"/>
      <c r="D3625" s="18"/>
      <c r="E3625" s="10" t="str">
        <f>IF(B3625="","",IFERROR(INDEX(Harytlar!$C$5:$C$44,MATCH(B3625,Harytlar!$A$5:$A$44,0)),""))</f>
        <v/>
      </c>
      <c r="F3625" s="10" t="str">
        <f t="shared" si="56"/>
        <v/>
      </c>
      <c r="G3625" s="10" t="str">
        <f>IF(OR(C3625="",B3625=""),"",IFERROR(C3625*INDEX(Harytlar!$D$5:$D$44,MATCH(B3625,Harytlar!$A$5:$A$44,0)),""))</f>
        <v/>
      </c>
    </row>
    <row r="3626" spans="1:7" x14ac:dyDescent="0.3">
      <c r="A3626" s="17"/>
      <c r="B3626" s="18"/>
      <c r="C3626" s="18"/>
      <c r="D3626" s="18"/>
      <c r="E3626" s="10" t="str">
        <f>IF(B3626="","",IFERROR(INDEX(Harytlar!$C$5:$C$44,MATCH(B3626,Harytlar!$A$5:$A$44,0)),""))</f>
        <v/>
      </c>
      <c r="F3626" s="10" t="str">
        <f t="shared" si="56"/>
        <v/>
      </c>
      <c r="G3626" s="10" t="str">
        <f>IF(OR(C3626="",B3626=""),"",IFERROR(C3626*INDEX(Harytlar!$D$5:$D$44,MATCH(B3626,Harytlar!$A$5:$A$44,0)),""))</f>
        <v/>
      </c>
    </row>
    <row r="3627" spans="1:7" x14ac:dyDescent="0.3">
      <c r="A3627" s="17"/>
      <c r="B3627" s="18"/>
      <c r="C3627" s="18"/>
      <c r="D3627" s="18"/>
      <c r="E3627" s="10" t="str">
        <f>IF(B3627="","",IFERROR(INDEX(Harytlar!$C$5:$C$44,MATCH(B3627,Harytlar!$A$5:$A$44,0)),""))</f>
        <v/>
      </c>
      <c r="F3627" s="10" t="str">
        <f t="shared" si="56"/>
        <v/>
      </c>
      <c r="G3627" s="10" t="str">
        <f>IF(OR(C3627="",B3627=""),"",IFERROR(C3627*INDEX(Harytlar!$D$5:$D$44,MATCH(B3627,Harytlar!$A$5:$A$44,0)),""))</f>
        <v/>
      </c>
    </row>
    <row r="3628" spans="1:7" x14ac:dyDescent="0.3">
      <c r="A3628" s="17"/>
      <c r="B3628" s="18"/>
      <c r="C3628" s="18"/>
      <c r="D3628" s="18"/>
      <c r="E3628" s="10" t="str">
        <f>IF(B3628="","",IFERROR(INDEX(Harytlar!$C$5:$C$44,MATCH(B3628,Harytlar!$A$5:$A$44,0)),""))</f>
        <v/>
      </c>
      <c r="F3628" s="10" t="str">
        <f t="shared" si="56"/>
        <v/>
      </c>
      <c r="G3628" s="10" t="str">
        <f>IF(OR(C3628="",B3628=""),"",IFERROR(C3628*INDEX(Harytlar!$D$5:$D$44,MATCH(B3628,Harytlar!$A$5:$A$44,0)),""))</f>
        <v/>
      </c>
    </row>
    <row r="3629" spans="1:7" x14ac:dyDescent="0.3">
      <c r="A3629" s="17"/>
      <c r="B3629" s="18"/>
      <c r="C3629" s="18"/>
      <c r="D3629" s="18"/>
      <c r="E3629" s="10" t="str">
        <f>IF(B3629="","",IFERROR(INDEX(Harytlar!$C$5:$C$44,MATCH(B3629,Harytlar!$A$5:$A$44,0)),""))</f>
        <v/>
      </c>
      <c r="F3629" s="10" t="str">
        <f t="shared" si="56"/>
        <v/>
      </c>
      <c r="G3629" s="10" t="str">
        <f>IF(OR(C3629="",B3629=""),"",IFERROR(C3629*INDEX(Harytlar!$D$5:$D$44,MATCH(B3629,Harytlar!$A$5:$A$44,0)),""))</f>
        <v/>
      </c>
    </row>
    <row r="3630" spans="1:7" x14ac:dyDescent="0.3">
      <c r="A3630" s="17"/>
      <c r="B3630" s="18"/>
      <c r="C3630" s="18"/>
      <c r="D3630" s="18"/>
      <c r="E3630" s="10" t="str">
        <f>IF(B3630="","",IFERROR(INDEX(Harytlar!$C$5:$C$44,MATCH(B3630,Harytlar!$A$5:$A$44,0)),""))</f>
        <v/>
      </c>
      <c r="F3630" s="10" t="str">
        <f t="shared" si="56"/>
        <v/>
      </c>
      <c r="G3630" s="10" t="str">
        <f>IF(OR(C3630="",B3630=""),"",IFERROR(C3630*INDEX(Harytlar!$D$5:$D$44,MATCH(B3630,Harytlar!$A$5:$A$44,0)),""))</f>
        <v/>
      </c>
    </row>
    <row r="3631" spans="1:7" x14ac:dyDescent="0.3">
      <c r="A3631" s="17"/>
      <c r="B3631" s="18"/>
      <c r="C3631" s="18"/>
      <c r="D3631" s="18"/>
      <c r="E3631" s="10" t="str">
        <f>IF(B3631="","",IFERROR(INDEX(Harytlar!$C$5:$C$44,MATCH(B3631,Harytlar!$A$5:$A$44,0)),""))</f>
        <v/>
      </c>
      <c r="F3631" s="10" t="str">
        <f t="shared" si="56"/>
        <v/>
      </c>
      <c r="G3631" s="10" t="str">
        <f>IF(OR(C3631="",B3631=""),"",IFERROR(C3631*INDEX(Harytlar!$D$5:$D$44,MATCH(B3631,Harytlar!$A$5:$A$44,0)),""))</f>
        <v/>
      </c>
    </row>
    <row r="3632" spans="1:7" x14ac:dyDescent="0.3">
      <c r="A3632" s="17"/>
      <c r="B3632" s="18"/>
      <c r="C3632" s="18"/>
      <c r="D3632" s="18"/>
      <c r="E3632" s="10" t="str">
        <f>IF(B3632="","",IFERROR(INDEX(Harytlar!$C$5:$C$44,MATCH(B3632,Harytlar!$A$5:$A$44,0)),""))</f>
        <v/>
      </c>
      <c r="F3632" s="10" t="str">
        <f t="shared" si="56"/>
        <v/>
      </c>
      <c r="G3632" s="10" t="str">
        <f>IF(OR(C3632="",B3632=""),"",IFERROR(C3632*INDEX(Harytlar!$D$5:$D$44,MATCH(B3632,Harytlar!$A$5:$A$44,0)),""))</f>
        <v/>
      </c>
    </row>
    <row r="3633" spans="1:7" x14ac:dyDescent="0.3">
      <c r="A3633" s="17"/>
      <c r="B3633" s="18"/>
      <c r="C3633" s="18"/>
      <c r="D3633" s="18"/>
      <c r="E3633" s="10" t="str">
        <f>IF(B3633="","",IFERROR(INDEX(Harytlar!$C$5:$C$44,MATCH(B3633,Harytlar!$A$5:$A$44,0)),""))</f>
        <v/>
      </c>
      <c r="F3633" s="10" t="str">
        <f t="shared" si="56"/>
        <v/>
      </c>
      <c r="G3633" s="10" t="str">
        <f>IF(OR(C3633="",B3633=""),"",IFERROR(C3633*INDEX(Harytlar!$D$5:$D$44,MATCH(B3633,Harytlar!$A$5:$A$44,0)),""))</f>
        <v/>
      </c>
    </row>
    <row r="3634" spans="1:7" x14ac:dyDescent="0.3">
      <c r="A3634" s="17"/>
      <c r="B3634" s="18"/>
      <c r="C3634" s="18"/>
      <c r="D3634" s="18"/>
      <c r="E3634" s="10" t="str">
        <f>IF(B3634="","",IFERROR(INDEX(Harytlar!$C$5:$C$44,MATCH(B3634,Harytlar!$A$5:$A$44,0)),""))</f>
        <v/>
      </c>
      <c r="F3634" s="10" t="str">
        <f t="shared" si="56"/>
        <v/>
      </c>
      <c r="G3634" s="10" t="str">
        <f>IF(OR(C3634="",B3634=""),"",IFERROR(C3634*INDEX(Harytlar!$D$5:$D$44,MATCH(B3634,Harytlar!$A$5:$A$44,0)),""))</f>
        <v/>
      </c>
    </row>
    <row r="3635" spans="1:7" x14ac:dyDescent="0.3">
      <c r="A3635" s="17"/>
      <c r="B3635" s="18"/>
      <c r="C3635" s="18"/>
      <c r="D3635" s="18"/>
      <c r="E3635" s="10" t="str">
        <f>IF(B3635="","",IFERROR(INDEX(Harytlar!$C$5:$C$44,MATCH(B3635,Harytlar!$A$5:$A$44,0)),""))</f>
        <v/>
      </c>
      <c r="F3635" s="10" t="str">
        <f t="shared" si="56"/>
        <v/>
      </c>
      <c r="G3635" s="10" t="str">
        <f>IF(OR(C3635="",B3635=""),"",IFERROR(C3635*INDEX(Harytlar!$D$5:$D$44,MATCH(B3635,Harytlar!$A$5:$A$44,0)),""))</f>
        <v/>
      </c>
    </row>
    <row r="3636" spans="1:7" x14ac:dyDescent="0.3">
      <c r="A3636" s="17"/>
      <c r="B3636" s="18"/>
      <c r="C3636" s="18"/>
      <c r="D3636" s="18"/>
      <c r="E3636" s="10" t="str">
        <f>IF(B3636="","",IFERROR(INDEX(Harytlar!$C$5:$C$44,MATCH(B3636,Harytlar!$A$5:$A$44,0)),""))</f>
        <v/>
      </c>
      <c r="F3636" s="10" t="str">
        <f t="shared" si="56"/>
        <v/>
      </c>
      <c r="G3636" s="10" t="str">
        <f>IF(OR(C3636="",B3636=""),"",IFERROR(C3636*INDEX(Harytlar!$D$5:$D$44,MATCH(B3636,Harytlar!$A$5:$A$44,0)),""))</f>
        <v/>
      </c>
    </row>
    <row r="3637" spans="1:7" x14ac:dyDescent="0.3">
      <c r="A3637" s="17"/>
      <c r="B3637" s="18"/>
      <c r="C3637" s="18"/>
      <c r="D3637" s="18"/>
      <c r="E3637" s="10" t="str">
        <f>IF(B3637="","",IFERROR(INDEX(Harytlar!$C$5:$C$44,MATCH(B3637,Harytlar!$A$5:$A$44,0)),""))</f>
        <v/>
      </c>
      <c r="F3637" s="10" t="str">
        <f t="shared" si="56"/>
        <v/>
      </c>
      <c r="G3637" s="10" t="str">
        <f>IF(OR(C3637="",B3637=""),"",IFERROR(C3637*INDEX(Harytlar!$D$5:$D$44,MATCH(B3637,Harytlar!$A$5:$A$44,0)),""))</f>
        <v/>
      </c>
    </row>
    <row r="3638" spans="1:7" x14ac:dyDescent="0.3">
      <c r="A3638" s="17"/>
      <c r="B3638" s="18"/>
      <c r="C3638" s="18"/>
      <c r="D3638" s="18"/>
      <c r="E3638" s="10" t="str">
        <f>IF(B3638="","",IFERROR(INDEX(Harytlar!$C$5:$C$44,MATCH(B3638,Harytlar!$A$5:$A$44,0)),""))</f>
        <v/>
      </c>
      <c r="F3638" s="10" t="str">
        <f t="shared" si="56"/>
        <v/>
      </c>
      <c r="G3638" s="10" t="str">
        <f>IF(OR(C3638="",B3638=""),"",IFERROR(C3638*INDEX(Harytlar!$D$5:$D$44,MATCH(B3638,Harytlar!$A$5:$A$44,0)),""))</f>
        <v/>
      </c>
    </row>
    <row r="3639" spans="1:7" x14ac:dyDescent="0.3">
      <c r="A3639" s="17"/>
      <c r="B3639" s="18"/>
      <c r="C3639" s="18"/>
      <c r="D3639" s="18"/>
      <c r="E3639" s="10" t="str">
        <f>IF(B3639="","",IFERROR(INDEX(Harytlar!$C$5:$C$44,MATCH(B3639,Harytlar!$A$5:$A$44,0)),""))</f>
        <v/>
      </c>
      <c r="F3639" s="10" t="str">
        <f t="shared" si="56"/>
        <v/>
      </c>
      <c r="G3639" s="10" t="str">
        <f>IF(OR(C3639="",B3639=""),"",IFERROR(C3639*INDEX(Harytlar!$D$5:$D$44,MATCH(B3639,Harytlar!$A$5:$A$44,0)),""))</f>
        <v/>
      </c>
    </row>
    <row r="3640" spans="1:7" x14ac:dyDescent="0.3">
      <c r="A3640" s="17"/>
      <c r="B3640" s="18"/>
      <c r="C3640" s="18"/>
      <c r="D3640" s="18"/>
      <c r="E3640" s="10" t="str">
        <f>IF(B3640="","",IFERROR(INDEX(Harytlar!$C$5:$C$44,MATCH(B3640,Harytlar!$A$5:$A$44,0)),""))</f>
        <v/>
      </c>
      <c r="F3640" s="10" t="str">
        <f t="shared" si="56"/>
        <v/>
      </c>
      <c r="G3640" s="10" t="str">
        <f>IF(OR(C3640="",B3640=""),"",IFERROR(C3640*INDEX(Harytlar!$D$5:$D$44,MATCH(B3640,Harytlar!$A$5:$A$44,0)),""))</f>
        <v/>
      </c>
    </row>
    <row r="3641" spans="1:7" x14ac:dyDescent="0.3">
      <c r="A3641" s="17"/>
      <c r="B3641" s="18"/>
      <c r="C3641" s="18"/>
      <c r="D3641" s="18"/>
      <c r="E3641" s="10" t="str">
        <f>IF(B3641="","",IFERROR(INDEX(Harytlar!$C$5:$C$44,MATCH(B3641,Harytlar!$A$5:$A$44,0)),""))</f>
        <v/>
      </c>
      <c r="F3641" s="10" t="str">
        <f t="shared" si="56"/>
        <v/>
      </c>
      <c r="G3641" s="10" t="str">
        <f>IF(OR(C3641="",B3641=""),"",IFERROR(C3641*INDEX(Harytlar!$D$5:$D$44,MATCH(B3641,Harytlar!$A$5:$A$44,0)),""))</f>
        <v/>
      </c>
    </row>
    <row r="3642" spans="1:7" x14ac:dyDescent="0.3">
      <c r="A3642" s="17"/>
      <c r="B3642" s="18"/>
      <c r="C3642" s="18"/>
      <c r="D3642" s="18"/>
      <c r="E3642" s="10" t="str">
        <f>IF(B3642="","",IFERROR(INDEX(Harytlar!$C$5:$C$44,MATCH(B3642,Harytlar!$A$5:$A$44,0)),""))</f>
        <v/>
      </c>
      <c r="F3642" s="10" t="str">
        <f t="shared" si="56"/>
        <v/>
      </c>
      <c r="G3642" s="10" t="str">
        <f>IF(OR(C3642="",B3642=""),"",IFERROR(C3642*INDEX(Harytlar!$D$5:$D$44,MATCH(B3642,Harytlar!$A$5:$A$44,0)),""))</f>
        <v/>
      </c>
    </row>
    <row r="3643" spans="1:7" x14ac:dyDescent="0.3">
      <c r="A3643" s="17"/>
      <c r="B3643" s="18"/>
      <c r="C3643" s="18"/>
      <c r="D3643" s="18"/>
      <c r="E3643" s="10" t="str">
        <f>IF(B3643="","",IFERROR(INDEX(Harytlar!$C$5:$C$44,MATCH(B3643,Harytlar!$A$5:$A$44,0)),""))</f>
        <v/>
      </c>
      <c r="F3643" s="10" t="str">
        <f t="shared" si="56"/>
        <v/>
      </c>
      <c r="G3643" s="10" t="str">
        <f>IF(OR(C3643="",B3643=""),"",IFERROR(C3643*INDEX(Harytlar!$D$5:$D$44,MATCH(B3643,Harytlar!$A$5:$A$44,0)),""))</f>
        <v/>
      </c>
    </row>
    <row r="3644" spans="1:7" x14ac:dyDescent="0.3">
      <c r="A3644" s="17"/>
      <c r="B3644" s="18"/>
      <c r="C3644" s="18"/>
      <c r="D3644" s="18"/>
      <c r="E3644" s="10" t="str">
        <f>IF(B3644="","",IFERROR(INDEX(Harytlar!$C$5:$C$44,MATCH(B3644,Harytlar!$A$5:$A$44,0)),""))</f>
        <v/>
      </c>
      <c r="F3644" s="10" t="str">
        <f t="shared" si="56"/>
        <v/>
      </c>
      <c r="G3644" s="10" t="str">
        <f>IF(OR(C3644="",B3644=""),"",IFERROR(C3644*INDEX(Harytlar!$D$5:$D$44,MATCH(B3644,Harytlar!$A$5:$A$44,0)),""))</f>
        <v/>
      </c>
    </row>
    <row r="3645" spans="1:7" x14ac:dyDescent="0.3">
      <c r="A3645" s="17"/>
      <c r="B3645" s="18"/>
      <c r="C3645" s="18"/>
      <c r="D3645" s="18"/>
      <c r="E3645" s="10" t="str">
        <f>IF(B3645="","",IFERROR(INDEX(Harytlar!$C$5:$C$44,MATCH(B3645,Harytlar!$A$5:$A$44,0)),""))</f>
        <v/>
      </c>
      <c r="F3645" s="10" t="str">
        <f t="shared" si="56"/>
        <v/>
      </c>
      <c r="G3645" s="10" t="str">
        <f>IF(OR(C3645="",B3645=""),"",IFERROR(C3645*INDEX(Harytlar!$D$5:$D$44,MATCH(B3645,Harytlar!$A$5:$A$44,0)),""))</f>
        <v/>
      </c>
    </row>
    <row r="3646" spans="1:7" x14ac:dyDescent="0.3">
      <c r="A3646" s="17"/>
      <c r="B3646" s="18"/>
      <c r="C3646" s="18"/>
      <c r="D3646" s="18"/>
      <c r="E3646" s="10" t="str">
        <f>IF(B3646="","",IFERROR(INDEX(Harytlar!$C$5:$C$44,MATCH(B3646,Harytlar!$A$5:$A$44,0)),""))</f>
        <v/>
      </c>
      <c r="F3646" s="10" t="str">
        <f t="shared" si="56"/>
        <v/>
      </c>
      <c r="G3646" s="10" t="str">
        <f>IF(OR(C3646="",B3646=""),"",IFERROR(C3646*INDEX(Harytlar!$D$5:$D$44,MATCH(B3646,Harytlar!$A$5:$A$44,0)),""))</f>
        <v/>
      </c>
    </row>
    <row r="3647" spans="1:7" x14ac:dyDescent="0.3">
      <c r="A3647" s="17"/>
      <c r="B3647" s="18"/>
      <c r="C3647" s="18"/>
      <c r="D3647" s="18"/>
      <c r="E3647" s="10" t="str">
        <f>IF(B3647="","",IFERROR(INDEX(Harytlar!$C$5:$C$44,MATCH(B3647,Harytlar!$A$5:$A$44,0)),""))</f>
        <v/>
      </c>
      <c r="F3647" s="10" t="str">
        <f t="shared" si="56"/>
        <v/>
      </c>
      <c r="G3647" s="10" t="str">
        <f>IF(OR(C3647="",B3647=""),"",IFERROR(C3647*INDEX(Harytlar!$D$5:$D$44,MATCH(B3647,Harytlar!$A$5:$A$44,0)),""))</f>
        <v/>
      </c>
    </row>
    <row r="3648" spans="1:7" x14ac:dyDescent="0.3">
      <c r="A3648" s="17"/>
      <c r="B3648" s="18"/>
      <c r="C3648" s="18"/>
      <c r="D3648" s="18"/>
      <c r="E3648" s="10" t="str">
        <f>IF(B3648="","",IFERROR(INDEX(Harytlar!$C$5:$C$44,MATCH(B3648,Harytlar!$A$5:$A$44,0)),""))</f>
        <v/>
      </c>
      <c r="F3648" s="10" t="str">
        <f t="shared" si="56"/>
        <v/>
      </c>
      <c r="G3648" s="10" t="str">
        <f>IF(OR(C3648="",B3648=""),"",IFERROR(C3648*INDEX(Harytlar!$D$5:$D$44,MATCH(B3648,Harytlar!$A$5:$A$44,0)),""))</f>
        <v/>
      </c>
    </row>
    <row r="3649" spans="1:7" x14ac:dyDescent="0.3">
      <c r="A3649" s="17"/>
      <c r="B3649" s="18"/>
      <c r="C3649" s="18"/>
      <c r="D3649" s="18"/>
      <c r="E3649" s="10" t="str">
        <f>IF(B3649="","",IFERROR(INDEX(Harytlar!$C$5:$C$44,MATCH(B3649,Harytlar!$A$5:$A$44,0)),""))</f>
        <v/>
      </c>
      <c r="F3649" s="10" t="str">
        <f t="shared" si="56"/>
        <v/>
      </c>
      <c r="G3649" s="10" t="str">
        <f>IF(OR(C3649="",B3649=""),"",IFERROR(C3649*INDEX(Harytlar!$D$5:$D$44,MATCH(B3649,Harytlar!$A$5:$A$44,0)),""))</f>
        <v/>
      </c>
    </row>
    <row r="3650" spans="1:7" x14ac:dyDescent="0.3">
      <c r="A3650" s="17"/>
      <c r="B3650" s="18"/>
      <c r="C3650" s="18"/>
      <c r="D3650" s="18"/>
      <c r="E3650" s="10" t="str">
        <f>IF(B3650="","",IFERROR(INDEX(Harytlar!$C$5:$C$44,MATCH(B3650,Harytlar!$A$5:$A$44,0)),""))</f>
        <v/>
      </c>
      <c r="F3650" s="10" t="str">
        <f t="shared" si="56"/>
        <v/>
      </c>
      <c r="G3650" s="10" t="str">
        <f>IF(OR(C3650="",B3650=""),"",IFERROR(C3650*INDEX(Harytlar!$D$5:$D$44,MATCH(B3650,Harytlar!$A$5:$A$44,0)),""))</f>
        <v/>
      </c>
    </row>
    <row r="3651" spans="1:7" x14ac:dyDescent="0.3">
      <c r="A3651" s="17"/>
      <c r="B3651" s="18"/>
      <c r="C3651" s="18"/>
      <c r="D3651" s="18"/>
      <c r="E3651" s="10" t="str">
        <f>IF(B3651="","",IFERROR(INDEX(Harytlar!$C$5:$C$44,MATCH(B3651,Harytlar!$A$5:$A$44,0)),""))</f>
        <v/>
      </c>
      <c r="F3651" s="10" t="str">
        <f t="shared" si="56"/>
        <v/>
      </c>
      <c r="G3651" s="10" t="str">
        <f>IF(OR(C3651="",B3651=""),"",IFERROR(C3651*INDEX(Harytlar!$D$5:$D$44,MATCH(B3651,Harytlar!$A$5:$A$44,0)),""))</f>
        <v/>
      </c>
    </row>
    <row r="3652" spans="1:7" x14ac:dyDescent="0.3">
      <c r="A3652" s="17"/>
      <c r="B3652" s="18"/>
      <c r="C3652" s="18"/>
      <c r="D3652" s="18"/>
      <c r="E3652" s="10" t="str">
        <f>IF(B3652="","",IFERROR(INDEX(Harytlar!$C$5:$C$44,MATCH(B3652,Harytlar!$A$5:$A$44,0)),""))</f>
        <v/>
      </c>
      <c r="F3652" s="10" t="str">
        <f t="shared" si="56"/>
        <v/>
      </c>
      <c r="G3652" s="10" t="str">
        <f>IF(OR(C3652="",B3652=""),"",IFERROR(C3652*INDEX(Harytlar!$D$5:$D$44,MATCH(B3652,Harytlar!$A$5:$A$44,0)),""))</f>
        <v/>
      </c>
    </row>
    <row r="3653" spans="1:7" x14ac:dyDescent="0.3">
      <c r="A3653" s="17"/>
      <c r="B3653" s="18"/>
      <c r="C3653" s="18"/>
      <c r="D3653" s="18"/>
      <c r="E3653" s="10" t="str">
        <f>IF(B3653="","",IFERROR(INDEX(Harytlar!$C$5:$C$44,MATCH(B3653,Harytlar!$A$5:$A$44,0)),""))</f>
        <v/>
      </c>
      <c r="F3653" s="10" t="str">
        <f t="shared" si="56"/>
        <v/>
      </c>
      <c r="G3653" s="10" t="str">
        <f>IF(OR(C3653="",B3653=""),"",IFERROR(C3653*INDEX(Harytlar!$D$5:$D$44,MATCH(B3653,Harytlar!$A$5:$A$44,0)),""))</f>
        <v/>
      </c>
    </row>
    <row r="3654" spans="1:7" x14ac:dyDescent="0.3">
      <c r="A3654" s="17"/>
      <c r="B3654" s="18"/>
      <c r="C3654" s="18"/>
      <c r="D3654" s="18"/>
      <c r="E3654" s="10" t="str">
        <f>IF(B3654="","",IFERROR(INDEX(Harytlar!$C$5:$C$44,MATCH(B3654,Harytlar!$A$5:$A$44,0)),""))</f>
        <v/>
      </c>
      <c r="F3654" s="10" t="str">
        <f t="shared" ref="F3654:F3717" si="57">IF(OR(C3654="",E3654=""),"",C3654*E3654)</f>
        <v/>
      </c>
      <c r="G3654" s="10" t="str">
        <f>IF(OR(C3654="",B3654=""),"",IFERROR(C3654*INDEX(Harytlar!$D$5:$D$44,MATCH(B3654,Harytlar!$A$5:$A$44,0)),""))</f>
        <v/>
      </c>
    </row>
    <row r="3655" spans="1:7" x14ac:dyDescent="0.3">
      <c r="A3655" s="17"/>
      <c r="B3655" s="18"/>
      <c r="C3655" s="18"/>
      <c r="D3655" s="18"/>
      <c r="E3655" s="10" t="str">
        <f>IF(B3655="","",IFERROR(INDEX(Harytlar!$C$5:$C$44,MATCH(B3655,Harytlar!$A$5:$A$44,0)),""))</f>
        <v/>
      </c>
      <c r="F3655" s="10" t="str">
        <f t="shared" si="57"/>
        <v/>
      </c>
      <c r="G3655" s="10" t="str">
        <f>IF(OR(C3655="",B3655=""),"",IFERROR(C3655*INDEX(Harytlar!$D$5:$D$44,MATCH(B3655,Harytlar!$A$5:$A$44,0)),""))</f>
        <v/>
      </c>
    </row>
    <row r="3656" spans="1:7" x14ac:dyDescent="0.3">
      <c r="A3656" s="17"/>
      <c r="B3656" s="18"/>
      <c r="C3656" s="18"/>
      <c r="D3656" s="18"/>
      <c r="E3656" s="10" t="str">
        <f>IF(B3656="","",IFERROR(INDEX(Harytlar!$C$5:$C$44,MATCH(B3656,Harytlar!$A$5:$A$44,0)),""))</f>
        <v/>
      </c>
      <c r="F3656" s="10" t="str">
        <f t="shared" si="57"/>
        <v/>
      </c>
      <c r="G3656" s="10" t="str">
        <f>IF(OR(C3656="",B3656=""),"",IFERROR(C3656*INDEX(Harytlar!$D$5:$D$44,MATCH(B3656,Harytlar!$A$5:$A$44,0)),""))</f>
        <v/>
      </c>
    </row>
    <row r="3657" spans="1:7" x14ac:dyDescent="0.3">
      <c r="A3657" s="17"/>
      <c r="B3657" s="18"/>
      <c r="C3657" s="18"/>
      <c r="D3657" s="18"/>
      <c r="E3657" s="10" t="str">
        <f>IF(B3657="","",IFERROR(INDEX(Harytlar!$C$5:$C$44,MATCH(B3657,Harytlar!$A$5:$A$44,0)),""))</f>
        <v/>
      </c>
      <c r="F3657" s="10" t="str">
        <f t="shared" si="57"/>
        <v/>
      </c>
      <c r="G3657" s="10" t="str">
        <f>IF(OR(C3657="",B3657=""),"",IFERROR(C3657*INDEX(Harytlar!$D$5:$D$44,MATCH(B3657,Harytlar!$A$5:$A$44,0)),""))</f>
        <v/>
      </c>
    </row>
    <row r="3658" spans="1:7" x14ac:dyDescent="0.3">
      <c r="A3658" s="17"/>
      <c r="B3658" s="18"/>
      <c r="C3658" s="18"/>
      <c r="D3658" s="18"/>
      <c r="E3658" s="10" t="str">
        <f>IF(B3658="","",IFERROR(INDEX(Harytlar!$C$5:$C$44,MATCH(B3658,Harytlar!$A$5:$A$44,0)),""))</f>
        <v/>
      </c>
      <c r="F3658" s="10" t="str">
        <f t="shared" si="57"/>
        <v/>
      </c>
      <c r="G3658" s="10" t="str">
        <f>IF(OR(C3658="",B3658=""),"",IFERROR(C3658*INDEX(Harytlar!$D$5:$D$44,MATCH(B3658,Harytlar!$A$5:$A$44,0)),""))</f>
        <v/>
      </c>
    </row>
    <row r="3659" spans="1:7" x14ac:dyDescent="0.3">
      <c r="A3659" s="17"/>
      <c r="B3659" s="18"/>
      <c r="C3659" s="18"/>
      <c r="D3659" s="18"/>
      <c r="E3659" s="10" t="str">
        <f>IF(B3659="","",IFERROR(INDEX(Harytlar!$C$5:$C$44,MATCH(B3659,Harytlar!$A$5:$A$44,0)),""))</f>
        <v/>
      </c>
      <c r="F3659" s="10" t="str">
        <f t="shared" si="57"/>
        <v/>
      </c>
      <c r="G3659" s="10" t="str">
        <f>IF(OR(C3659="",B3659=""),"",IFERROR(C3659*INDEX(Harytlar!$D$5:$D$44,MATCH(B3659,Harytlar!$A$5:$A$44,0)),""))</f>
        <v/>
      </c>
    </row>
    <row r="3660" spans="1:7" x14ac:dyDescent="0.3">
      <c r="A3660" s="17"/>
      <c r="B3660" s="18"/>
      <c r="C3660" s="18"/>
      <c r="D3660" s="18"/>
      <c r="E3660" s="10" t="str">
        <f>IF(B3660="","",IFERROR(INDEX(Harytlar!$C$5:$C$44,MATCH(B3660,Harytlar!$A$5:$A$44,0)),""))</f>
        <v/>
      </c>
      <c r="F3660" s="10" t="str">
        <f t="shared" si="57"/>
        <v/>
      </c>
      <c r="G3660" s="10" t="str">
        <f>IF(OR(C3660="",B3660=""),"",IFERROR(C3660*INDEX(Harytlar!$D$5:$D$44,MATCH(B3660,Harytlar!$A$5:$A$44,0)),""))</f>
        <v/>
      </c>
    </row>
    <row r="3661" spans="1:7" x14ac:dyDescent="0.3">
      <c r="A3661" s="17"/>
      <c r="B3661" s="18"/>
      <c r="C3661" s="18"/>
      <c r="D3661" s="18"/>
      <c r="E3661" s="10" t="str">
        <f>IF(B3661="","",IFERROR(INDEX(Harytlar!$C$5:$C$44,MATCH(B3661,Harytlar!$A$5:$A$44,0)),""))</f>
        <v/>
      </c>
      <c r="F3661" s="10" t="str">
        <f t="shared" si="57"/>
        <v/>
      </c>
      <c r="G3661" s="10" t="str">
        <f>IF(OR(C3661="",B3661=""),"",IFERROR(C3661*INDEX(Harytlar!$D$5:$D$44,MATCH(B3661,Harytlar!$A$5:$A$44,0)),""))</f>
        <v/>
      </c>
    </row>
    <row r="3662" spans="1:7" x14ac:dyDescent="0.3">
      <c r="A3662" s="17"/>
      <c r="B3662" s="18"/>
      <c r="C3662" s="18"/>
      <c r="D3662" s="18"/>
      <c r="E3662" s="10" t="str">
        <f>IF(B3662="","",IFERROR(INDEX(Harytlar!$C$5:$C$44,MATCH(B3662,Harytlar!$A$5:$A$44,0)),""))</f>
        <v/>
      </c>
      <c r="F3662" s="10" t="str">
        <f t="shared" si="57"/>
        <v/>
      </c>
      <c r="G3662" s="10" t="str">
        <f>IF(OR(C3662="",B3662=""),"",IFERROR(C3662*INDEX(Harytlar!$D$5:$D$44,MATCH(B3662,Harytlar!$A$5:$A$44,0)),""))</f>
        <v/>
      </c>
    </row>
    <row r="3663" spans="1:7" x14ac:dyDescent="0.3">
      <c r="A3663" s="17"/>
      <c r="B3663" s="18"/>
      <c r="C3663" s="18"/>
      <c r="D3663" s="18"/>
      <c r="E3663" s="10" t="str">
        <f>IF(B3663="","",IFERROR(INDEX(Harytlar!$C$5:$C$44,MATCH(B3663,Harytlar!$A$5:$A$44,0)),""))</f>
        <v/>
      </c>
      <c r="F3663" s="10" t="str">
        <f t="shared" si="57"/>
        <v/>
      </c>
      <c r="G3663" s="10" t="str">
        <f>IF(OR(C3663="",B3663=""),"",IFERROR(C3663*INDEX(Harytlar!$D$5:$D$44,MATCH(B3663,Harytlar!$A$5:$A$44,0)),""))</f>
        <v/>
      </c>
    </row>
    <row r="3664" spans="1:7" x14ac:dyDescent="0.3">
      <c r="A3664" s="17"/>
      <c r="B3664" s="18"/>
      <c r="C3664" s="18"/>
      <c r="D3664" s="18"/>
      <c r="E3664" s="10" t="str">
        <f>IF(B3664="","",IFERROR(INDEX(Harytlar!$C$5:$C$44,MATCH(B3664,Harytlar!$A$5:$A$44,0)),""))</f>
        <v/>
      </c>
      <c r="F3664" s="10" t="str">
        <f t="shared" si="57"/>
        <v/>
      </c>
      <c r="G3664" s="10" t="str">
        <f>IF(OR(C3664="",B3664=""),"",IFERROR(C3664*INDEX(Harytlar!$D$5:$D$44,MATCH(B3664,Harytlar!$A$5:$A$44,0)),""))</f>
        <v/>
      </c>
    </row>
    <row r="3665" spans="1:7" x14ac:dyDescent="0.3">
      <c r="A3665" s="17"/>
      <c r="B3665" s="18"/>
      <c r="C3665" s="18"/>
      <c r="D3665" s="18"/>
      <c r="E3665" s="10" t="str">
        <f>IF(B3665="","",IFERROR(INDEX(Harytlar!$C$5:$C$44,MATCH(B3665,Harytlar!$A$5:$A$44,0)),""))</f>
        <v/>
      </c>
      <c r="F3665" s="10" t="str">
        <f t="shared" si="57"/>
        <v/>
      </c>
      <c r="G3665" s="10" t="str">
        <f>IF(OR(C3665="",B3665=""),"",IFERROR(C3665*INDEX(Harytlar!$D$5:$D$44,MATCH(B3665,Harytlar!$A$5:$A$44,0)),""))</f>
        <v/>
      </c>
    </row>
    <row r="3666" spans="1:7" x14ac:dyDescent="0.3">
      <c r="A3666" s="17"/>
      <c r="B3666" s="18"/>
      <c r="C3666" s="18"/>
      <c r="D3666" s="18"/>
      <c r="E3666" s="10" t="str">
        <f>IF(B3666="","",IFERROR(INDEX(Harytlar!$C$5:$C$44,MATCH(B3666,Harytlar!$A$5:$A$44,0)),""))</f>
        <v/>
      </c>
      <c r="F3666" s="10" t="str">
        <f t="shared" si="57"/>
        <v/>
      </c>
      <c r="G3666" s="10" t="str">
        <f>IF(OR(C3666="",B3666=""),"",IFERROR(C3666*INDEX(Harytlar!$D$5:$D$44,MATCH(B3666,Harytlar!$A$5:$A$44,0)),""))</f>
        <v/>
      </c>
    </row>
    <row r="3667" spans="1:7" x14ac:dyDescent="0.3">
      <c r="A3667" s="17"/>
      <c r="B3667" s="18"/>
      <c r="C3667" s="18"/>
      <c r="D3667" s="18"/>
      <c r="E3667" s="10" t="str">
        <f>IF(B3667="","",IFERROR(INDEX(Harytlar!$C$5:$C$44,MATCH(B3667,Harytlar!$A$5:$A$44,0)),""))</f>
        <v/>
      </c>
      <c r="F3667" s="10" t="str">
        <f t="shared" si="57"/>
        <v/>
      </c>
      <c r="G3667" s="10" t="str">
        <f>IF(OR(C3667="",B3667=""),"",IFERROR(C3667*INDEX(Harytlar!$D$5:$D$44,MATCH(B3667,Harytlar!$A$5:$A$44,0)),""))</f>
        <v/>
      </c>
    </row>
    <row r="3668" spans="1:7" x14ac:dyDescent="0.3">
      <c r="A3668" s="17"/>
      <c r="B3668" s="18"/>
      <c r="C3668" s="18"/>
      <c r="D3668" s="18"/>
      <c r="E3668" s="10" t="str">
        <f>IF(B3668="","",IFERROR(INDEX(Harytlar!$C$5:$C$44,MATCH(B3668,Harytlar!$A$5:$A$44,0)),""))</f>
        <v/>
      </c>
      <c r="F3668" s="10" t="str">
        <f t="shared" si="57"/>
        <v/>
      </c>
      <c r="G3668" s="10" t="str">
        <f>IF(OR(C3668="",B3668=""),"",IFERROR(C3668*INDEX(Harytlar!$D$5:$D$44,MATCH(B3668,Harytlar!$A$5:$A$44,0)),""))</f>
        <v/>
      </c>
    </row>
    <row r="3669" spans="1:7" x14ac:dyDescent="0.3">
      <c r="A3669" s="17"/>
      <c r="B3669" s="18"/>
      <c r="C3669" s="18"/>
      <c r="D3669" s="18"/>
      <c r="E3669" s="10" t="str">
        <f>IF(B3669="","",IFERROR(INDEX(Harytlar!$C$5:$C$44,MATCH(B3669,Harytlar!$A$5:$A$44,0)),""))</f>
        <v/>
      </c>
      <c r="F3669" s="10" t="str">
        <f t="shared" si="57"/>
        <v/>
      </c>
      <c r="G3669" s="10" t="str">
        <f>IF(OR(C3669="",B3669=""),"",IFERROR(C3669*INDEX(Harytlar!$D$5:$D$44,MATCH(B3669,Harytlar!$A$5:$A$44,0)),""))</f>
        <v/>
      </c>
    </row>
    <row r="3670" spans="1:7" x14ac:dyDescent="0.3">
      <c r="A3670" s="17"/>
      <c r="B3670" s="18"/>
      <c r="C3670" s="18"/>
      <c r="D3670" s="18"/>
      <c r="E3670" s="10" t="str">
        <f>IF(B3670="","",IFERROR(INDEX(Harytlar!$C$5:$C$44,MATCH(B3670,Harytlar!$A$5:$A$44,0)),""))</f>
        <v/>
      </c>
      <c r="F3670" s="10" t="str">
        <f t="shared" si="57"/>
        <v/>
      </c>
      <c r="G3670" s="10" t="str">
        <f>IF(OR(C3670="",B3670=""),"",IFERROR(C3670*INDEX(Harytlar!$D$5:$D$44,MATCH(B3670,Harytlar!$A$5:$A$44,0)),""))</f>
        <v/>
      </c>
    </row>
    <row r="3671" spans="1:7" x14ac:dyDescent="0.3">
      <c r="A3671" s="17"/>
      <c r="B3671" s="18"/>
      <c r="C3671" s="18"/>
      <c r="D3671" s="18"/>
      <c r="E3671" s="10" t="str">
        <f>IF(B3671="","",IFERROR(INDEX(Harytlar!$C$5:$C$44,MATCH(B3671,Harytlar!$A$5:$A$44,0)),""))</f>
        <v/>
      </c>
      <c r="F3671" s="10" t="str">
        <f t="shared" si="57"/>
        <v/>
      </c>
      <c r="G3671" s="10" t="str">
        <f>IF(OR(C3671="",B3671=""),"",IFERROR(C3671*INDEX(Harytlar!$D$5:$D$44,MATCH(B3671,Harytlar!$A$5:$A$44,0)),""))</f>
        <v/>
      </c>
    </row>
    <row r="3672" spans="1:7" x14ac:dyDescent="0.3">
      <c r="A3672" s="17"/>
      <c r="B3672" s="18"/>
      <c r="C3672" s="18"/>
      <c r="D3672" s="18"/>
      <c r="E3672" s="10" t="str">
        <f>IF(B3672="","",IFERROR(INDEX(Harytlar!$C$5:$C$44,MATCH(B3672,Harytlar!$A$5:$A$44,0)),""))</f>
        <v/>
      </c>
      <c r="F3672" s="10" t="str">
        <f t="shared" si="57"/>
        <v/>
      </c>
      <c r="G3672" s="10" t="str">
        <f>IF(OR(C3672="",B3672=""),"",IFERROR(C3672*INDEX(Harytlar!$D$5:$D$44,MATCH(B3672,Harytlar!$A$5:$A$44,0)),""))</f>
        <v/>
      </c>
    </row>
    <row r="3673" spans="1:7" x14ac:dyDescent="0.3">
      <c r="A3673" s="17"/>
      <c r="B3673" s="18"/>
      <c r="C3673" s="18"/>
      <c r="D3673" s="18"/>
      <c r="E3673" s="10" t="str">
        <f>IF(B3673="","",IFERROR(INDEX(Harytlar!$C$5:$C$44,MATCH(B3673,Harytlar!$A$5:$A$44,0)),""))</f>
        <v/>
      </c>
      <c r="F3673" s="10" t="str">
        <f t="shared" si="57"/>
        <v/>
      </c>
      <c r="G3673" s="10" t="str">
        <f>IF(OR(C3673="",B3673=""),"",IFERROR(C3673*INDEX(Harytlar!$D$5:$D$44,MATCH(B3673,Harytlar!$A$5:$A$44,0)),""))</f>
        <v/>
      </c>
    </row>
    <row r="3674" spans="1:7" x14ac:dyDescent="0.3">
      <c r="A3674" s="17"/>
      <c r="B3674" s="18"/>
      <c r="C3674" s="18"/>
      <c r="D3674" s="18"/>
      <c r="E3674" s="10" t="str">
        <f>IF(B3674="","",IFERROR(INDEX(Harytlar!$C$5:$C$44,MATCH(B3674,Harytlar!$A$5:$A$44,0)),""))</f>
        <v/>
      </c>
      <c r="F3674" s="10" t="str">
        <f t="shared" si="57"/>
        <v/>
      </c>
      <c r="G3674" s="10" t="str">
        <f>IF(OR(C3674="",B3674=""),"",IFERROR(C3674*INDEX(Harytlar!$D$5:$D$44,MATCH(B3674,Harytlar!$A$5:$A$44,0)),""))</f>
        <v/>
      </c>
    </row>
    <row r="3675" spans="1:7" x14ac:dyDescent="0.3">
      <c r="A3675" s="17"/>
      <c r="B3675" s="18"/>
      <c r="C3675" s="18"/>
      <c r="D3675" s="18"/>
      <c r="E3675" s="10" t="str">
        <f>IF(B3675="","",IFERROR(INDEX(Harytlar!$C$5:$C$44,MATCH(B3675,Harytlar!$A$5:$A$44,0)),""))</f>
        <v/>
      </c>
      <c r="F3675" s="10" t="str">
        <f t="shared" si="57"/>
        <v/>
      </c>
      <c r="G3675" s="10" t="str">
        <f>IF(OR(C3675="",B3675=""),"",IFERROR(C3675*INDEX(Harytlar!$D$5:$D$44,MATCH(B3675,Harytlar!$A$5:$A$44,0)),""))</f>
        <v/>
      </c>
    </row>
    <row r="3676" spans="1:7" x14ac:dyDescent="0.3">
      <c r="A3676" s="17"/>
      <c r="B3676" s="18"/>
      <c r="C3676" s="18"/>
      <c r="D3676" s="18"/>
      <c r="E3676" s="10" t="str">
        <f>IF(B3676="","",IFERROR(INDEX(Harytlar!$C$5:$C$44,MATCH(B3676,Harytlar!$A$5:$A$44,0)),""))</f>
        <v/>
      </c>
      <c r="F3676" s="10" t="str">
        <f t="shared" si="57"/>
        <v/>
      </c>
      <c r="G3676" s="10" t="str">
        <f>IF(OR(C3676="",B3676=""),"",IFERROR(C3676*INDEX(Harytlar!$D$5:$D$44,MATCH(B3676,Harytlar!$A$5:$A$44,0)),""))</f>
        <v/>
      </c>
    </row>
    <row r="3677" spans="1:7" x14ac:dyDescent="0.3">
      <c r="A3677" s="17"/>
      <c r="B3677" s="18"/>
      <c r="C3677" s="18"/>
      <c r="D3677" s="18"/>
      <c r="E3677" s="10" t="str">
        <f>IF(B3677="","",IFERROR(INDEX(Harytlar!$C$5:$C$44,MATCH(B3677,Harytlar!$A$5:$A$44,0)),""))</f>
        <v/>
      </c>
      <c r="F3677" s="10" t="str">
        <f t="shared" si="57"/>
        <v/>
      </c>
      <c r="G3677" s="10" t="str">
        <f>IF(OR(C3677="",B3677=""),"",IFERROR(C3677*INDEX(Harytlar!$D$5:$D$44,MATCH(B3677,Harytlar!$A$5:$A$44,0)),""))</f>
        <v/>
      </c>
    </row>
    <row r="3678" spans="1:7" x14ac:dyDescent="0.3">
      <c r="A3678" s="17"/>
      <c r="B3678" s="18"/>
      <c r="C3678" s="18"/>
      <c r="D3678" s="18"/>
      <c r="E3678" s="10" t="str">
        <f>IF(B3678="","",IFERROR(INDEX(Harytlar!$C$5:$C$44,MATCH(B3678,Harytlar!$A$5:$A$44,0)),""))</f>
        <v/>
      </c>
      <c r="F3678" s="10" t="str">
        <f t="shared" si="57"/>
        <v/>
      </c>
      <c r="G3678" s="10" t="str">
        <f>IF(OR(C3678="",B3678=""),"",IFERROR(C3678*INDEX(Harytlar!$D$5:$D$44,MATCH(B3678,Harytlar!$A$5:$A$44,0)),""))</f>
        <v/>
      </c>
    </row>
    <row r="3679" spans="1:7" x14ac:dyDescent="0.3">
      <c r="A3679" s="17"/>
      <c r="B3679" s="18"/>
      <c r="C3679" s="18"/>
      <c r="D3679" s="18"/>
      <c r="E3679" s="10" t="str">
        <f>IF(B3679="","",IFERROR(INDEX(Harytlar!$C$5:$C$44,MATCH(B3679,Harytlar!$A$5:$A$44,0)),""))</f>
        <v/>
      </c>
      <c r="F3679" s="10" t="str">
        <f t="shared" si="57"/>
        <v/>
      </c>
      <c r="G3679" s="10" t="str">
        <f>IF(OR(C3679="",B3679=""),"",IFERROR(C3679*INDEX(Harytlar!$D$5:$D$44,MATCH(B3679,Harytlar!$A$5:$A$44,0)),""))</f>
        <v/>
      </c>
    </row>
    <row r="3680" spans="1:7" x14ac:dyDescent="0.3">
      <c r="A3680" s="17"/>
      <c r="B3680" s="18"/>
      <c r="C3680" s="18"/>
      <c r="D3680" s="18"/>
      <c r="E3680" s="10" t="str">
        <f>IF(B3680="","",IFERROR(INDEX(Harytlar!$C$5:$C$44,MATCH(B3680,Harytlar!$A$5:$A$44,0)),""))</f>
        <v/>
      </c>
      <c r="F3680" s="10" t="str">
        <f t="shared" si="57"/>
        <v/>
      </c>
      <c r="G3680" s="10" t="str">
        <f>IF(OR(C3680="",B3680=""),"",IFERROR(C3680*INDEX(Harytlar!$D$5:$D$44,MATCH(B3680,Harytlar!$A$5:$A$44,0)),""))</f>
        <v/>
      </c>
    </row>
    <row r="3681" spans="1:7" x14ac:dyDescent="0.3">
      <c r="A3681" s="17"/>
      <c r="B3681" s="18"/>
      <c r="C3681" s="18"/>
      <c r="D3681" s="18"/>
      <c r="E3681" s="10" t="str">
        <f>IF(B3681="","",IFERROR(INDEX(Harytlar!$C$5:$C$44,MATCH(B3681,Harytlar!$A$5:$A$44,0)),""))</f>
        <v/>
      </c>
      <c r="F3681" s="10" t="str">
        <f t="shared" si="57"/>
        <v/>
      </c>
      <c r="G3681" s="10" t="str">
        <f>IF(OR(C3681="",B3681=""),"",IFERROR(C3681*INDEX(Harytlar!$D$5:$D$44,MATCH(B3681,Harytlar!$A$5:$A$44,0)),""))</f>
        <v/>
      </c>
    </row>
    <row r="3682" spans="1:7" x14ac:dyDescent="0.3">
      <c r="A3682" s="17"/>
      <c r="B3682" s="18"/>
      <c r="C3682" s="18"/>
      <c r="D3682" s="18"/>
      <c r="E3682" s="10" t="str">
        <f>IF(B3682="","",IFERROR(INDEX(Harytlar!$C$5:$C$44,MATCH(B3682,Harytlar!$A$5:$A$44,0)),""))</f>
        <v/>
      </c>
      <c r="F3682" s="10" t="str">
        <f t="shared" si="57"/>
        <v/>
      </c>
      <c r="G3682" s="10" t="str">
        <f>IF(OR(C3682="",B3682=""),"",IFERROR(C3682*INDEX(Harytlar!$D$5:$D$44,MATCH(B3682,Harytlar!$A$5:$A$44,0)),""))</f>
        <v/>
      </c>
    </row>
    <row r="3683" spans="1:7" x14ac:dyDescent="0.3">
      <c r="A3683" s="17"/>
      <c r="B3683" s="18"/>
      <c r="C3683" s="18"/>
      <c r="D3683" s="18"/>
      <c r="E3683" s="10" t="str">
        <f>IF(B3683="","",IFERROR(INDEX(Harytlar!$C$5:$C$44,MATCH(B3683,Harytlar!$A$5:$A$44,0)),""))</f>
        <v/>
      </c>
      <c r="F3683" s="10" t="str">
        <f t="shared" si="57"/>
        <v/>
      </c>
      <c r="G3683" s="10" t="str">
        <f>IF(OR(C3683="",B3683=""),"",IFERROR(C3683*INDEX(Harytlar!$D$5:$D$44,MATCH(B3683,Harytlar!$A$5:$A$44,0)),""))</f>
        <v/>
      </c>
    </row>
    <row r="3684" spans="1:7" x14ac:dyDescent="0.3">
      <c r="A3684" s="17"/>
      <c r="B3684" s="18"/>
      <c r="C3684" s="18"/>
      <c r="D3684" s="18"/>
      <c r="E3684" s="10" t="str">
        <f>IF(B3684="","",IFERROR(INDEX(Harytlar!$C$5:$C$44,MATCH(B3684,Harytlar!$A$5:$A$44,0)),""))</f>
        <v/>
      </c>
      <c r="F3684" s="10" t="str">
        <f t="shared" si="57"/>
        <v/>
      </c>
      <c r="G3684" s="10" t="str">
        <f>IF(OR(C3684="",B3684=""),"",IFERROR(C3684*INDEX(Harytlar!$D$5:$D$44,MATCH(B3684,Harytlar!$A$5:$A$44,0)),""))</f>
        <v/>
      </c>
    </row>
    <row r="3685" spans="1:7" x14ac:dyDescent="0.3">
      <c r="A3685" s="17"/>
      <c r="B3685" s="18"/>
      <c r="C3685" s="18"/>
      <c r="D3685" s="18"/>
      <c r="E3685" s="10" t="str">
        <f>IF(B3685="","",IFERROR(INDEX(Harytlar!$C$5:$C$44,MATCH(B3685,Harytlar!$A$5:$A$44,0)),""))</f>
        <v/>
      </c>
      <c r="F3685" s="10" t="str">
        <f t="shared" si="57"/>
        <v/>
      </c>
      <c r="G3685" s="10" t="str">
        <f>IF(OR(C3685="",B3685=""),"",IFERROR(C3685*INDEX(Harytlar!$D$5:$D$44,MATCH(B3685,Harytlar!$A$5:$A$44,0)),""))</f>
        <v/>
      </c>
    </row>
    <row r="3686" spans="1:7" x14ac:dyDescent="0.3">
      <c r="A3686" s="17"/>
      <c r="B3686" s="18"/>
      <c r="C3686" s="18"/>
      <c r="D3686" s="18"/>
      <c r="E3686" s="10" t="str">
        <f>IF(B3686="","",IFERROR(INDEX(Harytlar!$C$5:$C$44,MATCH(B3686,Harytlar!$A$5:$A$44,0)),""))</f>
        <v/>
      </c>
      <c r="F3686" s="10" t="str">
        <f t="shared" si="57"/>
        <v/>
      </c>
      <c r="G3686" s="10" t="str">
        <f>IF(OR(C3686="",B3686=""),"",IFERROR(C3686*INDEX(Harytlar!$D$5:$D$44,MATCH(B3686,Harytlar!$A$5:$A$44,0)),""))</f>
        <v/>
      </c>
    </row>
    <row r="3687" spans="1:7" x14ac:dyDescent="0.3">
      <c r="A3687" s="17"/>
      <c r="B3687" s="18"/>
      <c r="C3687" s="18"/>
      <c r="D3687" s="18"/>
      <c r="E3687" s="10" t="str">
        <f>IF(B3687="","",IFERROR(INDEX(Harytlar!$C$5:$C$44,MATCH(B3687,Harytlar!$A$5:$A$44,0)),""))</f>
        <v/>
      </c>
      <c r="F3687" s="10" t="str">
        <f t="shared" si="57"/>
        <v/>
      </c>
      <c r="G3687" s="10" t="str">
        <f>IF(OR(C3687="",B3687=""),"",IFERROR(C3687*INDEX(Harytlar!$D$5:$D$44,MATCH(B3687,Harytlar!$A$5:$A$44,0)),""))</f>
        <v/>
      </c>
    </row>
    <row r="3688" spans="1:7" x14ac:dyDescent="0.3">
      <c r="A3688" s="17"/>
      <c r="B3688" s="18"/>
      <c r="C3688" s="18"/>
      <c r="D3688" s="18"/>
      <c r="E3688" s="10" t="str">
        <f>IF(B3688="","",IFERROR(INDEX(Harytlar!$C$5:$C$44,MATCH(B3688,Harytlar!$A$5:$A$44,0)),""))</f>
        <v/>
      </c>
      <c r="F3688" s="10" t="str">
        <f t="shared" si="57"/>
        <v/>
      </c>
      <c r="G3688" s="10" t="str">
        <f>IF(OR(C3688="",B3688=""),"",IFERROR(C3688*INDEX(Harytlar!$D$5:$D$44,MATCH(B3688,Harytlar!$A$5:$A$44,0)),""))</f>
        <v/>
      </c>
    </row>
    <row r="3689" spans="1:7" x14ac:dyDescent="0.3">
      <c r="A3689" s="17"/>
      <c r="B3689" s="18"/>
      <c r="C3689" s="18"/>
      <c r="D3689" s="18"/>
      <c r="E3689" s="10" t="str">
        <f>IF(B3689="","",IFERROR(INDEX(Harytlar!$C$5:$C$44,MATCH(B3689,Harytlar!$A$5:$A$44,0)),""))</f>
        <v/>
      </c>
      <c r="F3689" s="10" t="str">
        <f t="shared" si="57"/>
        <v/>
      </c>
      <c r="G3689" s="10" t="str">
        <f>IF(OR(C3689="",B3689=""),"",IFERROR(C3689*INDEX(Harytlar!$D$5:$D$44,MATCH(B3689,Harytlar!$A$5:$A$44,0)),""))</f>
        <v/>
      </c>
    </row>
    <row r="3690" spans="1:7" x14ac:dyDescent="0.3">
      <c r="A3690" s="17"/>
      <c r="B3690" s="18"/>
      <c r="C3690" s="18"/>
      <c r="D3690" s="18"/>
      <c r="E3690" s="10" t="str">
        <f>IF(B3690="","",IFERROR(INDEX(Harytlar!$C$5:$C$44,MATCH(B3690,Harytlar!$A$5:$A$44,0)),""))</f>
        <v/>
      </c>
      <c r="F3690" s="10" t="str">
        <f t="shared" si="57"/>
        <v/>
      </c>
      <c r="G3690" s="10" t="str">
        <f>IF(OR(C3690="",B3690=""),"",IFERROR(C3690*INDEX(Harytlar!$D$5:$D$44,MATCH(B3690,Harytlar!$A$5:$A$44,0)),""))</f>
        <v/>
      </c>
    </row>
    <row r="3691" spans="1:7" x14ac:dyDescent="0.3">
      <c r="A3691" s="17"/>
      <c r="B3691" s="18"/>
      <c r="C3691" s="18"/>
      <c r="D3691" s="18"/>
      <c r="E3691" s="10" t="str">
        <f>IF(B3691="","",IFERROR(INDEX(Harytlar!$C$5:$C$44,MATCH(B3691,Harytlar!$A$5:$A$44,0)),""))</f>
        <v/>
      </c>
      <c r="F3691" s="10" t="str">
        <f t="shared" si="57"/>
        <v/>
      </c>
      <c r="G3691" s="10" t="str">
        <f>IF(OR(C3691="",B3691=""),"",IFERROR(C3691*INDEX(Harytlar!$D$5:$D$44,MATCH(B3691,Harytlar!$A$5:$A$44,0)),""))</f>
        <v/>
      </c>
    </row>
    <row r="3692" spans="1:7" x14ac:dyDescent="0.3">
      <c r="A3692" s="17"/>
      <c r="B3692" s="18"/>
      <c r="C3692" s="18"/>
      <c r="D3692" s="18"/>
      <c r="E3692" s="10" t="str">
        <f>IF(B3692="","",IFERROR(INDEX(Harytlar!$C$5:$C$44,MATCH(B3692,Harytlar!$A$5:$A$44,0)),""))</f>
        <v/>
      </c>
      <c r="F3692" s="10" t="str">
        <f t="shared" si="57"/>
        <v/>
      </c>
      <c r="G3692" s="10" t="str">
        <f>IF(OR(C3692="",B3692=""),"",IFERROR(C3692*INDEX(Harytlar!$D$5:$D$44,MATCH(B3692,Harytlar!$A$5:$A$44,0)),""))</f>
        <v/>
      </c>
    </row>
    <row r="3693" spans="1:7" x14ac:dyDescent="0.3">
      <c r="A3693" s="17"/>
      <c r="B3693" s="18"/>
      <c r="C3693" s="18"/>
      <c r="D3693" s="18"/>
      <c r="E3693" s="10" t="str">
        <f>IF(B3693="","",IFERROR(INDEX(Harytlar!$C$5:$C$44,MATCH(B3693,Harytlar!$A$5:$A$44,0)),""))</f>
        <v/>
      </c>
      <c r="F3693" s="10" t="str">
        <f t="shared" si="57"/>
        <v/>
      </c>
      <c r="G3693" s="10" t="str">
        <f>IF(OR(C3693="",B3693=""),"",IFERROR(C3693*INDEX(Harytlar!$D$5:$D$44,MATCH(B3693,Harytlar!$A$5:$A$44,0)),""))</f>
        <v/>
      </c>
    </row>
    <row r="3694" spans="1:7" x14ac:dyDescent="0.3">
      <c r="A3694" s="17"/>
      <c r="B3694" s="18"/>
      <c r="C3694" s="18"/>
      <c r="D3694" s="18"/>
      <c r="E3694" s="10" t="str">
        <f>IF(B3694="","",IFERROR(INDEX(Harytlar!$C$5:$C$44,MATCH(B3694,Harytlar!$A$5:$A$44,0)),""))</f>
        <v/>
      </c>
      <c r="F3694" s="10" t="str">
        <f t="shared" si="57"/>
        <v/>
      </c>
      <c r="G3694" s="10" t="str">
        <f>IF(OR(C3694="",B3694=""),"",IFERROR(C3694*INDEX(Harytlar!$D$5:$D$44,MATCH(B3694,Harytlar!$A$5:$A$44,0)),""))</f>
        <v/>
      </c>
    </row>
    <row r="3695" spans="1:7" x14ac:dyDescent="0.3">
      <c r="A3695" s="17"/>
      <c r="B3695" s="18"/>
      <c r="C3695" s="18"/>
      <c r="D3695" s="18"/>
      <c r="E3695" s="10" t="str">
        <f>IF(B3695="","",IFERROR(INDEX(Harytlar!$C$5:$C$44,MATCH(B3695,Harytlar!$A$5:$A$44,0)),""))</f>
        <v/>
      </c>
      <c r="F3695" s="10" t="str">
        <f t="shared" si="57"/>
        <v/>
      </c>
      <c r="G3695" s="10" t="str">
        <f>IF(OR(C3695="",B3695=""),"",IFERROR(C3695*INDEX(Harytlar!$D$5:$D$44,MATCH(B3695,Harytlar!$A$5:$A$44,0)),""))</f>
        <v/>
      </c>
    </row>
    <row r="3696" spans="1:7" x14ac:dyDescent="0.3">
      <c r="A3696" s="17"/>
      <c r="B3696" s="18"/>
      <c r="C3696" s="18"/>
      <c r="D3696" s="18"/>
      <c r="E3696" s="10" t="str">
        <f>IF(B3696="","",IFERROR(INDEX(Harytlar!$C$5:$C$44,MATCH(B3696,Harytlar!$A$5:$A$44,0)),""))</f>
        <v/>
      </c>
      <c r="F3696" s="10" t="str">
        <f t="shared" si="57"/>
        <v/>
      </c>
      <c r="G3696" s="10" t="str">
        <f>IF(OR(C3696="",B3696=""),"",IFERROR(C3696*INDEX(Harytlar!$D$5:$D$44,MATCH(B3696,Harytlar!$A$5:$A$44,0)),""))</f>
        <v/>
      </c>
    </row>
    <row r="3697" spans="1:7" x14ac:dyDescent="0.3">
      <c r="A3697" s="17"/>
      <c r="B3697" s="18"/>
      <c r="C3697" s="18"/>
      <c r="D3697" s="18"/>
      <c r="E3697" s="10" t="str">
        <f>IF(B3697="","",IFERROR(INDEX(Harytlar!$C$5:$C$44,MATCH(B3697,Harytlar!$A$5:$A$44,0)),""))</f>
        <v/>
      </c>
      <c r="F3697" s="10" t="str">
        <f t="shared" si="57"/>
        <v/>
      </c>
      <c r="G3697" s="10" t="str">
        <f>IF(OR(C3697="",B3697=""),"",IFERROR(C3697*INDEX(Harytlar!$D$5:$D$44,MATCH(B3697,Harytlar!$A$5:$A$44,0)),""))</f>
        <v/>
      </c>
    </row>
    <row r="3698" spans="1:7" x14ac:dyDescent="0.3">
      <c r="A3698" s="17"/>
      <c r="B3698" s="18"/>
      <c r="C3698" s="18"/>
      <c r="D3698" s="18"/>
      <c r="E3698" s="10" t="str">
        <f>IF(B3698="","",IFERROR(INDEX(Harytlar!$C$5:$C$44,MATCH(B3698,Harytlar!$A$5:$A$44,0)),""))</f>
        <v/>
      </c>
      <c r="F3698" s="10" t="str">
        <f t="shared" si="57"/>
        <v/>
      </c>
      <c r="G3698" s="10" t="str">
        <f>IF(OR(C3698="",B3698=""),"",IFERROR(C3698*INDEX(Harytlar!$D$5:$D$44,MATCH(B3698,Harytlar!$A$5:$A$44,0)),""))</f>
        <v/>
      </c>
    </row>
    <row r="3699" spans="1:7" x14ac:dyDescent="0.3">
      <c r="A3699" s="17"/>
      <c r="B3699" s="18"/>
      <c r="C3699" s="18"/>
      <c r="D3699" s="18"/>
      <c r="E3699" s="10" t="str">
        <f>IF(B3699="","",IFERROR(INDEX(Harytlar!$C$5:$C$44,MATCH(B3699,Harytlar!$A$5:$A$44,0)),""))</f>
        <v/>
      </c>
      <c r="F3699" s="10" t="str">
        <f t="shared" si="57"/>
        <v/>
      </c>
      <c r="G3699" s="10" t="str">
        <f>IF(OR(C3699="",B3699=""),"",IFERROR(C3699*INDEX(Harytlar!$D$5:$D$44,MATCH(B3699,Harytlar!$A$5:$A$44,0)),""))</f>
        <v/>
      </c>
    </row>
    <row r="3700" spans="1:7" x14ac:dyDescent="0.3">
      <c r="A3700" s="17"/>
      <c r="B3700" s="18"/>
      <c r="C3700" s="18"/>
      <c r="D3700" s="18"/>
      <c r="E3700" s="10" t="str">
        <f>IF(B3700="","",IFERROR(INDEX(Harytlar!$C$5:$C$44,MATCH(B3700,Harytlar!$A$5:$A$44,0)),""))</f>
        <v/>
      </c>
      <c r="F3700" s="10" t="str">
        <f t="shared" si="57"/>
        <v/>
      </c>
      <c r="G3700" s="10" t="str">
        <f>IF(OR(C3700="",B3700=""),"",IFERROR(C3700*INDEX(Harytlar!$D$5:$D$44,MATCH(B3700,Harytlar!$A$5:$A$44,0)),""))</f>
        <v/>
      </c>
    </row>
    <row r="3701" spans="1:7" x14ac:dyDescent="0.3">
      <c r="A3701" s="17"/>
      <c r="B3701" s="18"/>
      <c r="C3701" s="18"/>
      <c r="D3701" s="18"/>
      <c r="E3701" s="10" t="str">
        <f>IF(B3701="","",IFERROR(INDEX(Harytlar!$C$5:$C$44,MATCH(B3701,Harytlar!$A$5:$A$44,0)),""))</f>
        <v/>
      </c>
      <c r="F3701" s="10" t="str">
        <f t="shared" si="57"/>
        <v/>
      </c>
      <c r="G3701" s="10" t="str">
        <f>IF(OR(C3701="",B3701=""),"",IFERROR(C3701*INDEX(Harytlar!$D$5:$D$44,MATCH(B3701,Harytlar!$A$5:$A$44,0)),""))</f>
        <v/>
      </c>
    </row>
    <row r="3702" spans="1:7" x14ac:dyDescent="0.3">
      <c r="A3702" s="17"/>
      <c r="B3702" s="18"/>
      <c r="C3702" s="18"/>
      <c r="D3702" s="18"/>
      <c r="E3702" s="10" t="str">
        <f>IF(B3702="","",IFERROR(INDEX(Harytlar!$C$5:$C$44,MATCH(B3702,Harytlar!$A$5:$A$44,0)),""))</f>
        <v/>
      </c>
      <c r="F3702" s="10" t="str">
        <f t="shared" si="57"/>
        <v/>
      </c>
      <c r="G3702" s="10" t="str">
        <f>IF(OR(C3702="",B3702=""),"",IFERROR(C3702*INDEX(Harytlar!$D$5:$D$44,MATCH(B3702,Harytlar!$A$5:$A$44,0)),""))</f>
        <v/>
      </c>
    </row>
    <row r="3703" spans="1:7" x14ac:dyDescent="0.3">
      <c r="A3703" s="17"/>
      <c r="B3703" s="18"/>
      <c r="C3703" s="18"/>
      <c r="D3703" s="18"/>
      <c r="E3703" s="10" t="str">
        <f>IF(B3703="","",IFERROR(INDEX(Harytlar!$C$5:$C$44,MATCH(B3703,Harytlar!$A$5:$A$44,0)),""))</f>
        <v/>
      </c>
      <c r="F3703" s="10" t="str">
        <f t="shared" si="57"/>
        <v/>
      </c>
      <c r="G3703" s="10" t="str">
        <f>IF(OR(C3703="",B3703=""),"",IFERROR(C3703*INDEX(Harytlar!$D$5:$D$44,MATCH(B3703,Harytlar!$A$5:$A$44,0)),""))</f>
        <v/>
      </c>
    </row>
    <row r="3704" spans="1:7" x14ac:dyDescent="0.3">
      <c r="A3704" s="17"/>
      <c r="B3704" s="18"/>
      <c r="C3704" s="18"/>
      <c r="D3704" s="18"/>
      <c r="E3704" s="10" t="str">
        <f>IF(B3704="","",IFERROR(INDEX(Harytlar!$C$5:$C$44,MATCH(B3704,Harytlar!$A$5:$A$44,0)),""))</f>
        <v/>
      </c>
      <c r="F3704" s="10" t="str">
        <f t="shared" si="57"/>
        <v/>
      </c>
      <c r="G3704" s="10" t="str">
        <f>IF(OR(C3704="",B3704=""),"",IFERROR(C3704*INDEX(Harytlar!$D$5:$D$44,MATCH(B3704,Harytlar!$A$5:$A$44,0)),""))</f>
        <v/>
      </c>
    </row>
    <row r="3705" spans="1:7" x14ac:dyDescent="0.3">
      <c r="A3705" s="17"/>
      <c r="B3705" s="18"/>
      <c r="C3705" s="18"/>
      <c r="D3705" s="18"/>
      <c r="E3705" s="10" t="str">
        <f>IF(B3705="","",IFERROR(INDEX(Harytlar!$C$5:$C$44,MATCH(B3705,Harytlar!$A$5:$A$44,0)),""))</f>
        <v/>
      </c>
      <c r="F3705" s="10" t="str">
        <f t="shared" si="57"/>
        <v/>
      </c>
      <c r="G3705" s="10" t="str">
        <f>IF(OR(C3705="",B3705=""),"",IFERROR(C3705*INDEX(Harytlar!$D$5:$D$44,MATCH(B3705,Harytlar!$A$5:$A$44,0)),""))</f>
        <v/>
      </c>
    </row>
    <row r="3706" spans="1:7" x14ac:dyDescent="0.3">
      <c r="A3706" s="17"/>
      <c r="B3706" s="18"/>
      <c r="C3706" s="18"/>
      <c r="D3706" s="18"/>
      <c r="E3706" s="10" t="str">
        <f>IF(B3706="","",IFERROR(INDEX(Harytlar!$C$5:$C$44,MATCH(B3706,Harytlar!$A$5:$A$44,0)),""))</f>
        <v/>
      </c>
      <c r="F3706" s="10" t="str">
        <f t="shared" si="57"/>
        <v/>
      </c>
      <c r="G3706" s="10" t="str">
        <f>IF(OR(C3706="",B3706=""),"",IFERROR(C3706*INDEX(Harytlar!$D$5:$D$44,MATCH(B3706,Harytlar!$A$5:$A$44,0)),""))</f>
        <v/>
      </c>
    </row>
    <row r="3707" spans="1:7" x14ac:dyDescent="0.3">
      <c r="A3707" s="17"/>
      <c r="B3707" s="18"/>
      <c r="C3707" s="18"/>
      <c r="D3707" s="18"/>
      <c r="E3707" s="10" t="str">
        <f>IF(B3707="","",IFERROR(INDEX(Harytlar!$C$5:$C$44,MATCH(B3707,Harytlar!$A$5:$A$44,0)),""))</f>
        <v/>
      </c>
      <c r="F3707" s="10" t="str">
        <f t="shared" si="57"/>
        <v/>
      </c>
      <c r="G3707" s="10" t="str">
        <f>IF(OR(C3707="",B3707=""),"",IFERROR(C3707*INDEX(Harytlar!$D$5:$D$44,MATCH(B3707,Harytlar!$A$5:$A$44,0)),""))</f>
        <v/>
      </c>
    </row>
    <row r="3708" spans="1:7" x14ac:dyDescent="0.3">
      <c r="A3708" s="17"/>
      <c r="B3708" s="18"/>
      <c r="C3708" s="18"/>
      <c r="D3708" s="18"/>
      <c r="E3708" s="10" t="str">
        <f>IF(B3708="","",IFERROR(INDEX(Harytlar!$C$5:$C$44,MATCH(B3708,Harytlar!$A$5:$A$44,0)),""))</f>
        <v/>
      </c>
      <c r="F3708" s="10" t="str">
        <f t="shared" si="57"/>
        <v/>
      </c>
      <c r="G3708" s="10" t="str">
        <f>IF(OR(C3708="",B3708=""),"",IFERROR(C3708*INDEX(Harytlar!$D$5:$D$44,MATCH(B3708,Harytlar!$A$5:$A$44,0)),""))</f>
        <v/>
      </c>
    </row>
    <row r="3709" spans="1:7" x14ac:dyDescent="0.3">
      <c r="A3709" s="17"/>
      <c r="B3709" s="18"/>
      <c r="C3709" s="18"/>
      <c r="D3709" s="18"/>
      <c r="E3709" s="10" t="str">
        <f>IF(B3709="","",IFERROR(INDEX(Harytlar!$C$5:$C$44,MATCH(B3709,Harytlar!$A$5:$A$44,0)),""))</f>
        <v/>
      </c>
      <c r="F3709" s="10" t="str">
        <f t="shared" si="57"/>
        <v/>
      </c>
      <c r="G3709" s="10" t="str">
        <f>IF(OR(C3709="",B3709=""),"",IFERROR(C3709*INDEX(Harytlar!$D$5:$D$44,MATCH(B3709,Harytlar!$A$5:$A$44,0)),""))</f>
        <v/>
      </c>
    </row>
    <row r="3710" spans="1:7" x14ac:dyDescent="0.3">
      <c r="A3710" s="17"/>
      <c r="B3710" s="18"/>
      <c r="C3710" s="18"/>
      <c r="D3710" s="18"/>
      <c r="E3710" s="10" t="str">
        <f>IF(B3710="","",IFERROR(INDEX(Harytlar!$C$5:$C$44,MATCH(B3710,Harytlar!$A$5:$A$44,0)),""))</f>
        <v/>
      </c>
      <c r="F3710" s="10" t="str">
        <f t="shared" si="57"/>
        <v/>
      </c>
      <c r="G3710" s="10" t="str">
        <f>IF(OR(C3710="",B3710=""),"",IFERROR(C3710*INDEX(Harytlar!$D$5:$D$44,MATCH(B3710,Harytlar!$A$5:$A$44,0)),""))</f>
        <v/>
      </c>
    </row>
    <row r="3711" spans="1:7" x14ac:dyDescent="0.3">
      <c r="A3711" s="17"/>
      <c r="B3711" s="18"/>
      <c r="C3711" s="18"/>
      <c r="D3711" s="18"/>
      <c r="E3711" s="10" t="str">
        <f>IF(B3711="","",IFERROR(INDEX(Harytlar!$C$5:$C$44,MATCH(B3711,Harytlar!$A$5:$A$44,0)),""))</f>
        <v/>
      </c>
      <c r="F3711" s="10" t="str">
        <f t="shared" si="57"/>
        <v/>
      </c>
      <c r="G3711" s="10" t="str">
        <f>IF(OR(C3711="",B3711=""),"",IFERROR(C3711*INDEX(Harytlar!$D$5:$D$44,MATCH(B3711,Harytlar!$A$5:$A$44,0)),""))</f>
        <v/>
      </c>
    </row>
    <row r="3712" spans="1:7" x14ac:dyDescent="0.3">
      <c r="A3712" s="17"/>
      <c r="B3712" s="18"/>
      <c r="C3712" s="18"/>
      <c r="D3712" s="18"/>
      <c r="E3712" s="10" t="str">
        <f>IF(B3712="","",IFERROR(INDEX(Harytlar!$C$5:$C$44,MATCH(B3712,Harytlar!$A$5:$A$44,0)),""))</f>
        <v/>
      </c>
      <c r="F3712" s="10" t="str">
        <f t="shared" si="57"/>
        <v/>
      </c>
      <c r="G3712" s="10" t="str">
        <f>IF(OR(C3712="",B3712=""),"",IFERROR(C3712*INDEX(Harytlar!$D$5:$D$44,MATCH(B3712,Harytlar!$A$5:$A$44,0)),""))</f>
        <v/>
      </c>
    </row>
    <row r="3713" spans="1:7" x14ac:dyDescent="0.3">
      <c r="A3713" s="17"/>
      <c r="B3713" s="18"/>
      <c r="C3713" s="18"/>
      <c r="D3713" s="18"/>
      <c r="E3713" s="10" t="str">
        <f>IF(B3713="","",IFERROR(INDEX(Harytlar!$C$5:$C$44,MATCH(B3713,Harytlar!$A$5:$A$44,0)),""))</f>
        <v/>
      </c>
      <c r="F3713" s="10" t="str">
        <f t="shared" si="57"/>
        <v/>
      </c>
      <c r="G3713" s="10" t="str">
        <f>IF(OR(C3713="",B3713=""),"",IFERROR(C3713*INDEX(Harytlar!$D$5:$D$44,MATCH(B3713,Harytlar!$A$5:$A$44,0)),""))</f>
        <v/>
      </c>
    </row>
    <row r="3714" spans="1:7" x14ac:dyDescent="0.3">
      <c r="A3714" s="17"/>
      <c r="B3714" s="18"/>
      <c r="C3714" s="18"/>
      <c r="D3714" s="18"/>
      <c r="E3714" s="10" t="str">
        <f>IF(B3714="","",IFERROR(INDEX(Harytlar!$C$5:$C$44,MATCH(B3714,Harytlar!$A$5:$A$44,0)),""))</f>
        <v/>
      </c>
      <c r="F3714" s="10" t="str">
        <f t="shared" si="57"/>
        <v/>
      </c>
      <c r="G3714" s="10" t="str">
        <f>IF(OR(C3714="",B3714=""),"",IFERROR(C3714*INDEX(Harytlar!$D$5:$D$44,MATCH(B3714,Harytlar!$A$5:$A$44,0)),""))</f>
        <v/>
      </c>
    </row>
    <row r="3715" spans="1:7" x14ac:dyDescent="0.3">
      <c r="A3715" s="17"/>
      <c r="B3715" s="18"/>
      <c r="C3715" s="18"/>
      <c r="D3715" s="18"/>
      <c r="E3715" s="10" t="str">
        <f>IF(B3715="","",IFERROR(INDEX(Harytlar!$C$5:$C$44,MATCH(B3715,Harytlar!$A$5:$A$44,0)),""))</f>
        <v/>
      </c>
      <c r="F3715" s="10" t="str">
        <f t="shared" si="57"/>
        <v/>
      </c>
      <c r="G3715" s="10" t="str">
        <f>IF(OR(C3715="",B3715=""),"",IFERROR(C3715*INDEX(Harytlar!$D$5:$D$44,MATCH(B3715,Harytlar!$A$5:$A$44,0)),""))</f>
        <v/>
      </c>
    </row>
    <row r="3716" spans="1:7" x14ac:dyDescent="0.3">
      <c r="A3716" s="17"/>
      <c r="B3716" s="18"/>
      <c r="C3716" s="18"/>
      <c r="D3716" s="18"/>
      <c r="E3716" s="10" t="str">
        <f>IF(B3716="","",IFERROR(INDEX(Harytlar!$C$5:$C$44,MATCH(B3716,Harytlar!$A$5:$A$44,0)),""))</f>
        <v/>
      </c>
      <c r="F3716" s="10" t="str">
        <f t="shared" si="57"/>
        <v/>
      </c>
      <c r="G3716" s="10" t="str">
        <f>IF(OR(C3716="",B3716=""),"",IFERROR(C3716*INDEX(Harytlar!$D$5:$D$44,MATCH(B3716,Harytlar!$A$5:$A$44,0)),""))</f>
        <v/>
      </c>
    </row>
    <row r="3717" spans="1:7" x14ac:dyDescent="0.3">
      <c r="A3717" s="17"/>
      <c r="B3717" s="18"/>
      <c r="C3717" s="18"/>
      <c r="D3717" s="18"/>
      <c r="E3717" s="10" t="str">
        <f>IF(B3717="","",IFERROR(INDEX(Harytlar!$C$5:$C$44,MATCH(B3717,Harytlar!$A$5:$A$44,0)),""))</f>
        <v/>
      </c>
      <c r="F3717" s="10" t="str">
        <f t="shared" si="57"/>
        <v/>
      </c>
      <c r="G3717" s="10" t="str">
        <f>IF(OR(C3717="",B3717=""),"",IFERROR(C3717*INDEX(Harytlar!$D$5:$D$44,MATCH(B3717,Harytlar!$A$5:$A$44,0)),""))</f>
        <v/>
      </c>
    </row>
    <row r="3718" spans="1:7" x14ac:dyDescent="0.3">
      <c r="A3718" s="17"/>
      <c r="B3718" s="18"/>
      <c r="C3718" s="18"/>
      <c r="D3718" s="18"/>
      <c r="E3718" s="10" t="str">
        <f>IF(B3718="","",IFERROR(INDEX(Harytlar!$C$5:$C$44,MATCH(B3718,Harytlar!$A$5:$A$44,0)),""))</f>
        <v/>
      </c>
      <c r="F3718" s="10" t="str">
        <f t="shared" ref="F3718:F3781" si="58">IF(OR(C3718="",E3718=""),"",C3718*E3718)</f>
        <v/>
      </c>
      <c r="G3718" s="10" t="str">
        <f>IF(OR(C3718="",B3718=""),"",IFERROR(C3718*INDEX(Harytlar!$D$5:$D$44,MATCH(B3718,Harytlar!$A$5:$A$44,0)),""))</f>
        <v/>
      </c>
    </row>
    <row r="3719" spans="1:7" x14ac:dyDescent="0.3">
      <c r="A3719" s="17"/>
      <c r="B3719" s="18"/>
      <c r="C3719" s="18"/>
      <c r="D3719" s="18"/>
      <c r="E3719" s="10" t="str">
        <f>IF(B3719="","",IFERROR(INDEX(Harytlar!$C$5:$C$44,MATCH(B3719,Harytlar!$A$5:$A$44,0)),""))</f>
        <v/>
      </c>
      <c r="F3719" s="10" t="str">
        <f t="shared" si="58"/>
        <v/>
      </c>
      <c r="G3719" s="10" t="str">
        <f>IF(OR(C3719="",B3719=""),"",IFERROR(C3719*INDEX(Harytlar!$D$5:$D$44,MATCH(B3719,Harytlar!$A$5:$A$44,0)),""))</f>
        <v/>
      </c>
    </row>
    <row r="3720" spans="1:7" x14ac:dyDescent="0.3">
      <c r="A3720" s="17"/>
      <c r="B3720" s="18"/>
      <c r="C3720" s="18"/>
      <c r="D3720" s="18"/>
      <c r="E3720" s="10" t="str">
        <f>IF(B3720="","",IFERROR(INDEX(Harytlar!$C$5:$C$44,MATCH(B3720,Harytlar!$A$5:$A$44,0)),""))</f>
        <v/>
      </c>
      <c r="F3720" s="10" t="str">
        <f t="shared" si="58"/>
        <v/>
      </c>
      <c r="G3720" s="10" t="str">
        <f>IF(OR(C3720="",B3720=""),"",IFERROR(C3720*INDEX(Harytlar!$D$5:$D$44,MATCH(B3720,Harytlar!$A$5:$A$44,0)),""))</f>
        <v/>
      </c>
    </row>
    <row r="3721" spans="1:7" x14ac:dyDescent="0.3">
      <c r="A3721" s="17"/>
      <c r="B3721" s="18"/>
      <c r="C3721" s="18"/>
      <c r="D3721" s="18"/>
      <c r="E3721" s="10" t="str">
        <f>IF(B3721="","",IFERROR(INDEX(Harytlar!$C$5:$C$44,MATCH(B3721,Harytlar!$A$5:$A$44,0)),""))</f>
        <v/>
      </c>
      <c r="F3721" s="10" t="str">
        <f t="shared" si="58"/>
        <v/>
      </c>
      <c r="G3721" s="10" t="str">
        <f>IF(OR(C3721="",B3721=""),"",IFERROR(C3721*INDEX(Harytlar!$D$5:$D$44,MATCH(B3721,Harytlar!$A$5:$A$44,0)),""))</f>
        <v/>
      </c>
    </row>
    <row r="3722" spans="1:7" x14ac:dyDescent="0.3">
      <c r="A3722" s="17"/>
      <c r="B3722" s="18"/>
      <c r="C3722" s="18"/>
      <c r="D3722" s="18"/>
      <c r="E3722" s="10" t="str">
        <f>IF(B3722="","",IFERROR(INDEX(Harytlar!$C$5:$C$44,MATCH(B3722,Harytlar!$A$5:$A$44,0)),""))</f>
        <v/>
      </c>
      <c r="F3722" s="10" t="str">
        <f t="shared" si="58"/>
        <v/>
      </c>
      <c r="G3722" s="10" t="str">
        <f>IF(OR(C3722="",B3722=""),"",IFERROR(C3722*INDEX(Harytlar!$D$5:$D$44,MATCH(B3722,Harytlar!$A$5:$A$44,0)),""))</f>
        <v/>
      </c>
    </row>
    <row r="3723" spans="1:7" x14ac:dyDescent="0.3">
      <c r="A3723" s="17"/>
      <c r="B3723" s="18"/>
      <c r="C3723" s="18"/>
      <c r="D3723" s="18"/>
      <c r="E3723" s="10" t="str">
        <f>IF(B3723="","",IFERROR(INDEX(Harytlar!$C$5:$C$44,MATCH(B3723,Harytlar!$A$5:$A$44,0)),""))</f>
        <v/>
      </c>
      <c r="F3723" s="10" t="str">
        <f t="shared" si="58"/>
        <v/>
      </c>
      <c r="G3723" s="10" t="str">
        <f>IF(OR(C3723="",B3723=""),"",IFERROR(C3723*INDEX(Harytlar!$D$5:$D$44,MATCH(B3723,Harytlar!$A$5:$A$44,0)),""))</f>
        <v/>
      </c>
    </row>
    <row r="3724" spans="1:7" x14ac:dyDescent="0.3">
      <c r="A3724" s="17"/>
      <c r="B3724" s="18"/>
      <c r="C3724" s="18"/>
      <c r="D3724" s="18"/>
      <c r="E3724" s="10" t="str">
        <f>IF(B3724="","",IFERROR(INDEX(Harytlar!$C$5:$C$44,MATCH(B3724,Harytlar!$A$5:$A$44,0)),""))</f>
        <v/>
      </c>
      <c r="F3724" s="10" t="str">
        <f t="shared" si="58"/>
        <v/>
      </c>
      <c r="G3724" s="10" t="str">
        <f>IF(OR(C3724="",B3724=""),"",IFERROR(C3724*INDEX(Harytlar!$D$5:$D$44,MATCH(B3724,Harytlar!$A$5:$A$44,0)),""))</f>
        <v/>
      </c>
    </row>
    <row r="3725" spans="1:7" x14ac:dyDescent="0.3">
      <c r="A3725" s="17"/>
      <c r="B3725" s="18"/>
      <c r="C3725" s="18"/>
      <c r="D3725" s="18"/>
      <c r="E3725" s="10" t="str">
        <f>IF(B3725="","",IFERROR(INDEX(Harytlar!$C$5:$C$44,MATCH(B3725,Harytlar!$A$5:$A$44,0)),""))</f>
        <v/>
      </c>
      <c r="F3725" s="10" t="str">
        <f t="shared" si="58"/>
        <v/>
      </c>
      <c r="G3725" s="10" t="str">
        <f>IF(OR(C3725="",B3725=""),"",IFERROR(C3725*INDEX(Harytlar!$D$5:$D$44,MATCH(B3725,Harytlar!$A$5:$A$44,0)),""))</f>
        <v/>
      </c>
    </row>
    <row r="3726" spans="1:7" x14ac:dyDescent="0.3">
      <c r="A3726" s="17"/>
      <c r="B3726" s="18"/>
      <c r="C3726" s="18"/>
      <c r="D3726" s="18"/>
      <c r="E3726" s="10" t="str">
        <f>IF(B3726="","",IFERROR(INDEX(Harytlar!$C$5:$C$44,MATCH(B3726,Harytlar!$A$5:$A$44,0)),""))</f>
        <v/>
      </c>
      <c r="F3726" s="10" t="str">
        <f t="shared" si="58"/>
        <v/>
      </c>
      <c r="G3726" s="10" t="str">
        <f>IF(OR(C3726="",B3726=""),"",IFERROR(C3726*INDEX(Harytlar!$D$5:$D$44,MATCH(B3726,Harytlar!$A$5:$A$44,0)),""))</f>
        <v/>
      </c>
    </row>
    <row r="3727" spans="1:7" x14ac:dyDescent="0.3">
      <c r="A3727" s="17"/>
      <c r="B3727" s="18"/>
      <c r="C3727" s="18"/>
      <c r="D3727" s="18"/>
      <c r="E3727" s="10" t="str">
        <f>IF(B3727="","",IFERROR(INDEX(Harytlar!$C$5:$C$44,MATCH(B3727,Harytlar!$A$5:$A$44,0)),""))</f>
        <v/>
      </c>
      <c r="F3727" s="10" t="str">
        <f t="shared" si="58"/>
        <v/>
      </c>
      <c r="G3727" s="10" t="str">
        <f>IF(OR(C3727="",B3727=""),"",IFERROR(C3727*INDEX(Harytlar!$D$5:$D$44,MATCH(B3727,Harytlar!$A$5:$A$44,0)),""))</f>
        <v/>
      </c>
    </row>
    <row r="3728" spans="1:7" x14ac:dyDescent="0.3">
      <c r="A3728" s="17"/>
      <c r="B3728" s="18"/>
      <c r="C3728" s="18"/>
      <c r="D3728" s="18"/>
      <c r="E3728" s="10" t="str">
        <f>IF(B3728="","",IFERROR(INDEX(Harytlar!$C$5:$C$44,MATCH(B3728,Harytlar!$A$5:$A$44,0)),""))</f>
        <v/>
      </c>
      <c r="F3728" s="10" t="str">
        <f t="shared" si="58"/>
        <v/>
      </c>
      <c r="G3728" s="10" t="str">
        <f>IF(OR(C3728="",B3728=""),"",IFERROR(C3728*INDEX(Harytlar!$D$5:$D$44,MATCH(B3728,Harytlar!$A$5:$A$44,0)),""))</f>
        <v/>
      </c>
    </row>
    <row r="3729" spans="1:7" x14ac:dyDescent="0.3">
      <c r="A3729" s="17"/>
      <c r="B3729" s="18"/>
      <c r="C3729" s="18"/>
      <c r="D3729" s="18"/>
      <c r="E3729" s="10" t="str">
        <f>IF(B3729="","",IFERROR(INDEX(Harytlar!$C$5:$C$44,MATCH(B3729,Harytlar!$A$5:$A$44,0)),""))</f>
        <v/>
      </c>
      <c r="F3729" s="10" t="str">
        <f t="shared" si="58"/>
        <v/>
      </c>
      <c r="G3729" s="10" t="str">
        <f>IF(OR(C3729="",B3729=""),"",IFERROR(C3729*INDEX(Harytlar!$D$5:$D$44,MATCH(B3729,Harytlar!$A$5:$A$44,0)),""))</f>
        <v/>
      </c>
    </row>
    <row r="3730" spans="1:7" x14ac:dyDescent="0.3">
      <c r="A3730" s="17"/>
      <c r="B3730" s="18"/>
      <c r="C3730" s="18"/>
      <c r="D3730" s="18"/>
      <c r="E3730" s="10" t="str">
        <f>IF(B3730="","",IFERROR(INDEX(Harytlar!$C$5:$C$44,MATCH(B3730,Harytlar!$A$5:$A$44,0)),""))</f>
        <v/>
      </c>
      <c r="F3730" s="10" t="str">
        <f t="shared" si="58"/>
        <v/>
      </c>
      <c r="G3730" s="10" t="str">
        <f>IF(OR(C3730="",B3730=""),"",IFERROR(C3730*INDEX(Harytlar!$D$5:$D$44,MATCH(B3730,Harytlar!$A$5:$A$44,0)),""))</f>
        <v/>
      </c>
    </row>
    <row r="3731" spans="1:7" x14ac:dyDescent="0.3">
      <c r="A3731" s="17"/>
      <c r="B3731" s="18"/>
      <c r="C3731" s="18"/>
      <c r="D3731" s="18"/>
      <c r="E3731" s="10" t="str">
        <f>IF(B3731="","",IFERROR(INDEX(Harytlar!$C$5:$C$44,MATCH(B3731,Harytlar!$A$5:$A$44,0)),""))</f>
        <v/>
      </c>
      <c r="F3731" s="10" t="str">
        <f t="shared" si="58"/>
        <v/>
      </c>
      <c r="G3731" s="10" t="str">
        <f>IF(OR(C3731="",B3731=""),"",IFERROR(C3731*INDEX(Harytlar!$D$5:$D$44,MATCH(B3731,Harytlar!$A$5:$A$44,0)),""))</f>
        <v/>
      </c>
    </row>
    <row r="3732" spans="1:7" x14ac:dyDescent="0.3">
      <c r="A3732" s="17"/>
      <c r="B3732" s="18"/>
      <c r="C3732" s="18"/>
      <c r="D3732" s="18"/>
      <c r="E3732" s="10" t="str">
        <f>IF(B3732="","",IFERROR(INDEX(Harytlar!$C$5:$C$44,MATCH(B3732,Harytlar!$A$5:$A$44,0)),""))</f>
        <v/>
      </c>
      <c r="F3732" s="10" t="str">
        <f t="shared" si="58"/>
        <v/>
      </c>
      <c r="G3732" s="10" t="str">
        <f>IF(OR(C3732="",B3732=""),"",IFERROR(C3732*INDEX(Harytlar!$D$5:$D$44,MATCH(B3732,Harytlar!$A$5:$A$44,0)),""))</f>
        <v/>
      </c>
    </row>
    <row r="3733" spans="1:7" x14ac:dyDescent="0.3">
      <c r="A3733" s="17"/>
      <c r="B3733" s="18"/>
      <c r="C3733" s="18"/>
      <c r="D3733" s="18"/>
      <c r="E3733" s="10" t="str">
        <f>IF(B3733="","",IFERROR(INDEX(Harytlar!$C$5:$C$44,MATCH(B3733,Harytlar!$A$5:$A$44,0)),""))</f>
        <v/>
      </c>
      <c r="F3733" s="10" t="str">
        <f t="shared" si="58"/>
        <v/>
      </c>
      <c r="G3733" s="10" t="str">
        <f>IF(OR(C3733="",B3733=""),"",IFERROR(C3733*INDEX(Harytlar!$D$5:$D$44,MATCH(B3733,Harytlar!$A$5:$A$44,0)),""))</f>
        <v/>
      </c>
    </row>
    <row r="3734" spans="1:7" x14ac:dyDescent="0.3">
      <c r="A3734" s="17"/>
      <c r="B3734" s="18"/>
      <c r="C3734" s="18"/>
      <c r="D3734" s="18"/>
      <c r="E3734" s="10" t="str">
        <f>IF(B3734="","",IFERROR(INDEX(Harytlar!$C$5:$C$44,MATCH(B3734,Harytlar!$A$5:$A$44,0)),""))</f>
        <v/>
      </c>
      <c r="F3734" s="10" t="str">
        <f t="shared" si="58"/>
        <v/>
      </c>
      <c r="G3734" s="10" t="str">
        <f>IF(OR(C3734="",B3734=""),"",IFERROR(C3734*INDEX(Harytlar!$D$5:$D$44,MATCH(B3734,Harytlar!$A$5:$A$44,0)),""))</f>
        <v/>
      </c>
    </row>
    <row r="3735" spans="1:7" x14ac:dyDescent="0.3">
      <c r="A3735" s="17"/>
      <c r="B3735" s="18"/>
      <c r="C3735" s="18"/>
      <c r="D3735" s="18"/>
      <c r="E3735" s="10" t="str">
        <f>IF(B3735="","",IFERROR(INDEX(Harytlar!$C$5:$C$44,MATCH(B3735,Harytlar!$A$5:$A$44,0)),""))</f>
        <v/>
      </c>
      <c r="F3735" s="10" t="str">
        <f t="shared" si="58"/>
        <v/>
      </c>
      <c r="G3735" s="10" t="str">
        <f>IF(OR(C3735="",B3735=""),"",IFERROR(C3735*INDEX(Harytlar!$D$5:$D$44,MATCH(B3735,Harytlar!$A$5:$A$44,0)),""))</f>
        <v/>
      </c>
    </row>
    <row r="3736" spans="1:7" x14ac:dyDescent="0.3">
      <c r="A3736" s="17"/>
      <c r="B3736" s="18"/>
      <c r="C3736" s="18"/>
      <c r="D3736" s="18"/>
      <c r="E3736" s="10" t="str">
        <f>IF(B3736="","",IFERROR(INDEX(Harytlar!$C$5:$C$44,MATCH(B3736,Harytlar!$A$5:$A$44,0)),""))</f>
        <v/>
      </c>
      <c r="F3736" s="10" t="str">
        <f t="shared" si="58"/>
        <v/>
      </c>
      <c r="G3736" s="10" t="str">
        <f>IF(OR(C3736="",B3736=""),"",IFERROR(C3736*INDEX(Harytlar!$D$5:$D$44,MATCH(B3736,Harytlar!$A$5:$A$44,0)),""))</f>
        <v/>
      </c>
    </row>
    <row r="3737" spans="1:7" x14ac:dyDescent="0.3">
      <c r="A3737" s="17"/>
      <c r="B3737" s="18"/>
      <c r="C3737" s="18"/>
      <c r="D3737" s="18"/>
      <c r="E3737" s="10" t="str">
        <f>IF(B3737="","",IFERROR(INDEX(Harytlar!$C$5:$C$44,MATCH(B3737,Harytlar!$A$5:$A$44,0)),""))</f>
        <v/>
      </c>
      <c r="F3737" s="10" t="str">
        <f t="shared" si="58"/>
        <v/>
      </c>
      <c r="G3737" s="10" t="str">
        <f>IF(OR(C3737="",B3737=""),"",IFERROR(C3737*INDEX(Harytlar!$D$5:$D$44,MATCH(B3737,Harytlar!$A$5:$A$44,0)),""))</f>
        <v/>
      </c>
    </row>
    <row r="3738" spans="1:7" x14ac:dyDescent="0.3">
      <c r="A3738" s="17"/>
      <c r="B3738" s="18"/>
      <c r="C3738" s="18"/>
      <c r="D3738" s="18"/>
      <c r="E3738" s="10" t="str">
        <f>IF(B3738="","",IFERROR(INDEX(Harytlar!$C$5:$C$44,MATCH(B3738,Harytlar!$A$5:$A$44,0)),""))</f>
        <v/>
      </c>
      <c r="F3738" s="10" t="str">
        <f t="shared" si="58"/>
        <v/>
      </c>
      <c r="G3738" s="10" t="str">
        <f>IF(OR(C3738="",B3738=""),"",IFERROR(C3738*INDEX(Harytlar!$D$5:$D$44,MATCH(B3738,Harytlar!$A$5:$A$44,0)),""))</f>
        <v/>
      </c>
    </row>
    <row r="3739" spans="1:7" x14ac:dyDescent="0.3">
      <c r="A3739" s="17"/>
      <c r="B3739" s="18"/>
      <c r="C3739" s="18"/>
      <c r="D3739" s="18"/>
      <c r="E3739" s="10" t="str">
        <f>IF(B3739="","",IFERROR(INDEX(Harytlar!$C$5:$C$44,MATCH(B3739,Harytlar!$A$5:$A$44,0)),""))</f>
        <v/>
      </c>
      <c r="F3739" s="10" t="str">
        <f t="shared" si="58"/>
        <v/>
      </c>
      <c r="G3739" s="10" t="str">
        <f>IF(OR(C3739="",B3739=""),"",IFERROR(C3739*INDEX(Harytlar!$D$5:$D$44,MATCH(B3739,Harytlar!$A$5:$A$44,0)),""))</f>
        <v/>
      </c>
    </row>
    <row r="3740" spans="1:7" x14ac:dyDescent="0.3">
      <c r="A3740" s="17"/>
      <c r="B3740" s="18"/>
      <c r="C3740" s="18"/>
      <c r="D3740" s="18"/>
      <c r="E3740" s="10" t="str">
        <f>IF(B3740="","",IFERROR(INDEX(Harytlar!$C$5:$C$44,MATCH(B3740,Harytlar!$A$5:$A$44,0)),""))</f>
        <v/>
      </c>
      <c r="F3740" s="10" t="str">
        <f t="shared" si="58"/>
        <v/>
      </c>
      <c r="G3740" s="10" t="str">
        <f>IF(OR(C3740="",B3740=""),"",IFERROR(C3740*INDEX(Harytlar!$D$5:$D$44,MATCH(B3740,Harytlar!$A$5:$A$44,0)),""))</f>
        <v/>
      </c>
    </row>
    <row r="3741" spans="1:7" x14ac:dyDescent="0.3">
      <c r="A3741" s="17"/>
      <c r="B3741" s="18"/>
      <c r="C3741" s="18"/>
      <c r="D3741" s="18"/>
      <c r="E3741" s="10" t="str">
        <f>IF(B3741="","",IFERROR(INDEX(Harytlar!$C$5:$C$44,MATCH(B3741,Harytlar!$A$5:$A$44,0)),""))</f>
        <v/>
      </c>
      <c r="F3741" s="10" t="str">
        <f t="shared" si="58"/>
        <v/>
      </c>
      <c r="G3741" s="10" t="str">
        <f>IF(OR(C3741="",B3741=""),"",IFERROR(C3741*INDEX(Harytlar!$D$5:$D$44,MATCH(B3741,Harytlar!$A$5:$A$44,0)),""))</f>
        <v/>
      </c>
    </row>
    <row r="3742" spans="1:7" x14ac:dyDescent="0.3">
      <c r="A3742" s="17"/>
      <c r="B3742" s="18"/>
      <c r="C3742" s="18"/>
      <c r="D3742" s="18"/>
      <c r="E3742" s="10" t="str">
        <f>IF(B3742="","",IFERROR(INDEX(Harytlar!$C$5:$C$44,MATCH(B3742,Harytlar!$A$5:$A$44,0)),""))</f>
        <v/>
      </c>
      <c r="F3742" s="10" t="str">
        <f t="shared" si="58"/>
        <v/>
      </c>
      <c r="G3742" s="10" t="str">
        <f>IF(OR(C3742="",B3742=""),"",IFERROR(C3742*INDEX(Harytlar!$D$5:$D$44,MATCH(B3742,Harytlar!$A$5:$A$44,0)),""))</f>
        <v/>
      </c>
    </row>
    <row r="3743" spans="1:7" x14ac:dyDescent="0.3">
      <c r="A3743" s="17"/>
      <c r="B3743" s="18"/>
      <c r="C3743" s="18"/>
      <c r="D3743" s="18"/>
      <c r="E3743" s="10" t="str">
        <f>IF(B3743="","",IFERROR(INDEX(Harytlar!$C$5:$C$44,MATCH(B3743,Harytlar!$A$5:$A$44,0)),""))</f>
        <v/>
      </c>
      <c r="F3743" s="10" t="str">
        <f t="shared" si="58"/>
        <v/>
      </c>
      <c r="G3743" s="10" t="str">
        <f>IF(OR(C3743="",B3743=""),"",IFERROR(C3743*INDEX(Harytlar!$D$5:$D$44,MATCH(B3743,Harytlar!$A$5:$A$44,0)),""))</f>
        <v/>
      </c>
    </row>
    <row r="3744" spans="1:7" x14ac:dyDescent="0.3">
      <c r="A3744" s="17"/>
      <c r="B3744" s="18"/>
      <c r="C3744" s="18"/>
      <c r="D3744" s="18"/>
      <c r="E3744" s="10" t="str">
        <f>IF(B3744="","",IFERROR(INDEX(Harytlar!$C$5:$C$44,MATCH(B3744,Harytlar!$A$5:$A$44,0)),""))</f>
        <v/>
      </c>
      <c r="F3744" s="10" t="str">
        <f t="shared" si="58"/>
        <v/>
      </c>
      <c r="G3744" s="10" t="str">
        <f>IF(OR(C3744="",B3744=""),"",IFERROR(C3744*INDEX(Harytlar!$D$5:$D$44,MATCH(B3744,Harytlar!$A$5:$A$44,0)),""))</f>
        <v/>
      </c>
    </row>
    <row r="3745" spans="1:7" x14ac:dyDescent="0.3">
      <c r="A3745" s="17"/>
      <c r="B3745" s="18"/>
      <c r="C3745" s="18"/>
      <c r="D3745" s="18"/>
      <c r="E3745" s="10" t="str">
        <f>IF(B3745="","",IFERROR(INDEX(Harytlar!$C$5:$C$44,MATCH(B3745,Harytlar!$A$5:$A$44,0)),""))</f>
        <v/>
      </c>
      <c r="F3745" s="10" t="str">
        <f t="shared" si="58"/>
        <v/>
      </c>
      <c r="G3745" s="10" t="str">
        <f>IF(OR(C3745="",B3745=""),"",IFERROR(C3745*INDEX(Harytlar!$D$5:$D$44,MATCH(B3745,Harytlar!$A$5:$A$44,0)),""))</f>
        <v/>
      </c>
    </row>
    <row r="3746" spans="1:7" x14ac:dyDescent="0.3">
      <c r="A3746" s="17"/>
      <c r="B3746" s="18"/>
      <c r="C3746" s="18"/>
      <c r="D3746" s="18"/>
      <c r="E3746" s="10" t="str">
        <f>IF(B3746="","",IFERROR(INDEX(Harytlar!$C$5:$C$44,MATCH(B3746,Harytlar!$A$5:$A$44,0)),""))</f>
        <v/>
      </c>
      <c r="F3746" s="10" t="str">
        <f t="shared" si="58"/>
        <v/>
      </c>
      <c r="G3746" s="10" t="str">
        <f>IF(OR(C3746="",B3746=""),"",IFERROR(C3746*INDEX(Harytlar!$D$5:$D$44,MATCH(B3746,Harytlar!$A$5:$A$44,0)),""))</f>
        <v/>
      </c>
    </row>
    <row r="3747" spans="1:7" x14ac:dyDescent="0.3">
      <c r="A3747" s="17"/>
      <c r="B3747" s="18"/>
      <c r="C3747" s="18"/>
      <c r="D3747" s="18"/>
      <c r="E3747" s="10" t="str">
        <f>IF(B3747="","",IFERROR(INDEX(Harytlar!$C$5:$C$44,MATCH(B3747,Harytlar!$A$5:$A$44,0)),""))</f>
        <v/>
      </c>
      <c r="F3747" s="10" t="str">
        <f t="shared" si="58"/>
        <v/>
      </c>
      <c r="G3747" s="10" t="str">
        <f>IF(OR(C3747="",B3747=""),"",IFERROR(C3747*INDEX(Harytlar!$D$5:$D$44,MATCH(B3747,Harytlar!$A$5:$A$44,0)),""))</f>
        <v/>
      </c>
    </row>
    <row r="3748" spans="1:7" x14ac:dyDescent="0.3">
      <c r="A3748" s="17"/>
      <c r="B3748" s="18"/>
      <c r="C3748" s="18"/>
      <c r="D3748" s="18"/>
      <c r="E3748" s="10" t="str">
        <f>IF(B3748="","",IFERROR(INDEX(Harytlar!$C$5:$C$44,MATCH(B3748,Harytlar!$A$5:$A$44,0)),""))</f>
        <v/>
      </c>
      <c r="F3748" s="10" t="str">
        <f t="shared" si="58"/>
        <v/>
      </c>
      <c r="G3748" s="10" t="str">
        <f>IF(OR(C3748="",B3748=""),"",IFERROR(C3748*INDEX(Harytlar!$D$5:$D$44,MATCH(B3748,Harytlar!$A$5:$A$44,0)),""))</f>
        <v/>
      </c>
    </row>
    <row r="3749" spans="1:7" x14ac:dyDescent="0.3">
      <c r="A3749" s="17"/>
      <c r="B3749" s="18"/>
      <c r="C3749" s="18"/>
      <c r="D3749" s="18"/>
      <c r="E3749" s="10" t="str">
        <f>IF(B3749="","",IFERROR(INDEX(Harytlar!$C$5:$C$44,MATCH(B3749,Harytlar!$A$5:$A$44,0)),""))</f>
        <v/>
      </c>
      <c r="F3749" s="10" t="str">
        <f t="shared" si="58"/>
        <v/>
      </c>
      <c r="G3749" s="10" t="str">
        <f>IF(OR(C3749="",B3749=""),"",IFERROR(C3749*INDEX(Harytlar!$D$5:$D$44,MATCH(B3749,Harytlar!$A$5:$A$44,0)),""))</f>
        <v/>
      </c>
    </row>
    <row r="3750" spans="1:7" x14ac:dyDescent="0.3">
      <c r="A3750" s="17"/>
      <c r="B3750" s="18"/>
      <c r="C3750" s="18"/>
      <c r="D3750" s="18"/>
      <c r="E3750" s="10" t="str">
        <f>IF(B3750="","",IFERROR(INDEX(Harytlar!$C$5:$C$44,MATCH(B3750,Harytlar!$A$5:$A$44,0)),""))</f>
        <v/>
      </c>
      <c r="F3750" s="10" t="str">
        <f t="shared" si="58"/>
        <v/>
      </c>
      <c r="G3750" s="10" t="str">
        <f>IF(OR(C3750="",B3750=""),"",IFERROR(C3750*INDEX(Harytlar!$D$5:$D$44,MATCH(B3750,Harytlar!$A$5:$A$44,0)),""))</f>
        <v/>
      </c>
    </row>
    <row r="3751" spans="1:7" x14ac:dyDescent="0.3">
      <c r="A3751" s="17"/>
      <c r="B3751" s="18"/>
      <c r="C3751" s="18"/>
      <c r="D3751" s="18"/>
      <c r="E3751" s="10" t="str">
        <f>IF(B3751="","",IFERROR(INDEX(Harytlar!$C$5:$C$44,MATCH(B3751,Harytlar!$A$5:$A$44,0)),""))</f>
        <v/>
      </c>
      <c r="F3751" s="10" t="str">
        <f t="shared" si="58"/>
        <v/>
      </c>
      <c r="G3751" s="10" t="str">
        <f>IF(OR(C3751="",B3751=""),"",IFERROR(C3751*INDEX(Harytlar!$D$5:$D$44,MATCH(B3751,Harytlar!$A$5:$A$44,0)),""))</f>
        <v/>
      </c>
    </row>
    <row r="3752" spans="1:7" x14ac:dyDescent="0.3">
      <c r="A3752" s="17"/>
      <c r="B3752" s="18"/>
      <c r="C3752" s="18"/>
      <c r="D3752" s="18"/>
      <c r="E3752" s="10" t="str">
        <f>IF(B3752="","",IFERROR(INDEX(Harytlar!$C$5:$C$44,MATCH(B3752,Harytlar!$A$5:$A$44,0)),""))</f>
        <v/>
      </c>
      <c r="F3752" s="10" t="str">
        <f t="shared" si="58"/>
        <v/>
      </c>
      <c r="G3752" s="10" t="str">
        <f>IF(OR(C3752="",B3752=""),"",IFERROR(C3752*INDEX(Harytlar!$D$5:$D$44,MATCH(B3752,Harytlar!$A$5:$A$44,0)),""))</f>
        <v/>
      </c>
    </row>
    <row r="3753" spans="1:7" x14ac:dyDescent="0.3">
      <c r="A3753" s="17"/>
      <c r="B3753" s="18"/>
      <c r="C3753" s="18"/>
      <c r="D3753" s="18"/>
      <c r="E3753" s="10" t="str">
        <f>IF(B3753="","",IFERROR(INDEX(Harytlar!$C$5:$C$44,MATCH(B3753,Harytlar!$A$5:$A$44,0)),""))</f>
        <v/>
      </c>
      <c r="F3753" s="10" t="str">
        <f t="shared" si="58"/>
        <v/>
      </c>
      <c r="G3753" s="10" t="str">
        <f>IF(OR(C3753="",B3753=""),"",IFERROR(C3753*INDEX(Harytlar!$D$5:$D$44,MATCH(B3753,Harytlar!$A$5:$A$44,0)),""))</f>
        <v/>
      </c>
    </row>
    <row r="3754" spans="1:7" x14ac:dyDescent="0.3">
      <c r="A3754" s="17"/>
      <c r="B3754" s="18"/>
      <c r="C3754" s="18"/>
      <c r="D3754" s="18"/>
      <c r="E3754" s="10" t="str">
        <f>IF(B3754="","",IFERROR(INDEX(Harytlar!$C$5:$C$44,MATCH(B3754,Harytlar!$A$5:$A$44,0)),""))</f>
        <v/>
      </c>
      <c r="F3754" s="10" t="str">
        <f t="shared" si="58"/>
        <v/>
      </c>
      <c r="G3754" s="10" t="str">
        <f>IF(OR(C3754="",B3754=""),"",IFERROR(C3754*INDEX(Harytlar!$D$5:$D$44,MATCH(B3754,Harytlar!$A$5:$A$44,0)),""))</f>
        <v/>
      </c>
    </row>
    <row r="3755" spans="1:7" x14ac:dyDescent="0.3">
      <c r="A3755" s="17"/>
      <c r="B3755" s="18"/>
      <c r="C3755" s="18"/>
      <c r="D3755" s="18"/>
      <c r="E3755" s="10" t="str">
        <f>IF(B3755="","",IFERROR(INDEX(Harytlar!$C$5:$C$44,MATCH(B3755,Harytlar!$A$5:$A$44,0)),""))</f>
        <v/>
      </c>
      <c r="F3755" s="10" t="str">
        <f t="shared" si="58"/>
        <v/>
      </c>
      <c r="G3755" s="10" t="str">
        <f>IF(OR(C3755="",B3755=""),"",IFERROR(C3755*INDEX(Harytlar!$D$5:$D$44,MATCH(B3755,Harytlar!$A$5:$A$44,0)),""))</f>
        <v/>
      </c>
    </row>
    <row r="3756" spans="1:7" x14ac:dyDescent="0.3">
      <c r="A3756" s="17"/>
      <c r="B3756" s="18"/>
      <c r="C3756" s="18"/>
      <c r="D3756" s="18"/>
      <c r="E3756" s="10" t="str">
        <f>IF(B3756="","",IFERROR(INDEX(Harytlar!$C$5:$C$44,MATCH(B3756,Harytlar!$A$5:$A$44,0)),""))</f>
        <v/>
      </c>
      <c r="F3756" s="10" t="str">
        <f t="shared" si="58"/>
        <v/>
      </c>
      <c r="G3756" s="10" t="str">
        <f>IF(OR(C3756="",B3756=""),"",IFERROR(C3756*INDEX(Harytlar!$D$5:$D$44,MATCH(B3756,Harytlar!$A$5:$A$44,0)),""))</f>
        <v/>
      </c>
    </row>
    <row r="3757" spans="1:7" x14ac:dyDescent="0.3">
      <c r="A3757" s="17"/>
      <c r="B3757" s="18"/>
      <c r="C3757" s="18"/>
      <c r="D3757" s="18"/>
      <c r="E3757" s="10" t="str">
        <f>IF(B3757="","",IFERROR(INDEX(Harytlar!$C$5:$C$44,MATCH(B3757,Harytlar!$A$5:$A$44,0)),""))</f>
        <v/>
      </c>
      <c r="F3757" s="10" t="str">
        <f t="shared" si="58"/>
        <v/>
      </c>
      <c r="G3757" s="10" t="str">
        <f>IF(OR(C3757="",B3757=""),"",IFERROR(C3757*INDEX(Harytlar!$D$5:$D$44,MATCH(B3757,Harytlar!$A$5:$A$44,0)),""))</f>
        <v/>
      </c>
    </row>
    <row r="3758" spans="1:7" x14ac:dyDescent="0.3">
      <c r="A3758" s="17"/>
      <c r="B3758" s="18"/>
      <c r="C3758" s="18"/>
      <c r="D3758" s="18"/>
      <c r="E3758" s="10" t="str">
        <f>IF(B3758="","",IFERROR(INDEX(Harytlar!$C$5:$C$44,MATCH(B3758,Harytlar!$A$5:$A$44,0)),""))</f>
        <v/>
      </c>
      <c r="F3758" s="10" t="str">
        <f t="shared" si="58"/>
        <v/>
      </c>
      <c r="G3758" s="10" t="str">
        <f>IF(OR(C3758="",B3758=""),"",IFERROR(C3758*INDEX(Harytlar!$D$5:$D$44,MATCH(B3758,Harytlar!$A$5:$A$44,0)),""))</f>
        <v/>
      </c>
    </row>
    <row r="3759" spans="1:7" x14ac:dyDescent="0.3">
      <c r="A3759" s="17"/>
      <c r="B3759" s="18"/>
      <c r="C3759" s="18"/>
      <c r="D3759" s="18"/>
      <c r="E3759" s="10" t="str">
        <f>IF(B3759="","",IFERROR(INDEX(Harytlar!$C$5:$C$44,MATCH(B3759,Harytlar!$A$5:$A$44,0)),""))</f>
        <v/>
      </c>
      <c r="F3759" s="10" t="str">
        <f t="shared" si="58"/>
        <v/>
      </c>
      <c r="G3759" s="10" t="str">
        <f>IF(OR(C3759="",B3759=""),"",IFERROR(C3759*INDEX(Harytlar!$D$5:$D$44,MATCH(B3759,Harytlar!$A$5:$A$44,0)),""))</f>
        <v/>
      </c>
    </row>
    <row r="3760" spans="1:7" x14ac:dyDescent="0.3">
      <c r="A3760" s="17"/>
      <c r="B3760" s="18"/>
      <c r="C3760" s="18"/>
      <c r="D3760" s="18"/>
      <c r="E3760" s="10" t="str">
        <f>IF(B3760="","",IFERROR(INDEX(Harytlar!$C$5:$C$44,MATCH(B3760,Harytlar!$A$5:$A$44,0)),""))</f>
        <v/>
      </c>
      <c r="F3760" s="10" t="str">
        <f t="shared" si="58"/>
        <v/>
      </c>
      <c r="G3760" s="10" t="str">
        <f>IF(OR(C3760="",B3760=""),"",IFERROR(C3760*INDEX(Harytlar!$D$5:$D$44,MATCH(B3760,Harytlar!$A$5:$A$44,0)),""))</f>
        <v/>
      </c>
    </row>
    <row r="3761" spans="1:7" x14ac:dyDescent="0.3">
      <c r="A3761" s="17"/>
      <c r="B3761" s="18"/>
      <c r="C3761" s="18"/>
      <c r="D3761" s="18"/>
      <c r="E3761" s="10" t="str">
        <f>IF(B3761="","",IFERROR(INDEX(Harytlar!$C$5:$C$44,MATCH(B3761,Harytlar!$A$5:$A$44,0)),""))</f>
        <v/>
      </c>
      <c r="F3761" s="10" t="str">
        <f t="shared" si="58"/>
        <v/>
      </c>
      <c r="G3761" s="10" t="str">
        <f>IF(OR(C3761="",B3761=""),"",IFERROR(C3761*INDEX(Harytlar!$D$5:$D$44,MATCH(B3761,Harytlar!$A$5:$A$44,0)),""))</f>
        <v/>
      </c>
    </row>
    <row r="3762" spans="1:7" x14ac:dyDescent="0.3">
      <c r="A3762" s="17"/>
      <c r="B3762" s="18"/>
      <c r="C3762" s="18"/>
      <c r="D3762" s="18"/>
      <c r="E3762" s="10" t="str">
        <f>IF(B3762="","",IFERROR(INDEX(Harytlar!$C$5:$C$44,MATCH(B3762,Harytlar!$A$5:$A$44,0)),""))</f>
        <v/>
      </c>
      <c r="F3762" s="10" t="str">
        <f t="shared" si="58"/>
        <v/>
      </c>
      <c r="G3762" s="10" t="str">
        <f>IF(OR(C3762="",B3762=""),"",IFERROR(C3762*INDEX(Harytlar!$D$5:$D$44,MATCH(B3762,Harytlar!$A$5:$A$44,0)),""))</f>
        <v/>
      </c>
    </row>
    <row r="3763" spans="1:7" x14ac:dyDescent="0.3">
      <c r="A3763" s="17"/>
      <c r="B3763" s="18"/>
      <c r="C3763" s="18"/>
      <c r="D3763" s="18"/>
      <c r="E3763" s="10" t="str">
        <f>IF(B3763="","",IFERROR(INDEX(Harytlar!$C$5:$C$44,MATCH(B3763,Harytlar!$A$5:$A$44,0)),""))</f>
        <v/>
      </c>
      <c r="F3763" s="10" t="str">
        <f t="shared" si="58"/>
        <v/>
      </c>
      <c r="G3763" s="10" t="str">
        <f>IF(OR(C3763="",B3763=""),"",IFERROR(C3763*INDEX(Harytlar!$D$5:$D$44,MATCH(B3763,Harytlar!$A$5:$A$44,0)),""))</f>
        <v/>
      </c>
    </row>
    <row r="3764" spans="1:7" x14ac:dyDescent="0.3">
      <c r="A3764" s="17"/>
      <c r="B3764" s="18"/>
      <c r="C3764" s="18"/>
      <c r="D3764" s="18"/>
      <c r="E3764" s="10" t="str">
        <f>IF(B3764="","",IFERROR(INDEX(Harytlar!$C$5:$C$44,MATCH(B3764,Harytlar!$A$5:$A$44,0)),""))</f>
        <v/>
      </c>
      <c r="F3764" s="10" t="str">
        <f t="shared" si="58"/>
        <v/>
      </c>
      <c r="G3764" s="10" t="str">
        <f>IF(OR(C3764="",B3764=""),"",IFERROR(C3764*INDEX(Harytlar!$D$5:$D$44,MATCH(B3764,Harytlar!$A$5:$A$44,0)),""))</f>
        <v/>
      </c>
    </row>
    <row r="3765" spans="1:7" x14ac:dyDescent="0.3">
      <c r="A3765" s="17"/>
      <c r="B3765" s="18"/>
      <c r="C3765" s="18"/>
      <c r="D3765" s="18"/>
      <c r="E3765" s="10" t="str">
        <f>IF(B3765="","",IFERROR(INDEX(Harytlar!$C$5:$C$44,MATCH(B3765,Harytlar!$A$5:$A$44,0)),""))</f>
        <v/>
      </c>
      <c r="F3765" s="10" t="str">
        <f t="shared" si="58"/>
        <v/>
      </c>
      <c r="G3765" s="10" t="str">
        <f>IF(OR(C3765="",B3765=""),"",IFERROR(C3765*INDEX(Harytlar!$D$5:$D$44,MATCH(B3765,Harytlar!$A$5:$A$44,0)),""))</f>
        <v/>
      </c>
    </row>
    <row r="3766" spans="1:7" x14ac:dyDescent="0.3">
      <c r="A3766" s="17"/>
      <c r="B3766" s="18"/>
      <c r="C3766" s="18"/>
      <c r="D3766" s="18"/>
      <c r="E3766" s="10" t="str">
        <f>IF(B3766="","",IFERROR(INDEX(Harytlar!$C$5:$C$44,MATCH(B3766,Harytlar!$A$5:$A$44,0)),""))</f>
        <v/>
      </c>
      <c r="F3766" s="10" t="str">
        <f t="shared" si="58"/>
        <v/>
      </c>
      <c r="G3766" s="10" t="str">
        <f>IF(OR(C3766="",B3766=""),"",IFERROR(C3766*INDEX(Harytlar!$D$5:$D$44,MATCH(B3766,Harytlar!$A$5:$A$44,0)),""))</f>
        <v/>
      </c>
    </row>
    <row r="3767" spans="1:7" x14ac:dyDescent="0.3">
      <c r="A3767" s="17"/>
      <c r="B3767" s="18"/>
      <c r="C3767" s="18"/>
      <c r="D3767" s="18"/>
      <c r="E3767" s="10" t="str">
        <f>IF(B3767="","",IFERROR(INDEX(Harytlar!$C$5:$C$44,MATCH(B3767,Harytlar!$A$5:$A$44,0)),""))</f>
        <v/>
      </c>
      <c r="F3767" s="10" t="str">
        <f t="shared" si="58"/>
        <v/>
      </c>
      <c r="G3767" s="10" t="str">
        <f>IF(OR(C3767="",B3767=""),"",IFERROR(C3767*INDEX(Harytlar!$D$5:$D$44,MATCH(B3767,Harytlar!$A$5:$A$44,0)),""))</f>
        <v/>
      </c>
    </row>
    <row r="3768" spans="1:7" x14ac:dyDescent="0.3">
      <c r="A3768" s="17"/>
      <c r="B3768" s="18"/>
      <c r="C3768" s="18"/>
      <c r="D3768" s="18"/>
      <c r="E3768" s="10" t="str">
        <f>IF(B3768="","",IFERROR(INDEX(Harytlar!$C$5:$C$44,MATCH(B3768,Harytlar!$A$5:$A$44,0)),""))</f>
        <v/>
      </c>
      <c r="F3768" s="10" t="str">
        <f t="shared" si="58"/>
        <v/>
      </c>
      <c r="G3768" s="10" t="str">
        <f>IF(OR(C3768="",B3768=""),"",IFERROR(C3768*INDEX(Harytlar!$D$5:$D$44,MATCH(B3768,Harytlar!$A$5:$A$44,0)),""))</f>
        <v/>
      </c>
    </row>
    <row r="3769" spans="1:7" x14ac:dyDescent="0.3">
      <c r="A3769" s="17"/>
      <c r="B3769" s="18"/>
      <c r="C3769" s="18"/>
      <c r="D3769" s="18"/>
      <c r="E3769" s="10" t="str">
        <f>IF(B3769="","",IFERROR(INDEX(Harytlar!$C$5:$C$44,MATCH(B3769,Harytlar!$A$5:$A$44,0)),""))</f>
        <v/>
      </c>
      <c r="F3769" s="10" t="str">
        <f t="shared" si="58"/>
        <v/>
      </c>
      <c r="G3769" s="10" t="str">
        <f>IF(OR(C3769="",B3769=""),"",IFERROR(C3769*INDEX(Harytlar!$D$5:$D$44,MATCH(B3769,Harytlar!$A$5:$A$44,0)),""))</f>
        <v/>
      </c>
    </row>
    <row r="3770" spans="1:7" x14ac:dyDescent="0.3">
      <c r="A3770" s="17"/>
      <c r="B3770" s="18"/>
      <c r="C3770" s="18"/>
      <c r="D3770" s="18"/>
      <c r="E3770" s="10" t="str">
        <f>IF(B3770="","",IFERROR(INDEX(Harytlar!$C$5:$C$44,MATCH(B3770,Harytlar!$A$5:$A$44,0)),""))</f>
        <v/>
      </c>
      <c r="F3770" s="10" t="str">
        <f t="shared" si="58"/>
        <v/>
      </c>
      <c r="G3770" s="10" t="str">
        <f>IF(OR(C3770="",B3770=""),"",IFERROR(C3770*INDEX(Harytlar!$D$5:$D$44,MATCH(B3770,Harytlar!$A$5:$A$44,0)),""))</f>
        <v/>
      </c>
    </row>
    <row r="3771" spans="1:7" x14ac:dyDescent="0.3">
      <c r="A3771" s="17"/>
      <c r="B3771" s="18"/>
      <c r="C3771" s="18"/>
      <c r="D3771" s="18"/>
      <c r="E3771" s="10" t="str">
        <f>IF(B3771="","",IFERROR(INDEX(Harytlar!$C$5:$C$44,MATCH(B3771,Harytlar!$A$5:$A$44,0)),""))</f>
        <v/>
      </c>
      <c r="F3771" s="10" t="str">
        <f t="shared" si="58"/>
        <v/>
      </c>
      <c r="G3771" s="10" t="str">
        <f>IF(OR(C3771="",B3771=""),"",IFERROR(C3771*INDEX(Harytlar!$D$5:$D$44,MATCH(B3771,Harytlar!$A$5:$A$44,0)),""))</f>
        <v/>
      </c>
    </row>
    <row r="3772" spans="1:7" x14ac:dyDescent="0.3">
      <c r="A3772" s="17"/>
      <c r="B3772" s="18"/>
      <c r="C3772" s="18"/>
      <c r="D3772" s="18"/>
      <c r="E3772" s="10" t="str">
        <f>IF(B3772="","",IFERROR(INDEX(Harytlar!$C$5:$C$44,MATCH(B3772,Harytlar!$A$5:$A$44,0)),""))</f>
        <v/>
      </c>
      <c r="F3772" s="10" t="str">
        <f t="shared" si="58"/>
        <v/>
      </c>
      <c r="G3772" s="10" t="str">
        <f>IF(OR(C3772="",B3772=""),"",IFERROR(C3772*INDEX(Harytlar!$D$5:$D$44,MATCH(B3772,Harytlar!$A$5:$A$44,0)),""))</f>
        <v/>
      </c>
    </row>
    <row r="3773" spans="1:7" x14ac:dyDescent="0.3">
      <c r="A3773" s="17"/>
      <c r="B3773" s="18"/>
      <c r="C3773" s="18"/>
      <c r="D3773" s="18"/>
      <c r="E3773" s="10" t="str">
        <f>IF(B3773="","",IFERROR(INDEX(Harytlar!$C$5:$C$44,MATCH(B3773,Harytlar!$A$5:$A$44,0)),""))</f>
        <v/>
      </c>
      <c r="F3773" s="10" t="str">
        <f t="shared" si="58"/>
        <v/>
      </c>
      <c r="G3773" s="10" t="str">
        <f>IF(OR(C3773="",B3773=""),"",IFERROR(C3773*INDEX(Harytlar!$D$5:$D$44,MATCH(B3773,Harytlar!$A$5:$A$44,0)),""))</f>
        <v/>
      </c>
    </row>
    <row r="3774" spans="1:7" x14ac:dyDescent="0.3">
      <c r="A3774" s="17"/>
      <c r="B3774" s="18"/>
      <c r="C3774" s="18"/>
      <c r="D3774" s="18"/>
      <c r="E3774" s="10" t="str">
        <f>IF(B3774="","",IFERROR(INDEX(Harytlar!$C$5:$C$44,MATCH(B3774,Harytlar!$A$5:$A$44,0)),""))</f>
        <v/>
      </c>
      <c r="F3774" s="10" t="str">
        <f t="shared" si="58"/>
        <v/>
      </c>
      <c r="G3774" s="10" t="str">
        <f>IF(OR(C3774="",B3774=""),"",IFERROR(C3774*INDEX(Harytlar!$D$5:$D$44,MATCH(B3774,Harytlar!$A$5:$A$44,0)),""))</f>
        <v/>
      </c>
    </row>
    <row r="3775" spans="1:7" x14ac:dyDescent="0.3">
      <c r="A3775" s="17"/>
      <c r="B3775" s="18"/>
      <c r="C3775" s="18"/>
      <c r="D3775" s="18"/>
      <c r="E3775" s="10" t="str">
        <f>IF(B3775="","",IFERROR(INDEX(Harytlar!$C$5:$C$44,MATCH(B3775,Harytlar!$A$5:$A$44,0)),""))</f>
        <v/>
      </c>
      <c r="F3775" s="10" t="str">
        <f t="shared" si="58"/>
        <v/>
      </c>
      <c r="G3775" s="10" t="str">
        <f>IF(OR(C3775="",B3775=""),"",IFERROR(C3775*INDEX(Harytlar!$D$5:$D$44,MATCH(B3775,Harytlar!$A$5:$A$44,0)),""))</f>
        <v/>
      </c>
    </row>
    <row r="3776" spans="1:7" x14ac:dyDescent="0.3">
      <c r="A3776" s="17"/>
      <c r="B3776" s="18"/>
      <c r="C3776" s="18"/>
      <c r="D3776" s="18"/>
      <c r="E3776" s="10" t="str">
        <f>IF(B3776="","",IFERROR(INDEX(Harytlar!$C$5:$C$44,MATCH(B3776,Harytlar!$A$5:$A$44,0)),""))</f>
        <v/>
      </c>
      <c r="F3776" s="10" t="str">
        <f t="shared" si="58"/>
        <v/>
      </c>
      <c r="G3776" s="10" t="str">
        <f>IF(OR(C3776="",B3776=""),"",IFERROR(C3776*INDEX(Harytlar!$D$5:$D$44,MATCH(B3776,Harytlar!$A$5:$A$44,0)),""))</f>
        <v/>
      </c>
    </row>
    <row r="3777" spans="1:7" x14ac:dyDescent="0.3">
      <c r="A3777" s="17"/>
      <c r="B3777" s="18"/>
      <c r="C3777" s="18"/>
      <c r="D3777" s="18"/>
      <c r="E3777" s="10" t="str">
        <f>IF(B3777="","",IFERROR(INDEX(Harytlar!$C$5:$C$44,MATCH(B3777,Harytlar!$A$5:$A$44,0)),""))</f>
        <v/>
      </c>
      <c r="F3777" s="10" t="str">
        <f t="shared" si="58"/>
        <v/>
      </c>
      <c r="G3777" s="10" t="str">
        <f>IF(OR(C3777="",B3777=""),"",IFERROR(C3777*INDEX(Harytlar!$D$5:$D$44,MATCH(B3777,Harytlar!$A$5:$A$44,0)),""))</f>
        <v/>
      </c>
    </row>
    <row r="3778" spans="1:7" x14ac:dyDescent="0.3">
      <c r="A3778" s="17"/>
      <c r="B3778" s="18"/>
      <c r="C3778" s="18"/>
      <c r="D3778" s="18"/>
      <c r="E3778" s="10" t="str">
        <f>IF(B3778="","",IFERROR(INDEX(Harytlar!$C$5:$C$44,MATCH(B3778,Harytlar!$A$5:$A$44,0)),""))</f>
        <v/>
      </c>
      <c r="F3778" s="10" t="str">
        <f t="shared" si="58"/>
        <v/>
      </c>
      <c r="G3778" s="10" t="str">
        <f>IF(OR(C3778="",B3778=""),"",IFERROR(C3778*INDEX(Harytlar!$D$5:$D$44,MATCH(B3778,Harytlar!$A$5:$A$44,0)),""))</f>
        <v/>
      </c>
    </row>
    <row r="3779" spans="1:7" x14ac:dyDescent="0.3">
      <c r="A3779" s="17"/>
      <c r="B3779" s="18"/>
      <c r="C3779" s="18"/>
      <c r="D3779" s="18"/>
      <c r="E3779" s="10" t="str">
        <f>IF(B3779="","",IFERROR(INDEX(Harytlar!$C$5:$C$44,MATCH(B3779,Harytlar!$A$5:$A$44,0)),""))</f>
        <v/>
      </c>
      <c r="F3779" s="10" t="str">
        <f t="shared" si="58"/>
        <v/>
      </c>
      <c r="G3779" s="10" t="str">
        <f>IF(OR(C3779="",B3779=""),"",IFERROR(C3779*INDEX(Harytlar!$D$5:$D$44,MATCH(B3779,Harytlar!$A$5:$A$44,0)),""))</f>
        <v/>
      </c>
    </row>
    <row r="3780" spans="1:7" x14ac:dyDescent="0.3">
      <c r="A3780" s="17"/>
      <c r="B3780" s="18"/>
      <c r="C3780" s="18"/>
      <c r="D3780" s="18"/>
      <c r="E3780" s="10" t="str">
        <f>IF(B3780="","",IFERROR(INDEX(Harytlar!$C$5:$C$44,MATCH(B3780,Harytlar!$A$5:$A$44,0)),""))</f>
        <v/>
      </c>
      <c r="F3780" s="10" t="str">
        <f t="shared" si="58"/>
        <v/>
      </c>
      <c r="G3780" s="10" t="str">
        <f>IF(OR(C3780="",B3780=""),"",IFERROR(C3780*INDEX(Harytlar!$D$5:$D$44,MATCH(B3780,Harytlar!$A$5:$A$44,0)),""))</f>
        <v/>
      </c>
    </row>
    <row r="3781" spans="1:7" x14ac:dyDescent="0.3">
      <c r="A3781" s="17"/>
      <c r="B3781" s="18"/>
      <c r="C3781" s="18"/>
      <c r="D3781" s="18"/>
      <c r="E3781" s="10" t="str">
        <f>IF(B3781="","",IFERROR(INDEX(Harytlar!$C$5:$C$44,MATCH(B3781,Harytlar!$A$5:$A$44,0)),""))</f>
        <v/>
      </c>
      <c r="F3781" s="10" t="str">
        <f t="shared" si="58"/>
        <v/>
      </c>
      <c r="G3781" s="10" t="str">
        <f>IF(OR(C3781="",B3781=""),"",IFERROR(C3781*INDEX(Harytlar!$D$5:$D$44,MATCH(B3781,Harytlar!$A$5:$A$44,0)),""))</f>
        <v/>
      </c>
    </row>
    <row r="3782" spans="1:7" x14ac:dyDescent="0.3">
      <c r="A3782" s="17"/>
      <c r="B3782" s="18"/>
      <c r="C3782" s="18"/>
      <c r="D3782" s="18"/>
      <c r="E3782" s="10" t="str">
        <f>IF(B3782="","",IFERROR(INDEX(Harytlar!$C$5:$C$44,MATCH(B3782,Harytlar!$A$5:$A$44,0)),""))</f>
        <v/>
      </c>
      <c r="F3782" s="10" t="str">
        <f t="shared" ref="F3782:F3845" si="59">IF(OR(C3782="",E3782=""),"",C3782*E3782)</f>
        <v/>
      </c>
      <c r="G3782" s="10" t="str">
        <f>IF(OR(C3782="",B3782=""),"",IFERROR(C3782*INDEX(Harytlar!$D$5:$D$44,MATCH(B3782,Harytlar!$A$5:$A$44,0)),""))</f>
        <v/>
      </c>
    </row>
    <row r="3783" spans="1:7" x14ac:dyDescent="0.3">
      <c r="A3783" s="17"/>
      <c r="B3783" s="18"/>
      <c r="C3783" s="18"/>
      <c r="D3783" s="18"/>
      <c r="E3783" s="10" t="str">
        <f>IF(B3783="","",IFERROR(INDEX(Harytlar!$C$5:$C$44,MATCH(B3783,Harytlar!$A$5:$A$44,0)),""))</f>
        <v/>
      </c>
      <c r="F3783" s="10" t="str">
        <f t="shared" si="59"/>
        <v/>
      </c>
      <c r="G3783" s="10" t="str">
        <f>IF(OR(C3783="",B3783=""),"",IFERROR(C3783*INDEX(Harytlar!$D$5:$D$44,MATCH(B3783,Harytlar!$A$5:$A$44,0)),""))</f>
        <v/>
      </c>
    </row>
    <row r="3784" spans="1:7" x14ac:dyDescent="0.3">
      <c r="A3784" s="17"/>
      <c r="B3784" s="18"/>
      <c r="C3784" s="18"/>
      <c r="D3784" s="18"/>
      <c r="E3784" s="10" t="str">
        <f>IF(B3784="","",IFERROR(INDEX(Harytlar!$C$5:$C$44,MATCH(B3784,Harytlar!$A$5:$A$44,0)),""))</f>
        <v/>
      </c>
      <c r="F3784" s="10" t="str">
        <f t="shared" si="59"/>
        <v/>
      </c>
      <c r="G3784" s="10" t="str">
        <f>IF(OR(C3784="",B3784=""),"",IFERROR(C3784*INDEX(Harytlar!$D$5:$D$44,MATCH(B3784,Harytlar!$A$5:$A$44,0)),""))</f>
        <v/>
      </c>
    </row>
    <row r="3785" spans="1:7" x14ac:dyDescent="0.3">
      <c r="A3785" s="17"/>
      <c r="B3785" s="18"/>
      <c r="C3785" s="18"/>
      <c r="D3785" s="18"/>
      <c r="E3785" s="10" t="str">
        <f>IF(B3785="","",IFERROR(INDEX(Harytlar!$C$5:$C$44,MATCH(B3785,Harytlar!$A$5:$A$44,0)),""))</f>
        <v/>
      </c>
      <c r="F3785" s="10" t="str">
        <f t="shared" si="59"/>
        <v/>
      </c>
      <c r="G3785" s="10" t="str">
        <f>IF(OR(C3785="",B3785=""),"",IFERROR(C3785*INDEX(Harytlar!$D$5:$D$44,MATCH(B3785,Harytlar!$A$5:$A$44,0)),""))</f>
        <v/>
      </c>
    </row>
    <row r="3786" spans="1:7" x14ac:dyDescent="0.3">
      <c r="A3786" s="17"/>
      <c r="B3786" s="18"/>
      <c r="C3786" s="18"/>
      <c r="D3786" s="18"/>
      <c r="E3786" s="10" t="str">
        <f>IF(B3786="","",IFERROR(INDEX(Harytlar!$C$5:$C$44,MATCH(B3786,Harytlar!$A$5:$A$44,0)),""))</f>
        <v/>
      </c>
      <c r="F3786" s="10" t="str">
        <f t="shared" si="59"/>
        <v/>
      </c>
      <c r="G3786" s="10" t="str">
        <f>IF(OR(C3786="",B3786=""),"",IFERROR(C3786*INDEX(Harytlar!$D$5:$D$44,MATCH(B3786,Harytlar!$A$5:$A$44,0)),""))</f>
        <v/>
      </c>
    </row>
    <row r="3787" spans="1:7" x14ac:dyDescent="0.3">
      <c r="A3787" s="17"/>
      <c r="B3787" s="18"/>
      <c r="C3787" s="18"/>
      <c r="D3787" s="18"/>
      <c r="E3787" s="10" t="str">
        <f>IF(B3787="","",IFERROR(INDEX(Harytlar!$C$5:$C$44,MATCH(B3787,Harytlar!$A$5:$A$44,0)),""))</f>
        <v/>
      </c>
      <c r="F3787" s="10" t="str">
        <f t="shared" si="59"/>
        <v/>
      </c>
      <c r="G3787" s="10" t="str">
        <f>IF(OR(C3787="",B3787=""),"",IFERROR(C3787*INDEX(Harytlar!$D$5:$D$44,MATCH(B3787,Harytlar!$A$5:$A$44,0)),""))</f>
        <v/>
      </c>
    </row>
    <row r="3788" spans="1:7" x14ac:dyDescent="0.3">
      <c r="A3788" s="17"/>
      <c r="B3788" s="18"/>
      <c r="C3788" s="18"/>
      <c r="D3788" s="18"/>
      <c r="E3788" s="10" t="str">
        <f>IF(B3788="","",IFERROR(INDEX(Harytlar!$C$5:$C$44,MATCH(B3788,Harytlar!$A$5:$A$44,0)),""))</f>
        <v/>
      </c>
      <c r="F3788" s="10" t="str">
        <f t="shared" si="59"/>
        <v/>
      </c>
      <c r="G3788" s="10" t="str">
        <f>IF(OR(C3788="",B3788=""),"",IFERROR(C3788*INDEX(Harytlar!$D$5:$D$44,MATCH(B3788,Harytlar!$A$5:$A$44,0)),""))</f>
        <v/>
      </c>
    </row>
    <row r="3789" spans="1:7" x14ac:dyDescent="0.3">
      <c r="A3789" s="17"/>
      <c r="B3789" s="18"/>
      <c r="C3789" s="18"/>
      <c r="D3789" s="18"/>
      <c r="E3789" s="10" t="str">
        <f>IF(B3789="","",IFERROR(INDEX(Harytlar!$C$5:$C$44,MATCH(B3789,Harytlar!$A$5:$A$44,0)),""))</f>
        <v/>
      </c>
      <c r="F3789" s="10" t="str">
        <f t="shared" si="59"/>
        <v/>
      </c>
      <c r="G3789" s="10" t="str">
        <f>IF(OR(C3789="",B3789=""),"",IFERROR(C3789*INDEX(Harytlar!$D$5:$D$44,MATCH(B3789,Harytlar!$A$5:$A$44,0)),""))</f>
        <v/>
      </c>
    </row>
    <row r="3790" spans="1:7" x14ac:dyDescent="0.3">
      <c r="A3790" s="17"/>
      <c r="B3790" s="18"/>
      <c r="C3790" s="18"/>
      <c r="D3790" s="18"/>
      <c r="E3790" s="10" t="str">
        <f>IF(B3790="","",IFERROR(INDEX(Harytlar!$C$5:$C$44,MATCH(B3790,Harytlar!$A$5:$A$44,0)),""))</f>
        <v/>
      </c>
      <c r="F3790" s="10" t="str">
        <f t="shared" si="59"/>
        <v/>
      </c>
      <c r="G3790" s="10" t="str">
        <f>IF(OR(C3790="",B3790=""),"",IFERROR(C3790*INDEX(Harytlar!$D$5:$D$44,MATCH(B3790,Harytlar!$A$5:$A$44,0)),""))</f>
        <v/>
      </c>
    </row>
    <row r="3791" spans="1:7" x14ac:dyDescent="0.3">
      <c r="A3791" s="17"/>
      <c r="B3791" s="18"/>
      <c r="C3791" s="18"/>
      <c r="D3791" s="18"/>
      <c r="E3791" s="10" t="str">
        <f>IF(B3791="","",IFERROR(INDEX(Harytlar!$C$5:$C$44,MATCH(B3791,Harytlar!$A$5:$A$44,0)),""))</f>
        <v/>
      </c>
      <c r="F3791" s="10" t="str">
        <f t="shared" si="59"/>
        <v/>
      </c>
      <c r="G3791" s="10" t="str">
        <f>IF(OR(C3791="",B3791=""),"",IFERROR(C3791*INDEX(Harytlar!$D$5:$D$44,MATCH(B3791,Harytlar!$A$5:$A$44,0)),""))</f>
        <v/>
      </c>
    </row>
    <row r="3792" spans="1:7" x14ac:dyDescent="0.3">
      <c r="A3792" s="17"/>
      <c r="B3792" s="18"/>
      <c r="C3792" s="18"/>
      <c r="D3792" s="18"/>
      <c r="E3792" s="10" t="str">
        <f>IF(B3792="","",IFERROR(INDEX(Harytlar!$C$5:$C$44,MATCH(B3792,Harytlar!$A$5:$A$44,0)),""))</f>
        <v/>
      </c>
      <c r="F3792" s="10" t="str">
        <f t="shared" si="59"/>
        <v/>
      </c>
      <c r="G3792" s="10" t="str">
        <f>IF(OR(C3792="",B3792=""),"",IFERROR(C3792*INDEX(Harytlar!$D$5:$D$44,MATCH(B3792,Harytlar!$A$5:$A$44,0)),""))</f>
        <v/>
      </c>
    </row>
    <row r="3793" spans="1:7" x14ac:dyDescent="0.3">
      <c r="A3793" s="17"/>
      <c r="B3793" s="18"/>
      <c r="C3793" s="18"/>
      <c r="D3793" s="18"/>
      <c r="E3793" s="10" t="str">
        <f>IF(B3793="","",IFERROR(INDEX(Harytlar!$C$5:$C$44,MATCH(B3793,Harytlar!$A$5:$A$44,0)),""))</f>
        <v/>
      </c>
      <c r="F3793" s="10" t="str">
        <f t="shared" si="59"/>
        <v/>
      </c>
      <c r="G3793" s="10" t="str">
        <f>IF(OR(C3793="",B3793=""),"",IFERROR(C3793*INDEX(Harytlar!$D$5:$D$44,MATCH(B3793,Harytlar!$A$5:$A$44,0)),""))</f>
        <v/>
      </c>
    </row>
    <row r="3794" spans="1:7" x14ac:dyDescent="0.3">
      <c r="A3794" s="17"/>
      <c r="B3794" s="18"/>
      <c r="C3794" s="18"/>
      <c r="D3794" s="18"/>
      <c r="E3794" s="10" t="str">
        <f>IF(B3794="","",IFERROR(INDEX(Harytlar!$C$5:$C$44,MATCH(B3794,Harytlar!$A$5:$A$44,0)),""))</f>
        <v/>
      </c>
      <c r="F3794" s="10" t="str">
        <f t="shared" si="59"/>
        <v/>
      </c>
      <c r="G3794" s="10" t="str">
        <f>IF(OR(C3794="",B3794=""),"",IFERROR(C3794*INDEX(Harytlar!$D$5:$D$44,MATCH(B3794,Harytlar!$A$5:$A$44,0)),""))</f>
        <v/>
      </c>
    </row>
    <row r="3795" spans="1:7" x14ac:dyDescent="0.3">
      <c r="A3795" s="17"/>
      <c r="B3795" s="18"/>
      <c r="C3795" s="18"/>
      <c r="D3795" s="18"/>
      <c r="E3795" s="10" t="str">
        <f>IF(B3795="","",IFERROR(INDEX(Harytlar!$C$5:$C$44,MATCH(B3795,Harytlar!$A$5:$A$44,0)),""))</f>
        <v/>
      </c>
      <c r="F3795" s="10" t="str">
        <f t="shared" si="59"/>
        <v/>
      </c>
      <c r="G3795" s="10" t="str">
        <f>IF(OR(C3795="",B3795=""),"",IFERROR(C3795*INDEX(Harytlar!$D$5:$D$44,MATCH(B3795,Harytlar!$A$5:$A$44,0)),""))</f>
        <v/>
      </c>
    </row>
    <row r="3796" spans="1:7" x14ac:dyDescent="0.3">
      <c r="A3796" s="17"/>
      <c r="B3796" s="18"/>
      <c r="C3796" s="18"/>
      <c r="D3796" s="18"/>
      <c r="E3796" s="10" t="str">
        <f>IF(B3796="","",IFERROR(INDEX(Harytlar!$C$5:$C$44,MATCH(B3796,Harytlar!$A$5:$A$44,0)),""))</f>
        <v/>
      </c>
      <c r="F3796" s="10" t="str">
        <f t="shared" si="59"/>
        <v/>
      </c>
      <c r="G3796" s="10" t="str">
        <f>IF(OR(C3796="",B3796=""),"",IFERROR(C3796*INDEX(Harytlar!$D$5:$D$44,MATCH(B3796,Harytlar!$A$5:$A$44,0)),""))</f>
        <v/>
      </c>
    </row>
    <row r="3797" spans="1:7" x14ac:dyDescent="0.3">
      <c r="A3797" s="17"/>
      <c r="B3797" s="18"/>
      <c r="C3797" s="18"/>
      <c r="D3797" s="18"/>
      <c r="E3797" s="10" t="str">
        <f>IF(B3797="","",IFERROR(INDEX(Harytlar!$C$5:$C$44,MATCH(B3797,Harytlar!$A$5:$A$44,0)),""))</f>
        <v/>
      </c>
      <c r="F3797" s="10" t="str">
        <f t="shared" si="59"/>
        <v/>
      </c>
      <c r="G3797" s="10" t="str">
        <f>IF(OR(C3797="",B3797=""),"",IFERROR(C3797*INDEX(Harytlar!$D$5:$D$44,MATCH(B3797,Harytlar!$A$5:$A$44,0)),""))</f>
        <v/>
      </c>
    </row>
    <row r="3798" spans="1:7" x14ac:dyDescent="0.3">
      <c r="A3798" s="17"/>
      <c r="B3798" s="18"/>
      <c r="C3798" s="18"/>
      <c r="D3798" s="18"/>
      <c r="E3798" s="10" t="str">
        <f>IF(B3798="","",IFERROR(INDEX(Harytlar!$C$5:$C$44,MATCH(B3798,Harytlar!$A$5:$A$44,0)),""))</f>
        <v/>
      </c>
      <c r="F3798" s="10" t="str">
        <f t="shared" si="59"/>
        <v/>
      </c>
      <c r="G3798" s="10" t="str">
        <f>IF(OR(C3798="",B3798=""),"",IFERROR(C3798*INDEX(Harytlar!$D$5:$D$44,MATCH(B3798,Harytlar!$A$5:$A$44,0)),""))</f>
        <v/>
      </c>
    </row>
    <row r="3799" spans="1:7" x14ac:dyDescent="0.3">
      <c r="A3799" s="17"/>
      <c r="B3799" s="18"/>
      <c r="C3799" s="18"/>
      <c r="D3799" s="18"/>
      <c r="E3799" s="10" t="str">
        <f>IF(B3799="","",IFERROR(INDEX(Harytlar!$C$5:$C$44,MATCH(B3799,Harytlar!$A$5:$A$44,0)),""))</f>
        <v/>
      </c>
      <c r="F3799" s="10" t="str">
        <f t="shared" si="59"/>
        <v/>
      </c>
      <c r="G3799" s="10" t="str">
        <f>IF(OR(C3799="",B3799=""),"",IFERROR(C3799*INDEX(Harytlar!$D$5:$D$44,MATCH(B3799,Harytlar!$A$5:$A$44,0)),""))</f>
        <v/>
      </c>
    </row>
    <row r="3800" spans="1:7" x14ac:dyDescent="0.3">
      <c r="A3800" s="17"/>
      <c r="B3800" s="18"/>
      <c r="C3800" s="18"/>
      <c r="D3800" s="18"/>
      <c r="E3800" s="10" t="str">
        <f>IF(B3800="","",IFERROR(INDEX(Harytlar!$C$5:$C$44,MATCH(B3800,Harytlar!$A$5:$A$44,0)),""))</f>
        <v/>
      </c>
      <c r="F3800" s="10" t="str">
        <f t="shared" si="59"/>
        <v/>
      </c>
      <c r="G3800" s="10" t="str">
        <f>IF(OR(C3800="",B3800=""),"",IFERROR(C3800*INDEX(Harytlar!$D$5:$D$44,MATCH(B3800,Harytlar!$A$5:$A$44,0)),""))</f>
        <v/>
      </c>
    </row>
    <row r="3801" spans="1:7" x14ac:dyDescent="0.3">
      <c r="A3801" s="17"/>
      <c r="B3801" s="18"/>
      <c r="C3801" s="18"/>
      <c r="D3801" s="18"/>
      <c r="E3801" s="10" t="str">
        <f>IF(B3801="","",IFERROR(INDEX(Harytlar!$C$5:$C$44,MATCH(B3801,Harytlar!$A$5:$A$44,0)),""))</f>
        <v/>
      </c>
      <c r="F3801" s="10" t="str">
        <f t="shared" si="59"/>
        <v/>
      </c>
      <c r="G3801" s="10" t="str">
        <f>IF(OR(C3801="",B3801=""),"",IFERROR(C3801*INDEX(Harytlar!$D$5:$D$44,MATCH(B3801,Harytlar!$A$5:$A$44,0)),""))</f>
        <v/>
      </c>
    </row>
    <row r="3802" spans="1:7" x14ac:dyDescent="0.3">
      <c r="A3802" s="17"/>
      <c r="B3802" s="18"/>
      <c r="C3802" s="18"/>
      <c r="D3802" s="18"/>
      <c r="E3802" s="10" t="str">
        <f>IF(B3802="","",IFERROR(INDEX(Harytlar!$C$5:$C$44,MATCH(B3802,Harytlar!$A$5:$A$44,0)),""))</f>
        <v/>
      </c>
      <c r="F3802" s="10" t="str">
        <f t="shared" si="59"/>
        <v/>
      </c>
      <c r="G3802" s="10" t="str">
        <f>IF(OR(C3802="",B3802=""),"",IFERROR(C3802*INDEX(Harytlar!$D$5:$D$44,MATCH(B3802,Harytlar!$A$5:$A$44,0)),""))</f>
        <v/>
      </c>
    </row>
    <row r="3803" spans="1:7" x14ac:dyDescent="0.3">
      <c r="A3803" s="17"/>
      <c r="B3803" s="18"/>
      <c r="C3803" s="18"/>
      <c r="D3803" s="18"/>
      <c r="E3803" s="10" t="str">
        <f>IF(B3803="","",IFERROR(INDEX(Harytlar!$C$5:$C$44,MATCH(B3803,Harytlar!$A$5:$A$44,0)),""))</f>
        <v/>
      </c>
      <c r="F3803" s="10" t="str">
        <f t="shared" si="59"/>
        <v/>
      </c>
      <c r="G3803" s="10" t="str">
        <f>IF(OR(C3803="",B3803=""),"",IFERROR(C3803*INDEX(Harytlar!$D$5:$D$44,MATCH(B3803,Harytlar!$A$5:$A$44,0)),""))</f>
        <v/>
      </c>
    </row>
    <row r="3804" spans="1:7" x14ac:dyDescent="0.3">
      <c r="A3804" s="17"/>
      <c r="B3804" s="18"/>
      <c r="C3804" s="18"/>
      <c r="D3804" s="18"/>
      <c r="E3804" s="10" t="str">
        <f>IF(B3804="","",IFERROR(INDEX(Harytlar!$C$5:$C$44,MATCH(B3804,Harytlar!$A$5:$A$44,0)),""))</f>
        <v/>
      </c>
      <c r="F3804" s="10" t="str">
        <f t="shared" si="59"/>
        <v/>
      </c>
      <c r="G3804" s="10" t="str">
        <f>IF(OR(C3804="",B3804=""),"",IFERROR(C3804*INDEX(Harytlar!$D$5:$D$44,MATCH(B3804,Harytlar!$A$5:$A$44,0)),""))</f>
        <v/>
      </c>
    </row>
    <row r="3805" spans="1:7" x14ac:dyDescent="0.3">
      <c r="A3805" s="17"/>
      <c r="B3805" s="18"/>
      <c r="C3805" s="18"/>
      <c r="D3805" s="18"/>
      <c r="E3805" s="10" t="str">
        <f>IF(B3805="","",IFERROR(INDEX(Harytlar!$C$5:$C$44,MATCH(B3805,Harytlar!$A$5:$A$44,0)),""))</f>
        <v/>
      </c>
      <c r="F3805" s="10" t="str">
        <f t="shared" si="59"/>
        <v/>
      </c>
      <c r="G3805" s="10" t="str">
        <f>IF(OR(C3805="",B3805=""),"",IFERROR(C3805*INDEX(Harytlar!$D$5:$D$44,MATCH(B3805,Harytlar!$A$5:$A$44,0)),""))</f>
        <v/>
      </c>
    </row>
    <row r="3806" spans="1:7" x14ac:dyDescent="0.3">
      <c r="A3806" s="17"/>
      <c r="B3806" s="18"/>
      <c r="C3806" s="18"/>
      <c r="D3806" s="18"/>
      <c r="E3806" s="10" t="str">
        <f>IF(B3806="","",IFERROR(INDEX(Harytlar!$C$5:$C$44,MATCH(B3806,Harytlar!$A$5:$A$44,0)),""))</f>
        <v/>
      </c>
      <c r="F3806" s="10" t="str">
        <f t="shared" si="59"/>
        <v/>
      </c>
      <c r="G3806" s="10" t="str">
        <f>IF(OR(C3806="",B3806=""),"",IFERROR(C3806*INDEX(Harytlar!$D$5:$D$44,MATCH(B3806,Harytlar!$A$5:$A$44,0)),""))</f>
        <v/>
      </c>
    </row>
    <row r="3807" spans="1:7" x14ac:dyDescent="0.3">
      <c r="A3807" s="17"/>
      <c r="B3807" s="18"/>
      <c r="C3807" s="18"/>
      <c r="D3807" s="18"/>
      <c r="E3807" s="10" t="str">
        <f>IF(B3807="","",IFERROR(INDEX(Harytlar!$C$5:$C$44,MATCH(B3807,Harytlar!$A$5:$A$44,0)),""))</f>
        <v/>
      </c>
      <c r="F3807" s="10" t="str">
        <f t="shared" si="59"/>
        <v/>
      </c>
      <c r="G3807" s="10" t="str">
        <f>IF(OR(C3807="",B3807=""),"",IFERROR(C3807*INDEX(Harytlar!$D$5:$D$44,MATCH(B3807,Harytlar!$A$5:$A$44,0)),""))</f>
        <v/>
      </c>
    </row>
    <row r="3808" spans="1:7" x14ac:dyDescent="0.3">
      <c r="A3808" s="17"/>
      <c r="B3808" s="18"/>
      <c r="C3808" s="18"/>
      <c r="D3808" s="18"/>
      <c r="E3808" s="10" t="str">
        <f>IF(B3808="","",IFERROR(INDEX(Harytlar!$C$5:$C$44,MATCH(B3808,Harytlar!$A$5:$A$44,0)),""))</f>
        <v/>
      </c>
      <c r="F3808" s="10" t="str">
        <f t="shared" si="59"/>
        <v/>
      </c>
      <c r="G3808" s="10" t="str">
        <f>IF(OR(C3808="",B3808=""),"",IFERROR(C3808*INDEX(Harytlar!$D$5:$D$44,MATCH(B3808,Harytlar!$A$5:$A$44,0)),""))</f>
        <v/>
      </c>
    </row>
    <row r="3809" spans="1:7" x14ac:dyDescent="0.3">
      <c r="A3809" s="17"/>
      <c r="B3809" s="18"/>
      <c r="C3809" s="18"/>
      <c r="D3809" s="18"/>
      <c r="E3809" s="10" t="str">
        <f>IF(B3809="","",IFERROR(INDEX(Harytlar!$C$5:$C$44,MATCH(B3809,Harytlar!$A$5:$A$44,0)),""))</f>
        <v/>
      </c>
      <c r="F3809" s="10" t="str">
        <f t="shared" si="59"/>
        <v/>
      </c>
      <c r="G3809" s="10" t="str">
        <f>IF(OR(C3809="",B3809=""),"",IFERROR(C3809*INDEX(Harytlar!$D$5:$D$44,MATCH(B3809,Harytlar!$A$5:$A$44,0)),""))</f>
        <v/>
      </c>
    </row>
    <row r="3810" spans="1:7" x14ac:dyDescent="0.3">
      <c r="A3810" s="17"/>
      <c r="B3810" s="18"/>
      <c r="C3810" s="18"/>
      <c r="D3810" s="18"/>
      <c r="E3810" s="10" t="str">
        <f>IF(B3810="","",IFERROR(INDEX(Harytlar!$C$5:$C$44,MATCH(B3810,Harytlar!$A$5:$A$44,0)),""))</f>
        <v/>
      </c>
      <c r="F3810" s="10" t="str">
        <f t="shared" si="59"/>
        <v/>
      </c>
      <c r="G3810" s="10" t="str">
        <f>IF(OR(C3810="",B3810=""),"",IFERROR(C3810*INDEX(Harytlar!$D$5:$D$44,MATCH(B3810,Harytlar!$A$5:$A$44,0)),""))</f>
        <v/>
      </c>
    </row>
    <row r="3811" spans="1:7" x14ac:dyDescent="0.3">
      <c r="A3811" s="17"/>
      <c r="B3811" s="18"/>
      <c r="C3811" s="18"/>
      <c r="D3811" s="18"/>
      <c r="E3811" s="10" t="str">
        <f>IF(B3811="","",IFERROR(INDEX(Harytlar!$C$5:$C$44,MATCH(B3811,Harytlar!$A$5:$A$44,0)),""))</f>
        <v/>
      </c>
      <c r="F3811" s="10" t="str">
        <f t="shared" si="59"/>
        <v/>
      </c>
      <c r="G3811" s="10" t="str">
        <f>IF(OR(C3811="",B3811=""),"",IFERROR(C3811*INDEX(Harytlar!$D$5:$D$44,MATCH(B3811,Harytlar!$A$5:$A$44,0)),""))</f>
        <v/>
      </c>
    </row>
    <row r="3812" spans="1:7" x14ac:dyDescent="0.3">
      <c r="A3812" s="17"/>
      <c r="B3812" s="18"/>
      <c r="C3812" s="18"/>
      <c r="D3812" s="18"/>
      <c r="E3812" s="10" t="str">
        <f>IF(B3812="","",IFERROR(INDEX(Harytlar!$C$5:$C$44,MATCH(B3812,Harytlar!$A$5:$A$44,0)),""))</f>
        <v/>
      </c>
      <c r="F3812" s="10" t="str">
        <f t="shared" si="59"/>
        <v/>
      </c>
      <c r="G3812" s="10" t="str">
        <f>IF(OR(C3812="",B3812=""),"",IFERROR(C3812*INDEX(Harytlar!$D$5:$D$44,MATCH(B3812,Harytlar!$A$5:$A$44,0)),""))</f>
        <v/>
      </c>
    </row>
    <row r="3813" spans="1:7" x14ac:dyDescent="0.3">
      <c r="A3813" s="17"/>
      <c r="B3813" s="18"/>
      <c r="C3813" s="18"/>
      <c r="D3813" s="18"/>
      <c r="E3813" s="10" t="str">
        <f>IF(B3813="","",IFERROR(INDEX(Harytlar!$C$5:$C$44,MATCH(B3813,Harytlar!$A$5:$A$44,0)),""))</f>
        <v/>
      </c>
      <c r="F3813" s="10" t="str">
        <f t="shared" si="59"/>
        <v/>
      </c>
      <c r="G3813" s="10" t="str">
        <f>IF(OR(C3813="",B3813=""),"",IFERROR(C3813*INDEX(Harytlar!$D$5:$D$44,MATCH(B3813,Harytlar!$A$5:$A$44,0)),""))</f>
        <v/>
      </c>
    </row>
    <row r="3814" spans="1:7" x14ac:dyDescent="0.3">
      <c r="A3814" s="17"/>
      <c r="B3814" s="18"/>
      <c r="C3814" s="18"/>
      <c r="D3814" s="18"/>
      <c r="E3814" s="10" t="str">
        <f>IF(B3814="","",IFERROR(INDEX(Harytlar!$C$5:$C$44,MATCH(B3814,Harytlar!$A$5:$A$44,0)),""))</f>
        <v/>
      </c>
      <c r="F3814" s="10" t="str">
        <f t="shared" si="59"/>
        <v/>
      </c>
      <c r="G3814" s="10" t="str">
        <f>IF(OR(C3814="",B3814=""),"",IFERROR(C3814*INDEX(Harytlar!$D$5:$D$44,MATCH(B3814,Harytlar!$A$5:$A$44,0)),""))</f>
        <v/>
      </c>
    </row>
    <row r="3815" spans="1:7" x14ac:dyDescent="0.3">
      <c r="A3815" s="17"/>
      <c r="B3815" s="18"/>
      <c r="C3815" s="18"/>
      <c r="D3815" s="18"/>
      <c r="E3815" s="10" t="str">
        <f>IF(B3815="","",IFERROR(INDEX(Harytlar!$C$5:$C$44,MATCH(B3815,Harytlar!$A$5:$A$44,0)),""))</f>
        <v/>
      </c>
      <c r="F3815" s="10" t="str">
        <f t="shared" si="59"/>
        <v/>
      </c>
      <c r="G3815" s="10" t="str">
        <f>IF(OR(C3815="",B3815=""),"",IFERROR(C3815*INDEX(Harytlar!$D$5:$D$44,MATCH(B3815,Harytlar!$A$5:$A$44,0)),""))</f>
        <v/>
      </c>
    </row>
    <row r="3816" spans="1:7" x14ac:dyDescent="0.3">
      <c r="A3816" s="17"/>
      <c r="B3816" s="18"/>
      <c r="C3816" s="18"/>
      <c r="D3816" s="18"/>
      <c r="E3816" s="10" t="str">
        <f>IF(B3816="","",IFERROR(INDEX(Harytlar!$C$5:$C$44,MATCH(B3816,Harytlar!$A$5:$A$44,0)),""))</f>
        <v/>
      </c>
      <c r="F3816" s="10" t="str">
        <f t="shared" si="59"/>
        <v/>
      </c>
      <c r="G3816" s="10" t="str">
        <f>IF(OR(C3816="",B3816=""),"",IFERROR(C3816*INDEX(Harytlar!$D$5:$D$44,MATCH(B3816,Harytlar!$A$5:$A$44,0)),""))</f>
        <v/>
      </c>
    </row>
    <row r="3817" spans="1:7" x14ac:dyDescent="0.3">
      <c r="A3817" s="17"/>
      <c r="B3817" s="18"/>
      <c r="C3817" s="18"/>
      <c r="D3817" s="18"/>
      <c r="E3817" s="10" t="str">
        <f>IF(B3817="","",IFERROR(INDEX(Harytlar!$C$5:$C$44,MATCH(B3817,Harytlar!$A$5:$A$44,0)),""))</f>
        <v/>
      </c>
      <c r="F3817" s="10" t="str">
        <f t="shared" si="59"/>
        <v/>
      </c>
      <c r="G3817" s="10" t="str">
        <f>IF(OR(C3817="",B3817=""),"",IFERROR(C3817*INDEX(Harytlar!$D$5:$D$44,MATCH(B3817,Harytlar!$A$5:$A$44,0)),""))</f>
        <v/>
      </c>
    </row>
    <row r="3818" spans="1:7" x14ac:dyDescent="0.3">
      <c r="A3818" s="17"/>
      <c r="B3818" s="18"/>
      <c r="C3818" s="18"/>
      <c r="D3818" s="18"/>
      <c r="E3818" s="10" t="str">
        <f>IF(B3818="","",IFERROR(INDEX(Harytlar!$C$5:$C$44,MATCH(B3818,Harytlar!$A$5:$A$44,0)),""))</f>
        <v/>
      </c>
      <c r="F3818" s="10" t="str">
        <f t="shared" si="59"/>
        <v/>
      </c>
      <c r="G3818" s="10" t="str">
        <f>IF(OR(C3818="",B3818=""),"",IFERROR(C3818*INDEX(Harytlar!$D$5:$D$44,MATCH(B3818,Harytlar!$A$5:$A$44,0)),""))</f>
        <v/>
      </c>
    </row>
    <row r="3819" spans="1:7" x14ac:dyDescent="0.3">
      <c r="A3819" s="17"/>
      <c r="B3819" s="18"/>
      <c r="C3819" s="18"/>
      <c r="D3819" s="18"/>
      <c r="E3819" s="10" t="str">
        <f>IF(B3819="","",IFERROR(INDEX(Harytlar!$C$5:$C$44,MATCH(B3819,Harytlar!$A$5:$A$44,0)),""))</f>
        <v/>
      </c>
      <c r="F3819" s="10" t="str">
        <f t="shared" si="59"/>
        <v/>
      </c>
      <c r="G3819" s="10" t="str">
        <f>IF(OR(C3819="",B3819=""),"",IFERROR(C3819*INDEX(Harytlar!$D$5:$D$44,MATCH(B3819,Harytlar!$A$5:$A$44,0)),""))</f>
        <v/>
      </c>
    </row>
    <row r="3820" spans="1:7" x14ac:dyDescent="0.3">
      <c r="A3820" s="17"/>
      <c r="B3820" s="18"/>
      <c r="C3820" s="18"/>
      <c r="D3820" s="18"/>
      <c r="E3820" s="10" t="str">
        <f>IF(B3820="","",IFERROR(INDEX(Harytlar!$C$5:$C$44,MATCH(B3820,Harytlar!$A$5:$A$44,0)),""))</f>
        <v/>
      </c>
      <c r="F3820" s="10" t="str">
        <f t="shared" si="59"/>
        <v/>
      </c>
      <c r="G3820" s="10" t="str">
        <f>IF(OR(C3820="",B3820=""),"",IFERROR(C3820*INDEX(Harytlar!$D$5:$D$44,MATCH(B3820,Harytlar!$A$5:$A$44,0)),""))</f>
        <v/>
      </c>
    </row>
    <row r="3821" spans="1:7" x14ac:dyDescent="0.3">
      <c r="A3821" s="17"/>
      <c r="B3821" s="18"/>
      <c r="C3821" s="18"/>
      <c r="D3821" s="18"/>
      <c r="E3821" s="10" t="str">
        <f>IF(B3821="","",IFERROR(INDEX(Harytlar!$C$5:$C$44,MATCH(B3821,Harytlar!$A$5:$A$44,0)),""))</f>
        <v/>
      </c>
      <c r="F3821" s="10" t="str">
        <f t="shared" si="59"/>
        <v/>
      </c>
      <c r="G3821" s="10" t="str">
        <f>IF(OR(C3821="",B3821=""),"",IFERROR(C3821*INDEX(Harytlar!$D$5:$D$44,MATCH(B3821,Harytlar!$A$5:$A$44,0)),""))</f>
        <v/>
      </c>
    </row>
    <row r="3822" spans="1:7" x14ac:dyDescent="0.3">
      <c r="A3822" s="17"/>
      <c r="B3822" s="18"/>
      <c r="C3822" s="18"/>
      <c r="D3822" s="18"/>
      <c r="E3822" s="10" t="str">
        <f>IF(B3822="","",IFERROR(INDEX(Harytlar!$C$5:$C$44,MATCH(B3822,Harytlar!$A$5:$A$44,0)),""))</f>
        <v/>
      </c>
      <c r="F3822" s="10" t="str">
        <f t="shared" si="59"/>
        <v/>
      </c>
      <c r="G3822" s="10" t="str">
        <f>IF(OR(C3822="",B3822=""),"",IFERROR(C3822*INDEX(Harytlar!$D$5:$D$44,MATCH(B3822,Harytlar!$A$5:$A$44,0)),""))</f>
        <v/>
      </c>
    </row>
    <row r="3823" spans="1:7" x14ac:dyDescent="0.3">
      <c r="A3823" s="17"/>
      <c r="B3823" s="18"/>
      <c r="C3823" s="18"/>
      <c r="D3823" s="18"/>
      <c r="E3823" s="10" t="str">
        <f>IF(B3823="","",IFERROR(INDEX(Harytlar!$C$5:$C$44,MATCH(B3823,Harytlar!$A$5:$A$44,0)),""))</f>
        <v/>
      </c>
      <c r="F3823" s="10" t="str">
        <f t="shared" si="59"/>
        <v/>
      </c>
      <c r="G3823" s="10" t="str">
        <f>IF(OR(C3823="",B3823=""),"",IFERROR(C3823*INDEX(Harytlar!$D$5:$D$44,MATCH(B3823,Harytlar!$A$5:$A$44,0)),""))</f>
        <v/>
      </c>
    </row>
    <row r="3824" spans="1:7" x14ac:dyDescent="0.3">
      <c r="A3824" s="17"/>
      <c r="B3824" s="18"/>
      <c r="C3824" s="18"/>
      <c r="D3824" s="18"/>
      <c r="E3824" s="10" t="str">
        <f>IF(B3824="","",IFERROR(INDEX(Harytlar!$C$5:$C$44,MATCH(B3824,Harytlar!$A$5:$A$44,0)),""))</f>
        <v/>
      </c>
      <c r="F3824" s="10" t="str">
        <f t="shared" si="59"/>
        <v/>
      </c>
      <c r="G3824" s="10" t="str">
        <f>IF(OR(C3824="",B3824=""),"",IFERROR(C3824*INDEX(Harytlar!$D$5:$D$44,MATCH(B3824,Harytlar!$A$5:$A$44,0)),""))</f>
        <v/>
      </c>
    </row>
    <row r="3825" spans="1:7" x14ac:dyDescent="0.3">
      <c r="A3825" s="17"/>
      <c r="B3825" s="18"/>
      <c r="C3825" s="18"/>
      <c r="D3825" s="18"/>
      <c r="E3825" s="10" t="str">
        <f>IF(B3825="","",IFERROR(INDEX(Harytlar!$C$5:$C$44,MATCH(B3825,Harytlar!$A$5:$A$44,0)),""))</f>
        <v/>
      </c>
      <c r="F3825" s="10" t="str">
        <f t="shared" si="59"/>
        <v/>
      </c>
      <c r="G3825" s="10" t="str">
        <f>IF(OR(C3825="",B3825=""),"",IFERROR(C3825*INDEX(Harytlar!$D$5:$D$44,MATCH(B3825,Harytlar!$A$5:$A$44,0)),""))</f>
        <v/>
      </c>
    </row>
    <row r="3826" spans="1:7" x14ac:dyDescent="0.3">
      <c r="A3826" s="17"/>
      <c r="B3826" s="18"/>
      <c r="C3826" s="18"/>
      <c r="D3826" s="18"/>
      <c r="E3826" s="10" t="str">
        <f>IF(B3826="","",IFERROR(INDEX(Harytlar!$C$5:$C$44,MATCH(B3826,Harytlar!$A$5:$A$44,0)),""))</f>
        <v/>
      </c>
      <c r="F3826" s="10" t="str">
        <f t="shared" si="59"/>
        <v/>
      </c>
      <c r="G3826" s="10" t="str">
        <f>IF(OR(C3826="",B3826=""),"",IFERROR(C3826*INDEX(Harytlar!$D$5:$D$44,MATCH(B3826,Harytlar!$A$5:$A$44,0)),""))</f>
        <v/>
      </c>
    </row>
    <row r="3827" spans="1:7" x14ac:dyDescent="0.3">
      <c r="A3827" s="17"/>
      <c r="B3827" s="18"/>
      <c r="C3827" s="18"/>
      <c r="D3827" s="18"/>
      <c r="E3827" s="10" t="str">
        <f>IF(B3827="","",IFERROR(INDEX(Harytlar!$C$5:$C$44,MATCH(B3827,Harytlar!$A$5:$A$44,0)),""))</f>
        <v/>
      </c>
      <c r="F3827" s="10" t="str">
        <f t="shared" si="59"/>
        <v/>
      </c>
      <c r="G3827" s="10" t="str">
        <f>IF(OR(C3827="",B3827=""),"",IFERROR(C3827*INDEX(Harytlar!$D$5:$D$44,MATCH(B3827,Harytlar!$A$5:$A$44,0)),""))</f>
        <v/>
      </c>
    </row>
    <row r="3828" spans="1:7" x14ac:dyDescent="0.3">
      <c r="A3828" s="17"/>
      <c r="B3828" s="18"/>
      <c r="C3828" s="18"/>
      <c r="D3828" s="18"/>
      <c r="E3828" s="10" t="str">
        <f>IF(B3828="","",IFERROR(INDEX(Harytlar!$C$5:$C$44,MATCH(B3828,Harytlar!$A$5:$A$44,0)),""))</f>
        <v/>
      </c>
      <c r="F3828" s="10" t="str">
        <f t="shared" si="59"/>
        <v/>
      </c>
      <c r="G3828" s="10" t="str">
        <f>IF(OR(C3828="",B3828=""),"",IFERROR(C3828*INDEX(Harytlar!$D$5:$D$44,MATCH(B3828,Harytlar!$A$5:$A$44,0)),""))</f>
        <v/>
      </c>
    </row>
    <row r="3829" spans="1:7" x14ac:dyDescent="0.3">
      <c r="A3829" s="17"/>
      <c r="B3829" s="18"/>
      <c r="C3829" s="18"/>
      <c r="D3829" s="18"/>
      <c r="E3829" s="10" t="str">
        <f>IF(B3829="","",IFERROR(INDEX(Harytlar!$C$5:$C$44,MATCH(B3829,Harytlar!$A$5:$A$44,0)),""))</f>
        <v/>
      </c>
      <c r="F3829" s="10" t="str">
        <f t="shared" si="59"/>
        <v/>
      </c>
      <c r="G3829" s="10" t="str">
        <f>IF(OR(C3829="",B3829=""),"",IFERROR(C3829*INDEX(Harytlar!$D$5:$D$44,MATCH(B3829,Harytlar!$A$5:$A$44,0)),""))</f>
        <v/>
      </c>
    </row>
    <row r="3830" spans="1:7" x14ac:dyDescent="0.3">
      <c r="A3830" s="17"/>
      <c r="B3830" s="18"/>
      <c r="C3830" s="18"/>
      <c r="D3830" s="18"/>
      <c r="E3830" s="10" t="str">
        <f>IF(B3830="","",IFERROR(INDEX(Harytlar!$C$5:$C$44,MATCH(B3830,Harytlar!$A$5:$A$44,0)),""))</f>
        <v/>
      </c>
      <c r="F3830" s="10" t="str">
        <f t="shared" si="59"/>
        <v/>
      </c>
      <c r="G3830" s="10" t="str">
        <f>IF(OR(C3830="",B3830=""),"",IFERROR(C3830*INDEX(Harytlar!$D$5:$D$44,MATCH(B3830,Harytlar!$A$5:$A$44,0)),""))</f>
        <v/>
      </c>
    </row>
    <row r="3831" spans="1:7" x14ac:dyDescent="0.3">
      <c r="A3831" s="17"/>
      <c r="B3831" s="18"/>
      <c r="C3831" s="18"/>
      <c r="D3831" s="18"/>
      <c r="E3831" s="10" t="str">
        <f>IF(B3831="","",IFERROR(INDEX(Harytlar!$C$5:$C$44,MATCH(B3831,Harytlar!$A$5:$A$44,0)),""))</f>
        <v/>
      </c>
      <c r="F3831" s="10" t="str">
        <f t="shared" si="59"/>
        <v/>
      </c>
      <c r="G3831" s="10" t="str">
        <f>IF(OR(C3831="",B3831=""),"",IFERROR(C3831*INDEX(Harytlar!$D$5:$D$44,MATCH(B3831,Harytlar!$A$5:$A$44,0)),""))</f>
        <v/>
      </c>
    </row>
    <row r="3832" spans="1:7" x14ac:dyDescent="0.3">
      <c r="A3832" s="17"/>
      <c r="B3832" s="18"/>
      <c r="C3832" s="18"/>
      <c r="D3832" s="18"/>
      <c r="E3832" s="10" t="str">
        <f>IF(B3832="","",IFERROR(INDEX(Harytlar!$C$5:$C$44,MATCH(B3832,Harytlar!$A$5:$A$44,0)),""))</f>
        <v/>
      </c>
      <c r="F3832" s="10" t="str">
        <f t="shared" si="59"/>
        <v/>
      </c>
      <c r="G3832" s="10" t="str">
        <f>IF(OR(C3832="",B3832=""),"",IFERROR(C3832*INDEX(Harytlar!$D$5:$D$44,MATCH(B3832,Harytlar!$A$5:$A$44,0)),""))</f>
        <v/>
      </c>
    </row>
    <row r="3833" spans="1:7" x14ac:dyDescent="0.3">
      <c r="A3833" s="17"/>
      <c r="B3833" s="18"/>
      <c r="C3833" s="18"/>
      <c r="D3833" s="18"/>
      <c r="E3833" s="10" t="str">
        <f>IF(B3833="","",IFERROR(INDEX(Harytlar!$C$5:$C$44,MATCH(B3833,Harytlar!$A$5:$A$44,0)),""))</f>
        <v/>
      </c>
      <c r="F3833" s="10" t="str">
        <f t="shared" si="59"/>
        <v/>
      </c>
      <c r="G3833" s="10" t="str">
        <f>IF(OR(C3833="",B3833=""),"",IFERROR(C3833*INDEX(Harytlar!$D$5:$D$44,MATCH(B3833,Harytlar!$A$5:$A$44,0)),""))</f>
        <v/>
      </c>
    </row>
    <row r="3834" spans="1:7" x14ac:dyDescent="0.3">
      <c r="A3834" s="17"/>
      <c r="B3834" s="18"/>
      <c r="C3834" s="18"/>
      <c r="D3834" s="18"/>
      <c r="E3834" s="10" t="str">
        <f>IF(B3834="","",IFERROR(INDEX(Harytlar!$C$5:$C$44,MATCH(B3834,Harytlar!$A$5:$A$44,0)),""))</f>
        <v/>
      </c>
      <c r="F3834" s="10" t="str">
        <f t="shared" si="59"/>
        <v/>
      </c>
      <c r="G3834" s="10" t="str">
        <f>IF(OR(C3834="",B3834=""),"",IFERROR(C3834*INDEX(Harytlar!$D$5:$D$44,MATCH(B3834,Harytlar!$A$5:$A$44,0)),""))</f>
        <v/>
      </c>
    </row>
    <row r="3835" spans="1:7" x14ac:dyDescent="0.3">
      <c r="A3835" s="17"/>
      <c r="B3835" s="18"/>
      <c r="C3835" s="18"/>
      <c r="D3835" s="18"/>
      <c r="E3835" s="10" t="str">
        <f>IF(B3835="","",IFERROR(INDEX(Harytlar!$C$5:$C$44,MATCH(B3835,Harytlar!$A$5:$A$44,0)),""))</f>
        <v/>
      </c>
      <c r="F3835" s="10" t="str">
        <f t="shared" si="59"/>
        <v/>
      </c>
      <c r="G3835" s="10" t="str">
        <f>IF(OR(C3835="",B3835=""),"",IFERROR(C3835*INDEX(Harytlar!$D$5:$D$44,MATCH(B3835,Harytlar!$A$5:$A$44,0)),""))</f>
        <v/>
      </c>
    </row>
    <row r="3836" spans="1:7" x14ac:dyDescent="0.3">
      <c r="A3836" s="17"/>
      <c r="B3836" s="18"/>
      <c r="C3836" s="18"/>
      <c r="D3836" s="18"/>
      <c r="E3836" s="10" t="str">
        <f>IF(B3836="","",IFERROR(INDEX(Harytlar!$C$5:$C$44,MATCH(B3836,Harytlar!$A$5:$A$44,0)),""))</f>
        <v/>
      </c>
      <c r="F3836" s="10" t="str">
        <f t="shared" si="59"/>
        <v/>
      </c>
      <c r="G3836" s="10" t="str">
        <f>IF(OR(C3836="",B3836=""),"",IFERROR(C3836*INDEX(Harytlar!$D$5:$D$44,MATCH(B3836,Harytlar!$A$5:$A$44,0)),""))</f>
        <v/>
      </c>
    </row>
    <row r="3837" spans="1:7" x14ac:dyDescent="0.3">
      <c r="A3837" s="17"/>
      <c r="B3837" s="18"/>
      <c r="C3837" s="18"/>
      <c r="D3837" s="18"/>
      <c r="E3837" s="10" t="str">
        <f>IF(B3837="","",IFERROR(INDEX(Harytlar!$C$5:$C$44,MATCH(B3837,Harytlar!$A$5:$A$44,0)),""))</f>
        <v/>
      </c>
      <c r="F3837" s="10" t="str">
        <f t="shared" si="59"/>
        <v/>
      </c>
      <c r="G3837" s="10" t="str">
        <f>IF(OR(C3837="",B3837=""),"",IFERROR(C3837*INDEX(Harytlar!$D$5:$D$44,MATCH(B3837,Harytlar!$A$5:$A$44,0)),""))</f>
        <v/>
      </c>
    </row>
    <row r="3838" spans="1:7" x14ac:dyDescent="0.3">
      <c r="A3838" s="17"/>
      <c r="B3838" s="18"/>
      <c r="C3838" s="18"/>
      <c r="D3838" s="18"/>
      <c r="E3838" s="10" t="str">
        <f>IF(B3838="","",IFERROR(INDEX(Harytlar!$C$5:$C$44,MATCH(B3838,Harytlar!$A$5:$A$44,0)),""))</f>
        <v/>
      </c>
      <c r="F3838" s="10" t="str">
        <f t="shared" si="59"/>
        <v/>
      </c>
      <c r="G3838" s="10" t="str">
        <f>IF(OR(C3838="",B3838=""),"",IFERROR(C3838*INDEX(Harytlar!$D$5:$D$44,MATCH(B3838,Harytlar!$A$5:$A$44,0)),""))</f>
        <v/>
      </c>
    </row>
    <row r="3839" spans="1:7" x14ac:dyDescent="0.3">
      <c r="A3839" s="17"/>
      <c r="B3839" s="18"/>
      <c r="C3839" s="18"/>
      <c r="D3839" s="18"/>
      <c r="E3839" s="10" t="str">
        <f>IF(B3839="","",IFERROR(INDEX(Harytlar!$C$5:$C$44,MATCH(B3839,Harytlar!$A$5:$A$44,0)),""))</f>
        <v/>
      </c>
      <c r="F3839" s="10" t="str">
        <f t="shared" si="59"/>
        <v/>
      </c>
      <c r="G3839" s="10" t="str">
        <f>IF(OR(C3839="",B3839=""),"",IFERROR(C3839*INDEX(Harytlar!$D$5:$D$44,MATCH(B3839,Harytlar!$A$5:$A$44,0)),""))</f>
        <v/>
      </c>
    </row>
    <row r="3840" spans="1:7" x14ac:dyDescent="0.3">
      <c r="A3840" s="17"/>
      <c r="B3840" s="18"/>
      <c r="C3840" s="18"/>
      <c r="D3840" s="18"/>
      <c r="E3840" s="10" t="str">
        <f>IF(B3840="","",IFERROR(INDEX(Harytlar!$C$5:$C$44,MATCH(B3840,Harytlar!$A$5:$A$44,0)),""))</f>
        <v/>
      </c>
      <c r="F3840" s="10" t="str">
        <f t="shared" si="59"/>
        <v/>
      </c>
      <c r="G3840" s="10" t="str">
        <f>IF(OR(C3840="",B3840=""),"",IFERROR(C3840*INDEX(Harytlar!$D$5:$D$44,MATCH(B3840,Harytlar!$A$5:$A$44,0)),""))</f>
        <v/>
      </c>
    </row>
    <row r="3841" spans="1:7" x14ac:dyDescent="0.3">
      <c r="A3841" s="17"/>
      <c r="B3841" s="18"/>
      <c r="C3841" s="18"/>
      <c r="D3841" s="18"/>
      <c r="E3841" s="10" t="str">
        <f>IF(B3841="","",IFERROR(INDEX(Harytlar!$C$5:$C$44,MATCH(B3841,Harytlar!$A$5:$A$44,0)),""))</f>
        <v/>
      </c>
      <c r="F3841" s="10" t="str">
        <f t="shared" si="59"/>
        <v/>
      </c>
      <c r="G3841" s="10" t="str">
        <f>IF(OR(C3841="",B3841=""),"",IFERROR(C3841*INDEX(Harytlar!$D$5:$D$44,MATCH(B3841,Harytlar!$A$5:$A$44,0)),""))</f>
        <v/>
      </c>
    </row>
    <row r="3842" spans="1:7" x14ac:dyDescent="0.3">
      <c r="A3842" s="17"/>
      <c r="B3842" s="18"/>
      <c r="C3842" s="18"/>
      <c r="D3842" s="18"/>
      <c r="E3842" s="10" t="str">
        <f>IF(B3842="","",IFERROR(INDEX(Harytlar!$C$5:$C$44,MATCH(B3842,Harytlar!$A$5:$A$44,0)),""))</f>
        <v/>
      </c>
      <c r="F3842" s="10" t="str">
        <f t="shared" si="59"/>
        <v/>
      </c>
      <c r="G3842" s="10" t="str">
        <f>IF(OR(C3842="",B3842=""),"",IFERROR(C3842*INDEX(Harytlar!$D$5:$D$44,MATCH(B3842,Harytlar!$A$5:$A$44,0)),""))</f>
        <v/>
      </c>
    </row>
    <row r="3843" spans="1:7" x14ac:dyDescent="0.3">
      <c r="A3843" s="17"/>
      <c r="B3843" s="18"/>
      <c r="C3843" s="18"/>
      <c r="D3843" s="18"/>
      <c r="E3843" s="10" t="str">
        <f>IF(B3843="","",IFERROR(INDEX(Harytlar!$C$5:$C$44,MATCH(B3843,Harytlar!$A$5:$A$44,0)),""))</f>
        <v/>
      </c>
      <c r="F3843" s="10" t="str">
        <f t="shared" si="59"/>
        <v/>
      </c>
      <c r="G3843" s="10" t="str">
        <f>IF(OR(C3843="",B3843=""),"",IFERROR(C3843*INDEX(Harytlar!$D$5:$D$44,MATCH(B3843,Harytlar!$A$5:$A$44,0)),""))</f>
        <v/>
      </c>
    </row>
    <row r="3844" spans="1:7" x14ac:dyDescent="0.3">
      <c r="A3844" s="17"/>
      <c r="B3844" s="18"/>
      <c r="C3844" s="18"/>
      <c r="D3844" s="18"/>
      <c r="E3844" s="10" t="str">
        <f>IF(B3844="","",IFERROR(INDEX(Harytlar!$C$5:$C$44,MATCH(B3844,Harytlar!$A$5:$A$44,0)),""))</f>
        <v/>
      </c>
      <c r="F3844" s="10" t="str">
        <f t="shared" si="59"/>
        <v/>
      </c>
      <c r="G3844" s="10" t="str">
        <f>IF(OR(C3844="",B3844=""),"",IFERROR(C3844*INDEX(Harytlar!$D$5:$D$44,MATCH(B3844,Harytlar!$A$5:$A$44,0)),""))</f>
        <v/>
      </c>
    </row>
    <row r="3845" spans="1:7" x14ac:dyDescent="0.3">
      <c r="A3845" s="17"/>
      <c r="B3845" s="18"/>
      <c r="C3845" s="18"/>
      <c r="D3845" s="18"/>
      <c r="E3845" s="10" t="str">
        <f>IF(B3845="","",IFERROR(INDEX(Harytlar!$C$5:$C$44,MATCH(B3845,Harytlar!$A$5:$A$44,0)),""))</f>
        <v/>
      </c>
      <c r="F3845" s="10" t="str">
        <f t="shared" si="59"/>
        <v/>
      </c>
      <c r="G3845" s="10" t="str">
        <f>IF(OR(C3845="",B3845=""),"",IFERROR(C3845*INDEX(Harytlar!$D$5:$D$44,MATCH(B3845,Harytlar!$A$5:$A$44,0)),""))</f>
        <v/>
      </c>
    </row>
    <row r="3846" spans="1:7" x14ac:dyDescent="0.3">
      <c r="A3846" s="17"/>
      <c r="B3846" s="18"/>
      <c r="C3846" s="18"/>
      <c r="D3846" s="18"/>
      <c r="E3846" s="10" t="str">
        <f>IF(B3846="","",IFERROR(INDEX(Harytlar!$C$5:$C$44,MATCH(B3846,Harytlar!$A$5:$A$44,0)),""))</f>
        <v/>
      </c>
      <c r="F3846" s="10" t="str">
        <f t="shared" ref="F3846:F3909" si="60">IF(OR(C3846="",E3846=""),"",C3846*E3846)</f>
        <v/>
      </c>
      <c r="G3846" s="10" t="str">
        <f>IF(OR(C3846="",B3846=""),"",IFERROR(C3846*INDEX(Harytlar!$D$5:$D$44,MATCH(B3846,Harytlar!$A$5:$A$44,0)),""))</f>
        <v/>
      </c>
    </row>
    <row r="3847" spans="1:7" x14ac:dyDescent="0.3">
      <c r="A3847" s="17"/>
      <c r="B3847" s="18"/>
      <c r="C3847" s="18"/>
      <c r="D3847" s="18"/>
      <c r="E3847" s="10" t="str">
        <f>IF(B3847="","",IFERROR(INDEX(Harytlar!$C$5:$C$44,MATCH(B3847,Harytlar!$A$5:$A$44,0)),""))</f>
        <v/>
      </c>
      <c r="F3847" s="10" t="str">
        <f t="shared" si="60"/>
        <v/>
      </c>
      <c r="G3847" s="10" t="str">
        <f>IF(OR(C3847="",B3847=""),"",IFERROR(C3847*INDEX(Harytlar!$D$5:$D$44,MATCH(B3847,Harytlar!$A$5:$A$44,0)),""))</f>
        <v/>
      </c>
    </row>
    <row r="3848" spans="1:7" x14ac:dyDescent="0.3">
      <c r="A3848" s="17"/>
      <c r="B3848" s="18"/>
      <c r="C3848" s="18"/>
      <c r="D3848" s="18"/>
      <c r="E3848" s="10" t="str">
        <f>IF(B3848="","",IFERROR(INDEX(Harytlar!$C$5:$C$44,MATCH(B3848,Harytlar!$A$5:$A$44,0)),""))</f>
        <v/>
      </c>
      <c r="F3848" s="10" t="str">
        <f t="shared" si="60"/>
        <v/>
      </c>
      <c r="G3848" s="10" t="str">
        <f>IF(OR(C3848="",B3848=""),"",IFERROR(C3848*INDEX(Harytlar!$D$5:$D$44,MATCH(B3848,Harytlar!$A$5:$A$44,0)),""))</f>
        <v/>
      </c>
    </row>
    <row r="3849" spans="1:7" x14ac:dyDescent="0.3">
      <c r="A3849" s="17"/>
      <c r="B3849" s="18"/>
      <c r="C3849" s="18"/>
      <c r="D3849" s="18"/>
      <c r="E3849" s="10" t="str">
        <f>IF(B3849="","",IFERROR(INDEX(Harytlar!$C$5:$C$44,MATCH(B3849,Harytlar!$A$5:$A$44,0)),""))</f>
        <v/>
      </c>
      <c r="F3849" s="10" t="str">
        <f t="shared" si="60"/>
        <v/>
      </c>
      <c r="G3849" s="10" t="str">
        <f>IF(OR(C3849="",B3849=""),"",IFERROR(C3849*INDEX(Harytlar!$D$5:$D$44,MATCH(B3849,Harytlar!$A$5:$A$44,0)),""))</f>
        <v/>
      </c>
    </row>
    <row r="3850" spans="1:7" x14ac:dyDescent="0.3">
      <c r="A3850" s="17"/>
      <c r="B3850" s="18"/>
      <c r="C3850" s="18"/>
      <c r="D3850" s="18"/>
      <c r="E3850" s="10" t="str">
        <f>IF(B3850="","",IFERROR(INDEX(Harytlar!$C$5:$C$44,MATCH(B3850,Harytlar!$A$5:$A$44,0)),""))</f>
        <v/>
      </c>
      <c r="F3850" s="10" t="str">
        <f t="shared" si="60"/>
        <v/>
      </c>
      <c r="G3850" s="10" t="str">
        <f>IF(OR(C3850="",B3850=""),"",IFERROR(C3850*INDEX(Harytlar!$D$5:$D$44,MATCH(B3850,Harytlar!$A$5:$A$44,0)),""))</f>
        <v/>
      </c>
    </row>
    <row r="3851" spans="1:7" x14ac:dyDescent="0.3">
      <c r="A3851" s="17"/>
      <c r="B3851" s="18"/>
      <c r="C3851" s="18"/>
      <c r="D3851" s="18"/>
      <c r="E3851" s="10" t="str">
        <f>IF(B3851="","",IFERROR(INDEX(Harytlar!$C$5:$C$44,MATCH(B3851,Harytlar!$A$5:$A$44,0)),""))</f>
        <v/>
      </c>
      <c r="F3851" s="10" t="str">
        <f t="shared" si="60"/>
        <v/>
      </c>
      <c r="G3851" s="10" t="str">
        <f>IF(OR(C3851="",B3851=""),"",IFERROR(C3851*INDEX(Harytlar!$D$5:$D$44,MATCH(B3851,Harytlar!$A$5:$A$44,0)),""))</f>
        <v/>
      </c>
    </row>
    <row r="3852" spans="1:7" x14ac:dyDescent="0.3">
      <c r="A3852" s="17"/>
      <c r="B3852" s="18"/>
      <c r="C3852" s="18"/>
      <c r="D3852" s="18"/>
      <c r="E3852" s="10" t="str">
        <f>IF(B3852="","",IFERROR(INDEX(Harytlar!$C$5:$C$44,MATCH(B3852,Harytlar!$A$5:$A$44,0)),""))</f>
        <v/>
      </c>
      <c r="F3852" s="10" t="str">
        <f t="shared" si="60"/>
        <v/>
      </c>
      <c r="G3852" s="10" t="str">
        <f>IF(OR(C3852="",B3852=""),"",IFERROR(C3852*INDEX(Harytlar!$D$5:$D$44,MATCH(B3852,Harytlar!$A$5:$A$44,0)),""))</f>
        <v/>
      </c>
    </row>
    <row r="3853" spans="1:7" x14ac:dyDescent="0.3">
      <c r="A3853" s="17"/>
      <c r="B3853" s="18"/>
      <c r="C3853" s="18"/>
      <c r="D3853" s="18"/>
      <c r="E3853" s="10" t="str">
        <f>IF(B3853="","",IFERROR(INDEX(Harytlar!$C$5:$C$44,MATCH(B3853,Harytlar!$A$5:$A$44,0)),""))</f>
        <v/>
      </c>
      <c r="F3853" s="10" t="str">
        <f t="shared" si="60"/>
        <v/>
      </c>
      <c r="G3853" s="10" t="str">
        <f>IF(OR(C3853="",B3853=""),"",IFERROR(C3853*INDEX(Harytlar!$D$5:$D$44,MATCH(B3853,Harytlar!$A$5:$A$44,0)),""))</f>
        <v/>
      </c>
    </row>
    <row r="3854" spans="1:7" x14ac:dyDescent="0.3">
      <c r="A3854" s="17"/>
      <c r="B3854" s="18"/>
      <c r="C3854" s="18"/>
      <c r="D3854" s="18"/>
      <c r="E3854" s="10" t="str">
        <f>IF(B3854="","",IFERROR(INDEX(Harytlar!$C$5:$C$44,MATCH(B3854,Harytlar!$A$5:$A$44,0)),""))</f>
        <v/>
      </c>
      <c r="F3854" s="10" t="str">
        <f t="shared" si="60"/>
        <v/>
      </c>
      <c r="G3854" s="10" t="str">
        <f>IF(OR(C3854="",B3854=""),"",IFERROR(C3854*INDEX(Harytlar!$D$5:$D$44,MATCH(B3854,Harytlar!$A$5:$A$44,0)),""))</f>
        <v/>
      </c>
    </row>
    <row r="3855" spans="1:7" x14ac:dyDescent="0.3">
      <c r="A3855" s="17"/>
      <c r="B3855" s="18"/>
      <c r="C3855" s="18"/>
      <c r="D3855" s="18"/>
      <c r="E3855" s="10" t="str">
        <f>IF(B3855="","",IFERROR(INDEX(Harytlar!$C$5:$C$44,MATCH(B3855,Harytlar!$A$5:$A$44,0)),""))</f>
        <v/>
      </c>
      <c r="F3855" s="10" t="str">
        <f t="shared" si="60"/>
        <v/>
      </c>
      <c r="G3855" s="10" t="str">
        <f>IF(OR(C3855="",B3855=""),"",IFERROR(C3855*INDEX(Harytlar!$D$5:$D$44,MATCH(B3855,Harytlar!$A$5:$A$44,0)),""))</f>
        <v/>
      </c>
    </row>
    <row r="3856" spans="1:7" x14ac:dyDescent="0.3">
      <c r="A3856" s="17"/>
      <c r="B3856" s="18"/>
      <c r="C3856" s="18"/>
      <c r="D3856" s="18"/>
      <c r="E3856" s="10" t="str">
        <f>IF(B3856="","",IFERROR(INDEX(Harytlar!$C$5:$C$44,MATCH(B3856,Harytlar!$A$5:$A$44,0)),""))</f>
        <v/>
      </c>
      <c r="F3856" s="10" t="str">
        <f t="shared" si="60"/>
        <v/>
      </c>
      <c r="G3856" s="10" t="str">
        <f>IF(OR(C3856="",B3856=""),"",IFERROR(C3856*INDEX(Harytlar!$D$5:$D$44,MATCH(B3856,Harytlar!$A$5:$A$44,0)),""))</f>
        <v/>
      </c>
    </row>
    <row r="3857" spans="1:7" x14ac:dyDescent="0.3">
      <c r="A3857" s="17"/>
      <c r="B3857" s="18"/>
      <c r="C3857" s="18"/>
      <c r="D3857" s="18"/>
      <c r="E3857" s="10" t="str">
        <f>IF(B3857="","",IFERROR(INDEX(Harytlar!$C$5:$C$44,MATCH(B3857,Harytlar!$A$5:$A$44,0)),""))</f>
        <v/>
      </c>
      <c r="F3857" s="10" t="str">
        <f t="shared" si="60"/>
        <v/>
      </c>
      <c r="G3857" s="10" t="str">
        <f>IF(OR(C3857="",B3857=""),"",IFERROR(C3857*INDEX(Harytlar!$D$5:$D$44,MATCH(B3857,Harytlar!$A$5:$A$44,0)),""))</f>
        <v/>
      </c>
    </row>
    <row r="3858" spans="1:7" x14ac:dyDescent="0.3">
      <c r="A3858" s="17"/>
      <c r="B3858" s="18"/>
      <c r="C3858" s="18"/>
      <c r="D3858" s="18"/>
      <c r="E3858" s="10" t="str">
        <f>IF(B3858="","",IFERROR(INDEX(Harytlar!$C$5:$C$44,MATCH(B3858,Harytlar!$A$5:$A$44,0)),""))</f>
        <v/>
      </c>
      <c r="F3858" s="10" t="str">
        <f t="shared" si="60"/>
        <v/>
      </c>
      <c r="G3858" s="10" t="str">
        <f>IF(OR(C3858="",B3858=""),"",IFERROR(C3858*INDEX(Harytlar!$D$5:$D$44,MATCH(B3858,Harytlar!$A$5:$A$44,0)),""))</f>
        <v/>
      </c>
    </row>
    <row r="3859" spans="1:7" x14ac:dyDescent="0.3">
      <c r="A3859" s="17"/>
      <c r="B3859" s="18"/>
      <c r="C3859" s="18"/>
      <c r="D3859" s="18"/>
      <c r="E3859" s="10" t="str">
        <f>IF(B3859="","",IFERROR(INDEX(Harytlar!$C$5:$C$44,MATCH(B3859,Harytlar!$A$5:$A$44,0)),""))</f>
        <v/>
      </c>
      <c r="F3859" s="10" t="str">
        <f t="shared" si="60"/>
        <v/>
      </c>
      <c r="G3859" s="10" t="str">
        <f>IF(OR(C3859="",B3859=""),"",IFERROR(C3859*INDEX(Harytlar!$D$5:$D$44,MATCH(B3859,Harytlar!$A$5:$A$44,0)),""))</f>
        <v/>
      </c>
    </row>
    <row r="3860" spans="1:7" x14ac:dyDescent="0.3">
      <c r="A3860" s="17"/>
      <c r="B3860" s="18"/>
      <c r="C3860" s="18"/>
      <c r="D3860" s="18"/>
      <c r="E3860" s="10" t="str">
        <f>IF(B3860="","",IFERROR(INDEX(Harytlar!$C$5:$C$44,MATCH(B3860,Harytlar!$A$5:$A$44,0)),""))</f>
        <v/>
      </c>
      <c r="F3860" s="10" t="str">
        <f t="shared" si="60"/>
        <v/>
      </c>
      <c r="G3860" s="10" t="str">
        <f>IF(OR(C3860="",B3860=""),"",IFERROR(C3860*INDEX(Harytlar!$D$5:$D$44,MATCH(B3860,Harytlar!$A$5:$A$44,0)),""))</f>
        <v/>
      </c>
    </row>
    <row r="3861" spans="1:7" x14ac:dyDescent="0.3">
      <c r="A3861" s="17"/>
      <c r="B3861" s="18"/>
      <c r="C3861" s="18"/>
      <c r="D3861" s="18"/>
      <c r="E3861" s="10" t="str">
        <f>IF(B3861="","",IFERROR(INDEX(Harytlar!$C$5:$C$44,MATCH(B3861,Harytlar!$A$5:$A$44,0)),""))</f>
        <v/>
      </c>
      <c r="F3861" s="10" t="str">
        <f t="shared" si="60"/>
        <v/>
      </c>
      <c r="G3861" s="10" t="str">
        <f>IF(OR(C3861="",B3861=""),"",IFERROR(C3861*INDEX(Harytlar!$D$5:$D$44,MATCH(B3861,Harytlar!$A$5:$A$44,0)),""))</f>
        <v/>
      </c>
    </row>
    <row r="3862" spans="1:7" x14ac:dyDescent="0.3">
      <c r="A3862" s="17"/>
      <c r="B3862" s="18"/>
      <c r="C3862" s="18"/>
      <c r="D3862" s="18"/>
      <c r="E3862" s="10" t="str">
        <f>IF(B3862="","",IFERROR(INDEX(Harytlar!$C$5:$C$44,MATCH(B3862,Harytlar!$A$5:$A$44,0)),""))</f>
        <v/>
      </c>
      <c r="F3862" s="10" t="str">
        <f t="shared" si="60"/>
        <v/>
      </c>
      <c r="G3862" s="10" t="str">
        <f>IF(OR(C3862="",B3862=""),"",IFERROR(C3862*INDEX(Harytlar!$D$5:$D$44,MATCH(B3862,Harytlar!$A$5:$A$44,0)),""))</f>
        <v/>
      </c>
    </row>
    <row r="3863" spans="1:7" x14ac:dyDescent="0.3">
      <c r="A3863" s="17"/>
      <c r="B3863" s="18"/>
      <c r="C3863" s="18"/>
      <c r="D3863" s="18"/>
      <c r="E3863" s="10" t="str">
        <f>IF(B3863="","",IFERROR(INDEX(Harytlar!$C$5:$C$44,MATCH(B3863,Harytlar!$A$5:$A$44,0)),""))</f>
        <v/>
      </c>
      <c r="F3863" s="10" t="str">
        <f t="shared" si="60"/>
        <v/>
      </c>
      <c r="G3863" s="10" t="str">
        <f>IF(OR(C3863="",B3863=""),"",IFERROR(C3863*INDEX(Harytlar!$D$5:$D$44,MATCH(B3863,Harytlar!$A$5:$A$44,0)),""))</f>
        <v/>
      </c>
    </row>
    <row r="3864" spans="1:7" x14ac:dyDescent="0.3">
      <c r="A3864" s="17"/>
      <c r="B3864" s="18"/>
      <c r="C3864" s="18"/>
      <c r="D3864" s="18"/>
      <c r="E3864" s="10" t="str">
        <f>IF(B3864="","",IFERROR(INDEX(Harytlar!$C$5:$C$44,MATCH(B3864,Harytlar!$A$5:$A$44,0)),""))</f>
        <v/>
      </c>
      <c r="F3864" s="10" t="str">
        <f t="shared" si="60"/>
        <v/>
      </c>
      <c r="G3864" s="10" t="str">
        <f>IF(OR(C3864="",B3864=""),"",IFERROR(C3864*INDEX(Harytlar!$D$5:$D$44,MATCH(B3864,Harytlar!$A$5:$A$44,0)),""))</f>
        <v/>
      </c>
    </row>
    <row r="3865" spans="1:7" x14ac:dyDescent="0.3">
      <c r="A3865" s="17"/>
      <c r="B3865" s="18"/>
      <c r="C3865" s="18"/>
      <c r="D3865" s="18"/>
      <c r="E3865" s="10" t="str">
        <f>IF(B3865="","",IFERROR(INDEX(Harytlar!$C$5:$C$44,MATCH(B3865,Harytlar!$A$5:$A$44,0)),""))</f>
        <v/>
      </c>
      <c r="F3865" s="10" t="str">
        <f t="shared" si="60"/>
        <v/>
      </c>
      <c r="G3865" s="10" t="str">
        <f>IF(OR(C3865="",B3865=""),"",IFERROR(C3865*INDEX(Harytlar!$D$5:$D$44,MATCH(B3865,Harytlar!$A$5:$A$44,0)),""))</f>
        <v/>
      </c>
    </row>
    <row r="3866" spans="1:7" x14ac:dyDescent="0.3">
      <c r="A3866" s="17"/>
      <c r="B3866" s="18"/>
      <c r="C3866" s="18"/>
      <c r="D3866" s="18"/>
      <c r="E3866" s="10" t="str">
        <f>IF(B3866="","",IFERROR(INDEX(Harytlar!$C$5:$C$44,MATCH(B3866,Harytlar!$A$5:$A$44,0)),""))</f>
        <v/>
      </c>
      <c r="F3866" s="10" t="str">
        <f t="shared" si="60"/>
        <v/>
      </c>
      <c r="G3866" s="10" t="str">
        <f>IF(OR(C3866="",B3866=""),"",IFERROR(C3866*INDEX(Harytlar!$D$5:$D$44,MATCH(B3866,Harytlar!$A$5:$A$44,0)),""))</f>
        <v/>
      </c>
    </row>
    <row r="3867" spans="1:7" x14ac:dyDescent="0.3">
      <c r="A3867" s="17"/>
      <c r="B3867" s="18"/>
      <c r="C3867" s="18"/>
      <c r="D3867" s="18"/>
      <c r="E3867" s="10" t="str">
        <f>IF(B3867="","",IFERROR(INDEX(Harytlar!$C$5:$C$44,MATCH(B3867,Harytlar!$A$5:$A$44,0)),""))</f>
        <v/>
      </c>
      <c r="F3867" s="10" t="str">
        <f t="shared" si="60"/>
        <v/>
      </c>
      <c r="G3867" s="10" t="str">
        <f>IF(OR(C3867="",B3867=""),"",IFERROR(C3867*INDEX(Harytlar!$D$5:$D$44,MATCH(B3867,Harytlar!$A$5:$A$44,0)),""))</f>
        <v/>
      </c>
    </row>
    <row r="3868" spans="1:7" x14ac:dyDescent="0.3">
      <c r="A3868" s="17"/>
      <c r="B3868" s="18"/>
      <c r="C3868" s="18"/>
      <c r="D3868" s="18"/>
      <c r="E3868" s="10" t="str">
        <f>IF(B3868="","",IFERROR(INDEX(Harytlar!$C$5:$C$44,MATCH(B3868,Harytlar!$A$5:$A$44,0)),""))</f>
        <v/>
      </c>
      <c r="F3868" s="10" t="str">
        <f t="shared" si="60"/>
        <v/>
      </c>
      <c r="G3868" s="10" t="str">
        <f>IF(OR(C3868="",B3868=""),"",IFERROR(C3868*INDEX(Harytlar!$D$5:$D$44,MATCH(B3868,Harytlar!$A$5:$A$44,0)),""))</f>
        <v/>
      </c>
    </row>
    <row r="3869" spans="1:7" x14ac:dyDescent="0.3">
      <c r="A3869" s="17"/>
      <c r="B3869" s="18"/>
      <c r="C3869" s="18"/>
      <c r="D3869" s="18"/>
      <c r="E3869" s="10" t="str">
        <f>IF(B3869="","",IFERROR(INDEX(Harytlar!$C$5:$C$44,MATCH(B3869,Harytlar!$A$5:$A$44,0)),""))</f>
        <v/>
      </c>
      <c r="F3869" s="10" t="str">
        <f t="shared" si="60"/>
        <v/>
      </c>
      <c r="G3869" s="10" t="str">
        <f>IF(OR(C3869="",B3869=""),"",IFERROR(C3869*INDEX(Harytlar!$D$5:$D$44,MATCH(B3869,Harytlar!$A$5:$A$44,0)),""))</f>
        <v/>
      </c>
    </row>
    <row r="3870" spans="1:7" x14ac:dyDescent="0.3">
      <c r="A3870" s="17"/>
      <c r="B3870" s="18"/>
      <c r="C3870" s="18"/>
      <c r="D3870" s="18"/>
      <c r="E3870" s="10" t="str">
        <f>IF(B3870="","",IFERROR(INDEX(Harytlar!$C$5:$C$44,MATCH(B3870,Harytlar!$A$5:$A$44,0)),""))</f>
        <v/>
      </c>
      <c r="F3870" s="10" t="str">
        <f t="shared" si="60"/>
        <v/>
      </c>
      <c r="G3870" s="10" t="str">
        <f>IF(OR(C3870="",B3870=""),"",IFERROR(C3870*INDEX(Harytlar!$D$5:$D$44,MATCH(B3870,Harytlar!$A$5:$A$44,0)),""))</f>
        <v/>
      </c>
    </row>
    <row r="3871" spans="1:7" x14ac:dyDescent="0.3">
      <c r="A3871" s="17"/>
      <c r="B3871" s="18"/>
      <c r="C3871" s="18"/>
      <c r="D3871" s="18"/>
      <c r="E3871" s="10" t="str">
        <f>IF(B3871="","",IFERROR(INDEX(Harytlar!$C$5:$C$44,MATCH(B3871,Harytlar!$A$5:$A$44,0)),""))</f>
        <v/>
      </c>
      <c r="F3871" s="10" t="str">
        <f t="shared" si="60"/>
        <v/>
      </c>
      <c r="G3871" s="10" t="str">
        <f>IF(OR(C3871="",B3871=""),"",IFERROR(C3871*INDEX(Harytlar!$D$5:$D$44,MATCH(B3871,Harytlar!$A$5:$A$44,0)),""))</f>
        <v/>
      </c>
    </row>
    <row r="3872" spans="1:7" x14ac:dyDescent="0.3">
      <c r="A3872" s="17"/>
      <c r="B3872" s="18"/>
      <c r="C3872" s="18"/>
      <c r="D3872" s="18"/>
      <c r="E3872" s="10" t="str">
        <f>IF(B3872="","",IFERROR(INDEX(Harytlar!$C$5:$C$44,MATCH(B3872,Harytlar!$A$5:$A$44,0)),""))</f>
        <v/>
      </c>
      <c r="F3872" s="10" t="str">
        <f t="shared" si="60"/>
        <v/>
      </c>
      <c r="G3872" s="10" t="str">
        <f>IF(OR(C3872="",B3872=""),"",IFERROR(C3872*INDEX(Harytlar!$D$5:$D$44,MATCH(B3872,Harytlar!$A$5:$A$44,0)),""))</f>
        <v/>
      </c>
    </row>
    <row r="3873" spans="1:7" x14ac:dyDescent="0.3">
      <c r="A3873" s="17"/>
      <c r="B3873" s="18"/>
      <c r="C3873" s="18"/>
      <c r="D3873" s="18"/>
      <c r="E3873" s="10" t="str">
        <f>IF(B3873="","",IFERROR(INDEX(Harytlar!$C$5:$C$44,MATCH(B3873,Harytlar!$A$5:$A$44,0)),""))</f>
        <v/>
      </c>
      <c r="F3873" s="10" t="str">
        <f t="shared" si="60"/>
        <v/>
      </c>
      <c r="G3873" s="10" t="str">
        <f>IF(OR(C3873="",B3873=""),"",IFERROR(C3873*INDEX(Harytlar!$D$5:$D$44,MATCH(B3873,Harytlar!$A$5:$A$44,0)),""))</f>
        <v/>
      </c>
    </row>
    <row r="3874" spans="1:7" x14ac:dyDescent="0.3">
      <c r="A3874" s="17"/>
      <c r="B3874" s="18"/>
      <c r="C3874" s="18"/>
      <c r="D3874" s="18"/>
      <c r="E3874" s="10" t="str">
        <f>IF(B3874="","",IFERROR(INDEX(Harytlar!$C$5:$C$44,MATCH(B3874,Harytlar!$A$5:$A$44,0)),""))</f>
        <v/>
      </c>
      <c r="F3874" s="10" t="str">
        <f t="shared" si="60"/>
        <v/>
      </c>
      <c r="G3874" s="10" t="str">
        <f>IF(OR(C3874="",B3874=""),"",IFERROR(C3874*INDEX(Harytlar!$D$5:$D$44,MATCH(B3874,Harytlar!$A$5:$A$44,0)),""))</f>
        <v/>
      </c>
    </row>
    <row r="3875" spans="1:7" x14ac:dyDescent="0.3">
      <c r="A3875" s="17"/>
      <c r="B3875" s="18"/>
      <c r="C3875" s="18"/>
      <c r="D3875" s="18"/>
      <c r="E3875" s="10" t="str">
        <f>IF(B3875="","",IFERROR(INDEX(Harytlar!$C$5:$C$44,MATCH(B3875,Harytlar!$A$5:$A$44,0)),""))</f>
        <v/>
      </c>
      <c r="F3875" s="10" t="str">
        <f t="shared" si="60"/>
        <v/>
      </c>
      <c r="G3875" s="10" t="str">
        <f>IF(OR(C3875="",B3875=""),"",IFERROR(C3875*INDEX(Harytlar!$D$5:$D$44,MATCH(B3875,Harytlar!$A$5:$A$44,0)),""))</f>
        <v/>
      </c>
    </row>
    <row r="3876" spans="1:7" x14ac:dyDescent="0.3">
      <c r="A3876" s="17"/>
      <c r="B3876" s="18"/>
      <c r="C3876" s="18"/>
      <c r="D3876" s="18"/>
      <c r="E3876" s="10" t="str">
        <f>IF(B3876="","",IFERROR(INDEX(Harytlar!$C$5:$C$44,MATCH(B3876,Harytlar!$A$5:$A$44,0)),""))</f>
        <v/>
      </c>
      <c r="F3876" s="10" t="str">
        <f t="shared" si="60"/>
        <v/>
      </c>
      <c r="G3876" s="10" t="str">
        <f>IF(OR(C3876="",B3876=""),"",IFERROR(C3876*INDEX(Harytlar!$D$5:$D$44,MATCH(B3876,Harytlar!$A$5:$A$44,0)),""))</f>
        <v/>
      </c>
    </row>
    <row r="3877" spans="1:7" x14ac:dyDescent="0.3">
      <c r="A3877" s="17"/>
      <c r="B3877" s="18"/>
      <c r="C3877" s="18"/>
      <c r="D3877" s="18"/>
      <c r="E3877" s="10" t="str">
        <f>IF(B3877="","",IFERROR(INDEX(Harytlar!$C$5:$C$44,MATCH(B3877,Harytlar!$A$5:$A$44,0)),""))</f>
        <v/>
      </c>
      <c r="F3877" s="10" t="str">
        <f t="shared" si="60"/>
        <v/>
      </c>
      <c r="G3877" s="10" t="str">
        <f>IF(OR(C3877="",B3877=""),"",IFERROR(C3877*INDEX(Harytlar!$D$5:$D$44,MATCH(B3877,Harytlar!$A$5:$A$44,0)),""))</f>
        <v/>
      </c>
    </row>
    <row r="3878" spans="1:7" x14ac:dyDescent="0.3">
      <c r="A3878" s="17"/>
      <c r="B3878" s="18"/>
      <c r="C3878" s="18"/>
      <c r="D3878" s="18"/>
      <c r="E3878" s="10" t="str">
        <f>IF(B3878="","",IFERROR(INDEX(Harytlar!$C$5:$C$44,MATCH(B3878,Harytlar!$A$5:$A$44,0)),""))</f>
        <v/>
      </c>
      <c r="F3878" s="10" t="str">
        <f t="shared" si="60"/>
        <v/>
      </c>
      <c r="G3878" s="10" t="str">
        <f>IF(OR(C3878="",B3878=""),"",IFERROR(C3878*INDEX(Harytlar!$D$5:$D$44,MATCH(B3878,Harytlar!$A$5:$A$44,0)),""))</f>
        <v/>
      </c>
    </row>
    <row r="3879" spans="1:7" x14ac:dyDescent="0.3">
      <c r="A3879" s="17"/>
      <c r="B3879" s="18"/>
      <c r="C3879" s="18"/>
      <c r="D3879" s="18"/>
      <c r="E3879" s="10" t="str">
        <f>IF(B3879="","",IFERROR(INDEX(Harytlar!$C$5:$C$44,MATCH(B3879,Harytlar!$A$5:$A$44,0)),""))</f>
        <v/>
      </c>
      <c r="F3879" s="10" t="str">
        <f t="shared" si="60"/>
        <v/>
      </c>
      <c r="G3879" s="10" t="str">
        <f>IF(OR(C3879="",B3879=""),"",IFERROR(C3879*INDEX(Harytlar!$D$5:$D$44,MATCH(B3879,Harytlar!$A$5:$A$44,0)),""))</f>
        <v/>
      </c>
    </row>
    <row r="3880" spans="1:7" x14ac:dyDescent="0.3">
      <c r="A3880" s="17"/>
      <c r="B3880" s="18"/>
      <c r="C3880" s="18"/>
      <c r="D3880" s="18"/>
      <c r="E3880" s="10" t="str">
        <f>IF(B3880="","",IFERROR(INDEX(Harytlar!$C$5:$C$44,MATCH(B3880,Harytlar!$A$5:$A$44,0)),""))</f>
        <v/>
      </c>
      <c r="F3880" s="10" t="str">
        <f t="shared" si="60"/>
        <v/>
      </c>
      <c r="G3880" s="10" t="str">
        <f>IF(OR(C3880="",B3880=""),"",IFERROR(C3880*INDEX(Harytlar!$D$5:$D$44,MATCH(B3880,Harytlar!$A$5:$A$44,0)),""))</f>
        <v/>
      </c>
    </row>
    <row r="3881" spans="1:7" x14ac:dyDescent="0.3">
      <c r="A3881" s="17"/>
      <c r="B3881" s="18"/>
      <c r="C3881" s="18"/>
      <c r="D3881" s="18"/>
      <c r="E3881" s="10" t="str">
        <f>IF(B3881="","",IFERROR(INDEX(Harytlar!$C$5:$C$44,MATCH(B3881,Harytlar!$A$5:$A$44,0)),""))</f>
        <v/>
      </c>
      <c r="F3881" s="10" t="str">
        <f t="shared" si="60"/>
        <v/>
      </c>
      <c r="G3881" s="10" t="str">
        <f>IF(OR(C3881="",B3881=""),"",IFERROR(C3881*INDEX(Harytlar!$D$5:$D$44,MATCH(B3881,Harytlar!$A$5:$A$44,0)),""))</f>
        <v/>
      </c>
    </row>
    <row r="3882" spans="1:7" x14ac:dyDescent="0.3">
      <c r="A3882" s="17"/>
      <c r="B3882" s="18"/>
      <c r="C3882" s="18"/>
      <c r="D3882" s="18"/>
      <c r="E3882" s="10" t="str">
        <f>IF(B3882="","",IFERROR(INDEX(Harytlar!$C$5:$C$44,MATCH(B3882,Harytlar!$A$5:$A$44,0)),""))</f>
        <v/>
      </c>
      <c r="F3882" s="10" t="str">
        <f t="shared" si="60"/>
        <v/>
      </c>
      <c r="G3882" s="10" t="str">
        <f>IF(OR(C3882="",B3882=""),"",IFERROR(C3882*INDEX(Harytlar!$D$5:$D$44,MATCH(B3882,Harytlar!$A$5:$A$44,0)),""))</f>
        <v/>
      </c>
    </row>
    <row r="3883" spans="1:7" x14ac:dyDescent="0.3">
      <c r="A3883" s="17"/>
      <c r="B3883" s="18"/>
      <c r="C3883" s="18"/>
      <c r="D3883" s="18"/>
      <c r="E3883" s="10" t="str">
        <f>IF(B3883="","",IFERROR(INDEX(Harytlar!$C$5:$C$44,MATCH(B3883,Harytlar!$A$5:$A$44,0)),""))</f>
        <v/>
      </c>
      <c r="F3883" s="10" t="str">
        <f t="shared" si="60"/>
        <v/>
      </c>
      <c r="G3883" s="10" t="str">
        <f>IF(OR(C3883="",B3883=""),"",IFERROR(C3883*INDEX(Harytlar!$D$5:$D$44,MATCH(B3883,Harytlar!$A$5:$A$44,0)),""))</f>
        <v/>
      </c>
    </row>
    <row r="3884" spans="1:7" x14ac:dyDescent="0.3">
      <c r="A3884" s="17"/>
      <c r="B3884" s="18"/>
      <c r="C3884" s="18"/>
      <c r="D3884" s="18"/>
      <c r="E3884" s="10" t="str">
        <f>IF(B3884="","",IFERROR(INDEX(Harytlar!$C$5:$C$44,MATCH(B3884,Harytlar!$A$5:$A$44,0)),""))</f>
        <v/>
      </c>
      <c r="F3884" s="10" t="str">
        <f t="shared" si="60"/>
        <v/>
      </c>
      <c r="G3884" s="10" t="str">
        <f>IF(OR(C3884="",B3884=""),"",IFERROR(C3884*INDEX(Harytlar!$D$5:$D$44,MATCH(B3884,Harytlar!$A$5:$A$44,0)),""))</f>
        <v/>
      </c>
    </row>
    <row r="3885" spans="1:7" x14ac:dyDescent="0.3">
      <c r="A3885" s="17"/>
      <c r="B3885" s="18"/>
      <c r="C3885" s="18"/>
      <c r="D3885" s="18"/>
      <c r="E3885" s="10" t="str">
        <f>IF(B3885="","",IFERROR(INDEX(Harytlar!$C$5:$C$44,MATCH(B3885,Harytlar!$A$5:$A$44,0)),""))</f>
        <v/>
      </c>
      <c r="F3885" s="10" t="str">
        <f t="shared" si="60"/>
        <v/>
      </c>
      <c r="G3885" s="10" t="str">
        <f>IF(OR(C3885="",B3885=""),"",IFERROR(C3885*INDEX(Harytlar!$D$5:$D$44,MATCH(B3885,Harytlar!$A$5:$A$44,0)),""))</f>
        <v/>
      </c>
    </row>
    <row r="3886" spans="1:7" x14ac:dyDescent="0.3">
      <c r="A3886" s="17"/>
      <c r="B3886" s="18"/>
      <c r="C3886" s="18"/>
      <c r="D3886" s="18"/>
      <c r="E3886" s="10" t="str">
        <f>IF(B3886="","",IFERROR(INDEX(Harytlar!$C$5:$C$44,MATCH(B3886,Harytlar!$A$5:$A$44,0)),""))</f>
        <v/>
      </c>
      <c r="F3886" s="10" t="str">
        <f t="shared" si="60"/>
        <v/>
      </c>
      <c r="G3886" s="10" t="str">
        <f>IF(OR(C3886="",B3886=""),"",IFERROR(C3886*INDEX(Harytlar!$D$5:$D$44,MATCH(B3886,Harytlar!$A$5:$A$44,0)),""))</f>
        <v/>
      </c>
    </row>
    <row r="3887" spans="1:7" x14ac:dyDescent="0.3">
      <c r="A3887" s="17"/>
      <c r="B3887" s="18"/>
      <c r="C3887" s="18"/>
      <c r="D3887" s="18"/>
      <c r="E3887" s="10" t="str">
        <f>IF(B3887="","",IFERROR(INDEX(Harytlar!$C$5:$C$44,MATCH(B3887,Harytlar!$A$5:$A$44,0)),""))</f>
        <v/>
      </c>
      <c r="F3887" s="10" t="str">
        <f t="shared" si="60"/>
        <v/>
      </c>
      <c r="G3887" s="10" t="str">
        <f>IF(OR(C3887="",B3887=""),"",IFERROR(C3887*INDEX(Harytlar!$D$5:$D$44,MATCH(B3887,Harytlar!$A$5:$A$44,0)),""))</f>
        <v/>
      </c>
    </row>
    <row r="3888" spans="1:7" x14ac:dyDescent="0.3">
      <c r="A3888" s="17"/>
      <c r="B3888" s="18"/>
      <c r="C3888" s="18"/>
      <c r="D3888" s="18"/>
      <c r="E3888" s="10" t="str">
        <f>IF(B3888="","",IFERROR(INDEX(Harytlar!$C$5:$C$44,MATCH(B3888,Harytlar!$A$5:$A$44,0)),""))</f>
        <v/>
      </c>
      <c r="F3888" s="10" t="str">
        <f t="shared" si="60"/>
        <v/>
      </c>
      <c r="G3888" s="10" t="str">
        <f>IF(OR(C3888="",B3888=""),"",IFERROR(C3888*INDEX(Harytlar!$D$5:$D$44,MATCH(B3888,Harytlar!$A$5:$A$44,0)),""))</f>
        <v/>
      </c>
    </row>
    <row r="3889" spans="1:7" x14ac:dyDescent="0.3">
      <c r="A3889" s="17"/>
      <c r="B3889" s="18"/>
      <c r="C3889" s="18"/>
      <c r="D3889" s="18"/>
      <c r="E3889" s="10" t="str">
        <f>IF(B3889="","",IFERROR(INDEX(Harytlar!$C$5:$C$44,MATCH(B3889,Harytlar!$A$5:$A$44,0)),""))</f>
        <v/>
      </c>
      <c r="F3889" s="10" t="str">
        <f t="shared" si="60"/>
        <v/>
      </c>
      <c r="G3889" s="10" t="str">
        <f>IF(OR(C3889="",B3889=""),"",IFERROR(C3889*INDEX(Harytlar!$D$5:$D$44,MATCH(B3889,Harytlar!$A$5:$A$44,0)),""))</f>
        <v/>
      </c>
    </row>
    <row r="3890" spans="1:7" x14ac:dyDescent="0.3">
      <c r="A3890" s="17"/>
      <c r="B3890" s="18"/>
      <c r="C3890" s="18"/>
      <c r="D3890" s="18"/>
      <c r="E3890" s="10" t="str">
        <f>IF(B3890="","",IFERROR(INDEX(Harytlar!$C$5:$C$44,MATCH(B3890,Harytlar!$A$5:$A$44,0)),""))</f>
        <v/>
      </c>
      <c r="F3890" s="10" t="str">
        <f t="shared" si="60"/>
        <v/>
      </c>
      <c r="G3890" s="10" t="str">
        <f>IF(OR(C3890="",B3890=""),"",IFERROR(C3890*INDEX(Harytlar!$D$5:$D$44,MATCH(B3890,Harytlar!$A$5:$A$44,0)),""))</f>
        <v/>
      </c>
    </row>
    <row r="3891" spans="1:7" x14ac:dyDescent="0.3">
      <c r="A3891" s="17"/>
      <c r="B3891" s="18"/>
      <c r="C3891" s="18"/>
      <c r="D3891" s="18"/>
      <c r="E3891" s="10" t="str">
        <f>IF(B3891="","",IFERROR(INDEX(Harytlar!$C$5:$C$44,MATCH(B3891,Harytlar!$A$5:$A$44,0)),""))</f>
        <v/>
      </c>
      <c r="F3891" s="10" t="str">
        <f t="shared" si="60"/>
        <v/>
      </c>
      <c r="G3891" s="10" t="str">
        <f>IF(OR(C3891="",B3891=""),"",IFERROR(C3891*INDEX(Harytlar!$D$5:$D$44,MATCH(B3891,Harytlar!$A$5:$A$44,0)),""))</f>
        <v/>
      </c>
    </row>
    <row r="3892" spans="1:7" x14ac:dyDescent="0.3">
      <c r="A3892" s="17"/>
      <c r="B3892" s="18"/>
      <c r="C3892" s="18"/>
      <c r="D3892" s="18"/>
      <c r="E3892" s="10" t="str">
        <f>IF(B3892="","",IFERROR(INDEX(Harytlar!$C$5:$C$44,MATCH(B3892,Harytlar!$A$5:$A$44,0)),""))</f>
        <v/>
      </c>
      <c r="F3892" s="10" t="str">
        <f t="shared" si="60"/>
        <v/>
      </c>
      <c r="G3892" s="10" t="str">
        <f>IF(OR(C3892="",B3892=""),"",IFERROR(C3892*INDEX(Harytlar!$D$5:$D$44,MATCH(B3892,Harytlar!$A$5:$A$44,0)),""))</f>
        <v/>
      </c>
    </row>
    <row r="3893" spans="1:7" x14ac:dyDescent="0.3">
      <c r="A3893" s="17"/>
      <c r="B3893" s="18"/>
      <c r="C3893" s="18"/>
      <c r="D3893" s="18"/>
      <c r="E3893" s="10" t="str">
        <f>IF(B3893="","",IFERROR(INDEX(Harytlar!$C$5:$C$44,MATCH(B3893,Harytlar!$A$5:$A$44,0)),""))</f>
        <v/>
      </c>
      <c r="F3893" s="10" t="str">
        <f t="shared" si="60"/>
        <v/>
      </c>
      <c r="G3893" s="10" t="str">
        <f>IF(OR(C3893="",B3893=""),"",IFERROR(C3893*INDEX(Harytlar!$D$5:$D$44,MATCH(B3893,Harytlar!$A$5:$A$44,0)),""))</f>
        <v/>
      </c>
    </row>
    <row r="3894" spans="1:7" x14ac:dyDescent="0.3">
      <c r="A3894" s="17"/>
      <c r="B3894" s="18"/>
      <c r="C3894" s="18"/>
      <c r="D3894" s="18"/>
      <c r="E3894" s="10" t="str">
        <f>IF(B3894="","",IFERROR(INDEX(Harytlar!$C$5:$C$44,MATCH(B3894,Harytlar!$A$5:$A$44,0)),""))</f>
        <v/>
      </c>
      <c r="F3894" s="10" t="str">
        <f t="shared" si="60"/>
        <v/>
      </c>
      <c r="G3894" s="10" t="str">
        <f>IF(OR(C3894="",B3894=""),"",IFERROR(C3894*INDEX(Harytlar!$D$5:$D$44,MATCH(B3894,Harytlar!$A$5:$A$44,0)),""))</f>
        <v/>
      </c>
    </row>
    <row r="3895" spans="1:7" x14ac:dyDescent="0.3">
      <c r="A3895" s="17"/>
      <c r="B3895" s="18"/>
      <c r="C3895" s="18"/>
      <c r="D3895" s="18"/>
      <c r="E3895" s="10" t="str">
        <f>IF(B3895="","",IFERROR(INDEX(Harytlar!$C$5:$C$44,MATCH(B3895,Harytlar!$A$5:$A$44,0)),""))</f>
        <v/>
      </c>
      <c r="F3895" s="10" t="str">
        <f t="shared" si="60"/>
        <v/>
      </c>
      <c r="G3895" s="10" t="str">
        <f>IF(OR(C3895="",B3895=""),"",IFERROR(C3895*INDEX(Harytlar!$D$5:$D$44,MATCH(B3895,Harytlar!$A$5:$A$44,0)),""))</f>
        <v/>
      </c>
    </row>
    <row r="3896" spans="1:7" x14ac:dyDescent="0.3">
      <c r="A3896" s="17"/>
      <c r="B3896" s="18"/>
      <c r="C3896" s="18"/>
      <c r="D3896" s="18"/>
      <c r="E3896" s="10" t="str">
        <f>IF(B3896="","",IFERROR(INDEX(Harytlar!$C$5:$C$44,MATCH(B3896,Harytlar!$A$5:$A$44,0)),""))</f>
        <v/>
      </c>
      <c r="F3896" s="10" t="str">
        <f t="shared" si="60"/>
        <v/>
      </c>
      <c r="G3896" s="10" t="str">
        <f>IF(OR(C3896="",B3896=""),"",IFERROR(C3896*INDEX(Harytlar!$D$5:$D$44,MATCH(B3896,Harytlar!$A$5:$A$44,0)),""))</f>
        <v/>
      </c>
    </row>
    <row r="3897" spans="1:7" x14ac:dyDescent="0.3">
      <c r="A3897" s="17"/>
      <c r="B3897" s="18"/>
      <c r="C3897" s="18"/>
      <c r="D3897" s="18"/>
      <c r="E3897" s="10" t="str">
        <f>IF(B3897="","",IFERROR(INDEX(Harytlar!$C$5:$C$44,MATCH(B3897,Harytlar!$A$5:$A$44,0)),""))</f>
        <v/>
      </c>
      <c r="F3897" s="10" t="str">
        <f t="shared" si="60"/>
        <v/>
      </c>
      <c r="G3897" s="10" t="str">
        <f>IF(OR(C3897="",B3897=""),"",IFERROR(C3897*INDEX(Harytlar!$D$5:$D$44,MATCH(B3897,Harytlar!$A$5:$A$44,0)),""))</f>
        <v/>
      </c>
    </row>
    <row r="3898" spans="1:7" x14ac:dyDescent="0.3">
      <c r="A3898" s="17"/>
      <c r="B3898" s="18"/>
      <c r="C3898" s="18"/>
      <c r="D3898" s="18"/>
      <c r="E3898" s="10" t="str">
        <f>IF(B3898="","",IFERROR(INDEX(Harytlar!$C$5:$C$44,MATCH(B3898,Harytlar!$A$5:$A$44,0)),""))</f>
        <v/>
      </c>
      <c r="F3898" s="10" t="str">
        <f t="shared" si="60"/>
        <v/>
      </c>
      <c r="G3898" s="10" t="str">
        <f>IF(OR(C3898="",B3898=""),"",IFERROR(C3898*INDEX(Harytlar!$D$5:$D$44,MATCH(B3898,Harytlar!$A$5:$A$44,0)),""))</f>
        <v/>
      </c>
    </row>
    <row r="3899" spans="1:7" x14ac:dyDescent="0.3">
      <c r="A3899" s="17"/>
      <c r="B3899" s="18"/>
      <c r="C3899" s="18"/>
      <c r="D3899" s="18"/>
      <c r="E3899" s="10" t="str">
        <f>IF(B3899="","",IFERROR(INDEX(Harytlar!$C$5:$C$44,MATCH(B3899,Harytlar!$A$5:$A$44,0)),""))</f>
        <v/>
      </c>
      <c r="F3899" s="10" t="str">
        <f t="shared" si="60"/>
        <v/>
      </c>
      <c r="G3899" s="10" t="str">
        <f>IF(OR(C3899="",B3899=""),"",IFERROR(C3899*INDEX(Harytlar!$D$5:$D$44,MATCH(B3899,Harytlar!$A$5:$A$44,0)),""))</f>
        <v/>
      </c>
    </row>
    <row r="3900" spans="1:7" x14ac:dyDescent="0.3">
      <c r="A3900" s="17"/>
      <c r="B3900" s="18"/>
      <c r="C3900" s="18"/>
      <c r="D3900" s="18"/>
      <c r="E3900" s="10" t="str">
        <f>IF(B3900="","",IFERROR(INDEX(Harytlar!$C$5:$C$44,MATCH(B3900,Harytlar!$A$5:$A$44,0)),""))</f>
        <v/>
      </c>
      <c r="F3900" s="10" t="str">
        <f t="shared" si="60"/>
        <v/>
      </c>
      <c r="G3900" s="10" t="str">
        <f>IF(OR(C3900="",B3900=""),"",IFERROR(C3900*INDEX(Harytlar!$D$5:$D$44,MATCH(B3900,Harytlar!$A$5:$A$44,0)),""))</f>
        <v/>
      </c>
    </row>
    <row r="3901" spans="1:7" x14ac:dyDescent="0.3">
      <c r="A3901" s="17"/>
      <c r="B3901" s="18"/>
      <c r="C3901" s="18"/>
      <c r="D3901" s="18"/>
      <c r="E3901" s="10" t="str">
        <f>IF(B3901="","",IFERROR(INDEX(Harytlar!$C$5:$C$44,MATCH(B3901,Harytlar!$A$5:$A$44,0)),""))</f>
        <v/>
      </c>
      <c r="F3901" s="10" t="str">
        <f t="shared" si="60"/>
        <v/>
      </c>
      <c r="G3901" s="10" t="str">
        <f>IF(OR(C3901="",B3901=""),"",IFERROR(C3901*INDEX(Harytlar!$D$5:$D$44,MATCH(B3901,Harytlar!$A$5:$A$44,0)),""))</f>
        <v/>
      </c>
    </row>
    <row r="3902" spans="1:7" x14ac:dyDescent="0.3">
      <c r="A3902" s="17"/>
      <c r="B3902" s="18"/>
      <c r="C3902" s="18"/>
      <c r="D3902" s="18"/>
      <c r="E3902" s="10" t="str">
        <f>IF(B3902="","",IFERROR(INDEX(Harytlar!$C$5:$C$44,MATCH(B3902,Harytlar!$A$5:$A$44,0)),""))</f>
        <v/>
      </c>
      <c r="F3902" s="10" t="str">
        <f t="shared" si="60"/>
        <v/>
      </c>
      <c r="G3902" s="10" t="str">
        <f>IF(OR(C3902="",B3902=""),"",IFERROR(C3902*INDEX(Harytlar!$D$5:$D$44,MATCH(B3902,Harytlar!$A$5:$A$44,0)),""))</f>
        <v/>
      </c>
    </row>
    <row r="3903" spans="1:7" x14ac:dyDescent="0.3">
      <c r="A3903" s="17"/>
      <c r="B3903" s="18"/>
      <c r="C3903" s="18"/>
      <c r="D3903" s="18"/>
      <c r="E3903" s="10" t="str">
        <f>IF(B3903="","",IFERROR(INDEX(Harytlar!$C$5:$C$44,MATCH(B3903,Harytlar!$A$5:$A$44,0)),""))</f>
        <v/>
      </c>
      <c r="F3903" s="10" t="str">
        <f t="shared" si="60"/>
        <v/>
      </c>
      <c r="G3903" s="10" t="str">
        <f>IF(OR(C3903="",B3903=""),"",IFERROR(C3903*INDEX(Harytlar!$D$5:$D$44,MATCH(B3903,Harytlar!$A$5:$A$44,0)),""))</f>
        <v/>
      </c>
    </row>
    <row r="3904" spans="1:7" x14ac:dyDescent="0.3">
      <c r="A3904" s="17"/>
      <c r="B3904" s="18"/>
      <c r="C3904" s="18"/>
      <c r="D3904" s="18"/>
      <c r="E3904" s="10" t="str">
        <f>IF(B3904="","",IFERROR(INDEX(Harytlar!$C$5:$C$44,MATCH(B3904,Harytlar!$A$5:$A$44,0)),""))</f>
        <v/>
      </c>
      <c r="F3904" s="10" t="str">
        <f t="shared" si="60"/>
        <v/>
      </c>
      <c r="G3904" s="10" t="str">
        <f>IF(OR(C3904="",B3904=""),"",IFERROR(C3904*INDEX(Harytlar!$D$5:$D$44,MATCH(B3904,Harytlar!$A$5:$A$44,0)),""))</f>
        <v/>
      </c>
    </row>
    <row r="3905" spans="1:7" x14ac:dyDescent="0.3">
      <c r="A3905" s="17"/>
      <c r="B3905" s="18"/>
      <c r="C3905" s="18"/>
      <c r="D3905" s="18"/>
      <c r="E3905" s="10" t="str">
        <f>IF(B3905="","",IFERROR(INDEX(Harytlar!$C$5:$C$44,MATCH(B3905,Harytlar!$A$5:$A$44,0)),""))</f>
        <v/>
      </c>
      <c r="F3905" s="10" t="str">
        <f t="shared" si="60"/>
        <v/>
      </c>
      <c r="G3905" s="10" t="str">
        <f>IF(OR(C3905="",B3905=""),"",IFERROR(C3905*INDEX(Harytlar!$D$5:$D$44,MATCH(B3905,Harytlar!$A$5:$A$44,0)),""))</f>
        <v/>
      </c>
    </row>
    <row r="3906" spans="1:7" x14ac:dyDescent="0.3">
      <c r="A3906" s="17"/>
      <c r="B3906" s="18"/>
      <c r="C3906" s="18"/>
      <c r="D3906" s="18"/>
      <c r="E3906" s="10" t="str">
        <f>IF(B3906="","",IFERROR(INDEX(Harytlar!$C$5:$C$44,MATCH(B3906,Harytlar!$A$5:$A$44,0)),""))</f>
        <v/>
      </c>
      <c r="F3906" s="10" t="str">
        <f t="shared" si="60"/>
        <v/>
      </c>
      <c r="G3906" s="10" t="str">
        <f>IF(OR(C3906="",B3906=""),"",IFERROR(C3906*INDEX(Harytlar!$D$5:$D$44,MATCH(B3906,Harytlar!$A$5:$A$44,0)),""))</f>
        <v/>
      </c>
    </row>
    <row r="3907" spans="1:7" x14ac:dyDescent="0.3">
      <c r="A3907" s="17"/>
      <c r="B3907" s="18"/>
      <c r="C3907" s="18"/>
      <c r="D3907" s="18"/>
      <c r="E3907" s="10" t="str">
        <f>IF(B3907="","",IFERROR(INDEX(Harytlar!$C$5:$C$44,MATCH(B3907,Harytlar!$A$5:$A$44,0)),""))</f>
        <v/>
      </c>
      <c r="F3907" s="10" t="str">
        <f t="shared" si="60"/>
        <v/>
      </c>
      <c r="G3907" s="10" t="str">
        <f>IF(OR(C3907="",B3907=""),"",IFERROR(C3907*INDEX(Harytlar!$D$5:$D$44,MATCH(B3907,Harytlar!$A$5:$A$44,0)),""))</f>
        <v/>
      </c>
    </row>
    <row r="3908" spans="1:7" x14ac:dyDescent="0.3">
      <c r="A3908" s="17"/>
      <c r="B3908" s="18"/>
      <c r="C3908" s="18"/>
      <c r="D3908" s="18"/>
      <c r="E3908" s="10" t="str">
        <f>IF(B3908="","",IFERROR(INDEX(Harytlar!$C$5:$C$44,MATCH(B3908,Harytlar!$A$5:$A$44,0)),""))</f>
        <v/>
      </c>
      <c r="F3908" s="10" t="str">
        <f t="shared" si="60"/>
        <v/>
      </c>
      <c r="G3908" s="10" t="str">
        <f>IF(OR(C3908="",B3908=""),"",IFERROR(C3908*INDEX(Harytlar!$D$5:$D$44,MATCH(B3908,Harytlar!$A$5:$A$44,0)),""))</f>
        <v/>
      </c>
    </row>
    <row r="3909" spans="1:7" x14ac:dyDescent="0.3">
      <c r="A3909" s="17"/>
      <c r="B3909" s="18"/>
      <c r="C3909" s="18"/>
      <c r="D3909" s="18"/>
      <c r="E3909" s="10" t="str">
        <f>IF(B3909="","",IFERROR(INDEX(Harytlar!$C$5:$C$44,MATCH(B3909,Harytlar!$A$5:$A$44,0)),""))</f>
        <v/>
      </c>
      <c r="F3909" s="10" t="str">
        <f t="shared" si="60"/>
        <v/>
      </c>
      <c r="G3909" s="10" t="str">
        <f>IF(OR(C3909="",B3909=""),"",IFERROR(C3909*INDEX(Harytlar!$D$5:$D$44,MATCH(B3909,Harytlar!$A$5:$A$44,0)),""))</f>
        <v/>
      </c>
    </row>
    <row r="3910" spans="1:7" x14ac:dyDescent="0.3">
      <c r="A3910" s="17"/>
      <c r="B3910" s="18"/>
      <c r="C3910" s="18"/>
      <c r="D3910" s="18"/>
      <c r="E3910" s="10" t="str">
        <f>IF(B3910="","",IFERROR(INDEX(Harytlar!$C$5:$C$44,MATCH(B3910,Harytlar!$A$5:$A$44,0)),""))</f>
        <v/>
      </c>
      <c r="F3910" s="10" t="str">
        <f t="shared" ref="F3910:F3973" si="61">IF(OR(C3910="",E3910=""),"",C3910*E3910)</f>
        <v/>
      </c>
      <c r="G3910" s="10" t="str">
        <f>IF(OR(C3910="",B3910=""),"",IFERROR(C3910*INDEX(Harytlar!$D$5:$D$44,MATCH(B3910,Harytlar!$A$5:$A$44,0)),""))</f>
        <v/>
      </c>
    </row>
    <row r="3911" spans="1:7" x14ac:dyDescent="0.3">
      <c r="A3911" s="17"/>
      <c r="B3911" s="18"/>
      <c r="C3911" s="18"/>
      <c r="D3911" s="18"/>
      <c r="E3911" s="10" t="str">
        <f>IF(B3911="","",IFERROR(INDEX(Harytlar!$C$5:$C$44,MATCH(B3911,Harytlar!$A$5:$A$44,0)),""))</f>
        <v/>
      </c>
      <c r="F3911" s="10" t="str">
        <f t="shared" si="61"/>
        <v/>
      </c>
      <c r="G3911" s="10" t="str">
        <f>IF(OR(C3911="",B3911=""),"",IFERROR(C3911*INDEX(Harytlar!$D$5:$D$44,MATCH(B3911,Harytlar!$A$5:$A$44,0)),""))</f>
        <v/>
      </c>
    </row>
    <row r="3912" spans="1:7" x14ac:dyDescent="0.3">
      <c r="A3912" s="17"/>
      <c r="B3912" s="18"/>
      <c r="C3912" s="18"/>
      <c r="D3912" s="18"/>
      <c r="E3912" s="10" t="str">
        <f>IF(B3912="","",IFERROR(INDEX(Harytlar!$C$5:$C$44,MATCH(B3912,Harytlar!$A$5:$A$44,0)),""))</f>
        <v/>
      </c>
      <c r="F3912" s="10" t="str">
        <f t="shared" si="61"/>
        <v/>
      </c>
      <c r="G3912" s="10" t="str">
        <f>IF(OR(C3912="",B3912=""),"",IFERROR(C3912*INDEX(Harytlar!$D$5:$D$44,MATCH(B3912,Harytlar!$A$5:$A$44,0)),""))</f>
        <v/>
      </c>
    </row>
    <row r="3913" spans="1:7" x14ac:dyDescent="0.3">
      <c r="A3913" s="17"/>
      <c r="B3913" s="18"/>
      <c r="C3913" s="18"/>
      <c r="D3913" s="18"/>
      <c r="E3913" s="10" t="str">
        <f>IF(B3913="","",IFERROR(INDEX(Harytlar!$C$5:$C$44,MATCH(B3913,Harytlar!$A$5:$A$44,0)),""))</f>
        <v/>
      </c>
      <c r="F3913" s="10" t="str">
        <f t="shared" si="61"/>
        <v/>
      </c>
      <c r="G3913" s="10" t="str">
        <f>IF(OR(C3913="",B3913=""),"",IFERROR(C3913*INDEX(Harytlar!$D$5:$D$44,MATCH(B3913,Harytlar!$A$5:$A$44,0)),""))</f>
        <v/>
      </c>
    </row>
    <row r="3914" spans="1:7" x14ac:dyDescent="0.3">
      <c r="A3914" s="17"/>
      <c r="B3914" s="18"/>
      <c r="C3914" s="18"/>
      <c r="D3914" s="18"/>
      <c r="E3914" s="10" t="str">
        <f>IF(B3914="","",IFERROR(INDEX(Harytlar!$C$5:$C$44,MATCH(B3914,Harytlar!$A$5:$A$44,0)),""))</f>
        <v/>
      </c>
      <c r="F3914" s="10" t="str">
        <f t="shared" si="61"/>
        <v/>
      </c>
      <c r="G3914" s="10" t="str">
        <f>IF(OR(C3914="",B3914=""),"",IFERROR(C3914*INDEX(Harytlar!$D$5:$D$44,MATCH(B3914,Harytlar!$A$5:$A$44,0)),""))</f>
        <v/>
      </c>
    </row>
    <row r="3915" spans="1:7" x14ac:dyDescent="0.3">
      <c r="A3915" s="17"/>
      <c r="B3915" s="18"/>
      <c r="C3915" s="18"/>
      <c r="D3915" s="18"/>
      <c r="E3915" s="10" t="str">
        <f>IF(B3915="","",IFERROR(INDEX(Harytlar!$C$5:$C$44,MATCH(B3915,Harytlar!$A$5:$A$44,0)),""))</f>
        <v/>
      </c>
      <c r="F3915" s="10" t="str">
        <f t="shared" si="61"/>
        <v/>
      </c>
      <c r="G3915" s="10" t="str">
        <f>IF(OR(C3915="",B3915=""),"",IFERROR(C3915*INDEX(Harytlar!$D$5:$D$44,MATCH(B3915,Harytlar!$A$5:$A$44,0)),""))</f>
        <v/>
      </c>
    </row>
    <row r="3916" spans="1:7" x14ac:dyDescent="0.3">
      <c r="A3916" s="17"/>
      <c r="B3916" s="18"/>
      <c r="C3916" s="18"/>
      <c r="D3916" s="18"/>
      <c r="E3916" s="10" t="str">
        <f>IF(B3916="","",IFERROR(INDEX(Harytlar!$C$5:$C$44,MATCH(B3916,Harytlar!$A$5:$A$44,0)),""))</f>
        <v/>
      </c>
      <c r="F3916" s="10" t="str">
        <f t="shared" si="61"/>
        <v/>
      </c>
      <c r="G3916" s="10" t="str">
        <f>IF(OR(C3916="",B3916=""),"",IFERROR(C3916*INDEX(Harytlar!$D$5:$D$44,MATCH(B3916,Harytlar!$A$5:$A$44,0)),""))</f>
        <v/>
      </c>
    </row>
    <row r="3917" spans="1:7" x14ac:dyDescent="0.3">
      <c r="A3917" s="17"/>
      <c r="B3917" s="18"/>
      <c r="C3917" s="18"/>
      <c r="D3917" s="18"/>
      <c r="E3917" s="10" t="str">
        <f>IF(B3917="","",IFERROR(INDEX(Harytlar!$C$5:$C$44,MATCH(B3917,Harytlar!$A$5:$A$44,0)),""))</f>
        <v/>
      </c>
      <c r="F3917" s="10" t="str">
        <f t="shared" si="61"/>
        <v/>
      </c>
      <c r="G3917" s="10" t="str">
        <f>IF(OR(C3917="",B3917=""),"",IFERROR(C3917*INDEX(Harytlar!$D$5:$D$44,MATCH(B3917,Harytlar!$A$5:$A$44,0)),""))</f>
        <v/>
      </c>
    </row>
    <row r="3918" spans="1:7" x14ac:dyDescent="0.3">
      <c r="A3918" s="17"/>
      <c r="B3918" s="18"/>
      <c r="C3918" s="18"/>
      <c r="D3918" s="18"/>
      <c r="E3918" s="10" t="str">
        <f>IF(B3918="","",IFERROR(INDEX(Harytlar!$C$5:$C$44,MATCH(B3918,Harytlar!$A$5:$A$44,0)),""))</f>
        <v/>
      </c>
      <c r="F3918" s="10" t="str">
        <f t="shared" si="61"/>
        <v/>
      </c>
      <c r="G3918" s="10" t="str">
        <f>IF(OR(C3918="",B3918=""),"",IFERROR(C3918*INDEX(Harytlar!$D$5:$D$44,MATCH(B3918,Harytlar!$A$5:$A$44,0)),""))</f>
        <v/>
      </c>
    </row>
    <row r="3919" spans="1:7" x14ac:dyDescent="0.3">
      <c r="A3919" s="17"/>
      <c r="B3919" s="18"/>
      <c r="C3919" s="18"/>
      <c r="D3919" s="18"/>
      <c r="E3919" s="10" t="str">
        <f>IF(B3919="","",IFERROR(INDEX(Harytlar!$C$5:$C$44,MATCH(B3919,Harytlar!$A$5:$A$44,0)),""))</f>
        <v/>
      </c>
      <c r="F3919" s="10" t="str">
        <f t="shared" si="61"/>
        <v/>
      </c>
      <c r="G3919" s="10" t="str">
        <f>IF(OR(C3919="",B3919=""),"",IFERROR(C3919*INDEX(Harytlar!$D$5:$D$44,MATCH(B3919,Harytlar!$A$5:$A$44,0)),""))</f>
        <v/>
      </c>
    </row>
    <row r="3920" spans="1:7" x14ac:dyDescent="0.3">
      <c r="A3920" s="17"/>
      <c r="B3920" s="18"/>
      <c r="C3920" s="18"/>
      <c r="D3920" s="18"/>
      <c r="E3920" s="10" t="str">
        <f>IF(B3920="","",IFERROR(INDEX(Harytlar!$C$5:$C$44,MATCH(B3920,Harytlar!$A$5:$A$44,0)),""))</f>
        <v/>
      </c>
      <c r="F3920" s="10" t="str">
        <f t="shared" si="61"/>
        <v/>
      </c>
      <c r="G3920" s="10" t="str">
        <f>IF(OR(C3920="",B3920=""),"",IFERROR(C3920*INDEX(Harytlar!$D$5:$D$44,MATCH(B3920,Harytlar!$A$5:$A$44,0)),""))</f>
        <v/>
      </c>
    </row>
    <row r="3921" spans="1:7" x14ac:dyDescent="0.3">
      <c r="A3921" s="17"/>
      <c r="B3921" s="18"/>
      <c r="C3921" s="18"/>
      <c r="D3921" s="18"/>
      <c r="E3921" s="10" t="str">
        <f>IF(B3921="","",IFERROR(INDEX(Harytlar!$C$5:$C$44,MATCH(B3921,Harytlar!$A$5:$A$44,0)),""))</f>
        <v/>
      </c>
      <c r="F3921" s="10" t="str">
        <f t="shared" si="61"/>
        <v/>
      </c>
      <c r="G3921" s="10" t="str">
        <f>IF(OR(C3921="",B3921=""),"",IFERROR(C3921*INDEX(Harytlar!$D$5:$D$44,MATCH(B3921,Harytlar!$A$5:$A$44,0)),""))</f>
        <v/>
      </c>
    </row>
    <row r="3922" spans="1:7" x14ac:dyDescent="0.3">
      <c r="A3922" s="17"/>
      <c r="B3922" s="18"/>
      <c r="C3922" s="18"/>
      <c r="D3922" s="18"/>
      <c r="E3922" s="10" t="str">
        <f>IF(B3922="","",IFERROR(INDEX(Harytlar!$C$5:$C$44,MATCH(B3922,Harytlar!$A$5:$A$44,0)),""))</f>
        <v/>
      </c>
      <c r="F3922" s="10" t="str">
        <f t="shared" si="61"/>
        <v/>
      </c>
      <c r="G3922" s="10" t="str">
        <f>IF(OR(C3922="",B3922=""),"",IFERROR(C3922*INDEX(Harytlar!$D$5:$D$44,MATCH(B3922,Harytlar!$A$5:$A$44,0)),""))</f>
        <v/>
      </c>
    </row>
    <row r="3923" spans="1:7" x14ac:dyDescent="0.3">
      <c r="A3923" s="17"/>
      <c r="B3923" s="18"/>
      <c r="C3923" s="18"/>
      <c r="D3923" s="18"/>
      <c r="E3923" s="10" t="str">
        <f>IF(B3923="","",IFERROR(INDEX(Harytlar!$C$5:$C$44,MATCH(B3923,Harytlar!$A$5:$A$44,0)),""))</f>
        <v/>
      </c>
      <c r="F3923" s="10" t="str">
        <f t="shared" si="61"/>
        <v/>
      </c>
      <c r="G3923" s="10" t="str">
        <f>IF(OR(C3923="",B3923=""),"",IFERROR(C3923*INDEX(Harytlar!$D$5:$D$44,MATCH(B3923,Harytlar!$A$5:$A$44,0)),""))</f>
        <v/>
      </c>
    </row>
    <row r="3924" spans="1:7" x14ac:dyDescent="0.3">
      <c r="A3924" s="17"/>
      <c r="B3924" s="18"/>
      <c r="C3924" s="18"/>
      <c r="D3924" s="18"/>
      <c r="E3924" s="10" t="str">
        <f>IF(B3924="","",IFERROR(INDEX(Harytlar!$C$5:$C$44,MATCH(B3924,Harytlar!$A$5:$A$44,0)),""))</f>
        <v/>
      </c>
      <c r="F3924" s="10" t="str">
        <f t="shared" si="61"/>
        <v/>
      </c>
      <c r="G3924" s="10" t="str">
        <f>IF(OR(C3924="",B3924=""),"",IFERROR(C3924*INDEX(Harytlar!$D$5:$D$44,MATCH(B3924,Harytlar!$A$5:$A$44,0)),""))</f>
        <v/>
      </c>
    </row>
    <row r="3925" spans="1:7" x14ac:dyDescent="0.3">
      <c r="A3925" s="17"/>
      <c r="B3925" s="18"/>
      <c r="C3925" s="18"/>
      <c r="D3925" s="18"/>
      <c r="E3925" s="10" t="str">
        <f>IF(B3925="","",IFERROR(INDEX(Harytlar!$C$5:$C$44,MATCH(B3925,Harytlar!$A$5:$A$44,0)),""))</f>
        <v/>
      </c>
      <c r="F3925" s="10" t="str">
        <f t="shared" si="61"/>
        <v/>
      </c>
      <c r="G3925" s="10" t="str">
        <f>IF(OR(C3925="",B3925=""),"",IFERROR(C3925*INDEX(Harytlar!$D$5:$D$44,MATCH(B3925,Harytlar!$A$5:$A$44,0)),""))</f>
        <v/>
      </c>
    </row>
    <row r="3926" spans="1:7" x14ac:dyDescent="0.3">
      <c r="A3926" s="17"/>
      <c r="B3926" s="18"/>
      <c r="C3926" s="18"/>
      <c r="D3926" s="18"/>
      <c r="E3926" s="10" t="str">
        <f>IF(B3926="","",IFERROR(INDEX(Harytlar!$C$5:$C$44,MATCH(B3926,Harytlar!$A$5:$A$44,0)),""))</f>
        <v/>
      </c>
      <c r="F3926" s="10" t="str">
        <f t="shared" si="61"/>
        <v/>
      </c>
      <c r="G3926" s="10" t="str">
        <f>IF(OR(C3926="",B3926=""),"",IFERROR(C3926*INDEX(Harytlar!$D$5:$D$44,MATCH(B3926,Harytlar!$A$5:$A$44,0)),""))</f>
        <v/>
      </c>
    </row>
    <row r="3927" spans="1:7" x14ac:dyDescent="0.3">
      <c r="A3927" s="17"/>
      <c r="B3927" s="18"/>
      <c r="C3927" s="18"/>
      <c r="D3927" s="18"/>
      <c r="E3927" s="10" t="str">
        <f>IF(B3927="","",IFERROR(INDEX(Harytlar!$C$5:$C$44,MATCH(B3927,Harytlar!$A$5:$A$44,0)),""))</f>
        <v/>
      </c>
      <c r="F3927" s="10" t="str">
        <f t="shared" si="61"/>
        <v/>
      </c>
      <c r="G3927" s="10" t="str">
        <f>IF(OR(C3927="",B3927=""),"",IFERROR(C3927*INDEX(Harytlar!$D$5:$D$44,MATCH(B3927,Harytlar!$A$5:$A$44,0)),""))</f>
        <v/>
      </c>
    </row>
    <row r="3928" spans="1:7" x14ac:dyDescent="0.3">
      <c r="A3928" s="17"/>
      <c r="B3928" s="18"/>
      <c r="C3928" s="18"/>
      <c r="D3928" s="18"/>
      <c r="E3928" s="10" t="str">
        <f>IF(B3928="","",IFERROR(INDEX(Harytlar!$C$5:$C$44,MATCH(B3928,Harytlar!$A$5:$A$44,0)),""))</f>
        <v/>
      </c>
      <c r="F3928" s="10" t="str">
        <f t="shared" si="61"/>
        <v/>
      </c>
      <c r="G3928" s="10" t="str">
        <f>IF(OR(C3928="",B3928=""),"",IFERROR(C3928*INDEX(Harytlar!$D$5:$D$44,MATCH(B3928,Harytlar!$A$5:$A$44,0)),""))</f>
        <v/>
      </c>
    </row>
    <row r="3929" spans="1:7" x14ac:dyDescent="0.3">
      <c r="A3929" s="17"/>
      <c r="B3929" s="18"/>
      <c r="C3929" s="18"/>
      <c r="D3929" s="18"/>
      <c r="E3929" s="10" t="str">
        <f>IF(B3929="","",IFERROR(INDEX(Harytlar!$C$5:$C$44,MATCH(B3929,Harytlar!$A$5:$A$44,0)),""))</f>
        <v/>
      </c>
      <c r="F3929" s="10" t="str">
        <f t="shared" si="61"/>
        <v/>
      </c>
      <c r="G3929" s="10" t="str">
        <f>IF(OR(C3929="",B3929=""),"",IFERROR(C3929*INDEX(Harytlar!$D$5:$D$44,MATCH(B3929,Harytlar!$A$5:$A$44,0)),""))</f>
        <v/>
      </c>
    </row>
    <row r="3930" spans="1:7" x14ac:dyDescent="0.3">
      <c r="A3930" s="17"/>
      <c r="B3930" s="18"/>
      <c r="C3930" s="18"/>
      <c r="D3930" s="18"/>
      <c r="E3930" s="10" t="str">
        <f>IF(B3930="","",IFERROR(INDEX(Harytlar!$C$5:$C$44,MATCH(B3930,Harytlar!$A$5:$A$44,0)),""))</f>
        <v/>
      </c>
      <c r="F3930" s="10" t="str">
        <f t="shared" si="61"/>
        <v/>
      </c>
      <c r="G3930" s="10" t="str">
        <f>IF(OR(C3930="",B3930=""),"",IFERROR(C3930*INDEX(Harytlar!$D$5:$D$44,MATCH(B3930,Harytlar!$A$5:$A$44,0)),""))</f>
        <v/>
      </c>
    </row>
    <row r="3931" spans="1:7" x14ac:dyDescent="0.3">
      <c r="A3931" s="17"/>
      <c r="B3931" s="18"/>
      <c r="C3931" s="18"/>
      <c r="D3931" s="18"/>
      <c r="E3931" s="10" t="str">
        <f>IF(B3931="","",IFERROR(INDEX(Harytlar!$C$5:$C$44,MATCH(B3931,Harytlar!$A$5:$A$44,0)),""))</f>
        <v/>
      </c>
      <c r="F3931" s="10" t="str">
        <f t="shared" si="61"/>
        <v/>
      </c>
      <c r="G3931" s="10" t="str">
        <f>IF(OR(C3931="",B3931=""),"",IFERROR(C3931*INDEX(Harytlar!$D$5:$D$44,MATCH(B3931,Harytlar!$A$5:$A$44,0)),""))</f>
        <v/>
      </c>
    </row>
    <row r="3932" spans="1:7" x14ac:dyDescent="0.3">
      <c r="A3932" s="17"/>
      <c r="B3932" s="18"/>
      <c r="C3932" s="18"/>
      <c r="D3932" s="18"/>
      <c r="E3932" s="10" t="str">
        <f>IF(B3932="","",IFERROR(INDEX(Harytlar!$C$5:$C$44,MATCH(B3932,Harytlar!$A$5:$A$44,0)),""))</f>
        <v/>
      </c>
      <c r="F3932" s="10" t="str">
        <f t="shared" si="61"/>
        <v/>
      </c>
      <c r="G3932" s="10" t="str">
        <f>IF(OR(C3932="",B3932=""),"",IFERROR(C3932*INDEX(Harytlar!$D$5:$D$44,MATCH(B3932,Harytlar!$A$5:$A$44,0)),""))</f>
        <v/>
      </c>
    </row>
    <row r="3933" spans="1:7" x14ac:dyDescent="0.3">
      <c r="A3933" s="17"/>
      <c r="B3933" s="18"/>
      <c r="C3933" s="18"/>
      <c r="D3933" s="18"/>
      <c r="E3933" s="10" t="str">
        <f>IF(B3933="","",IFERROR(INDEX(Harytlar!$C$5:$C$44,MATCH(B3933,Harytlar!$A$5:$A$44,0)),""))</f>
        <v/>
      </c>
      <c r="F3933" s="10" t="str">
        <f t="shared" si="61"/>
        <v/>
      </c>
      <c r="G3933" s="10" t="str">
        <f>IF(OR(C3933="",B3933=""),"",IFERROR(C3933*INDEX(Harytlar!$D$5:$D$44,MATCH(B3933,Harytlar!$A$5:$A$44,0)),""))</f>
        <v/>
      </c>
    </row>
    <row r="3934" spans="1:7" x14ac:dyDescent="0.3">
      <c r="A3934" s="17"/>
      <c r="B3934" s="18"/>
      <c r="C3934" s="18"/>
      <c r="D3934" s="18"/>
      <c r="E3934" s="10" t="str">
        <f>IF(B3934="","",IFERROR(INDEX(Harytlar!$C$5:$C$44,MATCH(B3934,Harytlar!$A$5:$A$44,0)),""))</f>
        <v/>
      </c>
      <c r="F3934" s="10" t="str">
        <f t="shared" si="61"/>
        <v/>
      </c>
      <c r="G3934" s="10" t="str">
        <f>IF(OR(C3934="",B3934=""),"",IFERROR(C3934*INDEX(Harytlar!$D$5:$D$44,MATCH(B3934,Harytlar!$A$5:$A$44,0)),""))</f>
        <v/>
      </c>
    </row>
    <row r="3935" spans="1:7" x14ac:dyDescent="0.3">
      <c r="A3935" s="17"/>
      <c r="B3935" s="18"/>
      <c r="C3935" s="18"/>
      <c r="D3935" s="18"/>
      <c r="E3935" s="10" t="str">
        <f>IF(B3935="","",IFERROR(INDEX(Harytlar!$C$5:$C$44,MATCH(B3935,Harytlar!$A$5:$A$44,0)),""))</f>
        <v/>
      </c>
      <c r="F3935" s="10" t="str">
        <f t="shared" si="61"/>
        <v/>
      </c>
      <c r="G3935" s="10" t="str">
        <f>IF(OR(C3935="",B3935=""),"",IFERROR(C3935*INDEX(Harytlar!$D$5:$D$44,MATCH(B3935,Harytlar!$A$5:$A$44,0)),""))</f>
        <v/>
      </c>
    </row>
    <row r="3936" spans="1:7" x14ac:dyDescent="0.3">
      <c r="A3936" s="17"/>
      <c r="B3936" s="18"/>
      <c r="C3936" s="18"/>
      <c r="D3936" s="18"/>
      <c r="E3936" s="10" t="str">
        <f>IF(B3936="","",IFERROR(INDEX(Harytlar!$C$5:$C$44,MATCH(B3936,Harytlar!$A$5:$A$44,0)),""))</f>
        <v/>
      </c>
      <c r="F3936" s="10" t="str">
        <f t="shared" si="61"/>
        <v/>
      </c>
      <c r="G3936" s="10" t="str">
        <f>IF(OR(C3936="",B3936=""),"",IFERROR(C3936*INDEX(Harytlar!$D$5:$D$44,MATCH(B3936,Harytlar!$A$5:$A$44,0)),""))</f>
        <v/>
      </c>
    </row>
    <row r="3937" spans="1:7" x14ac:dyDescent="0.3">
      <c r="A3937" s="17"/>
      <c r="B3937" s="18"/>
      <c r="C3937" s="18"/>
      <c r="D3937" s="18"/>
      <c r="E3937" s="10" t="str">
        <f>IF(B3937="","",IFERROR(INDEX(Harytlar!$C$5:$C$44,MATCH(B3937,Harytlar!$A$5:$A$44,0)),""))</f>
        <v/>
      </c>
      <c r="F3937" s="10" t="str">
        <f t="shared" si="61"/>
        <v/>
      </c>
      <c r="G3937" s="10" t="str">
        <f>IF(OR(C3937="",B3937=""),"",IFERROR(C3937*INDEX(Harytlar!$D$5:$D$44,MATCH(B3937,Harytlar!$A$5:$A$44,0)),""))</f>
        <v/>
      </c>
    </row>
    <row r="3938" spans="1:7" x14ac:dyDescent="0.3">
      <c r="A3938" s="17"/>
      <c r="B3938" s="18"/>
      <c r="C3938" s="18"/>
      <c r="D3938" s="18"/>
      <c r="E3938" s="10" t="str">
        <f>IF(B3938="","",IFERROR(INDEX(Harytlar!$C$5:$C$44,MATCH(B3938,Harytlar!$A$5:$A$44,0)),""))</f>
        <v/>
      </c>
      <c r="F3938" s="10" t="str">
        <f t="shared" si="61"/>
        <v/>
      </c>
      <c r="G3938" s="10" t="str">
        <f>IF(OR(C3938="",B3938=""),"",IFERROR(C3938*INDEX(Harytlar!$D$5:$D$44,MATCH(B3938,Harytlar!$A$5:$A$44,0)),""))</f>
        <v/>
      </c>
    </row>
    <row r="3939" spans="1:7" x14ac:dyDescent="0.3">
      <c r="A3939" s="17"/>
      <c r="B3939" s="18"/>
      <c r="C3939" s="18"/>
      <c r="D3939" s="18"/>
      <c r="E3939" s="10" t="str">
        <f>IF(B3939="","",IFERROR(INDEX(Harytlar!$C$5:$C$44,MATCH(B3939,Harytlar!$A$5:$A$44,0)),""))</f>
        <v/>
      </c>
      <c r="F3939" s="10" t="str">
        <f t="shared" si="61"/>
        <v/>
      </c>
      <c r="G3939" s="10" t="str">
        <f>IF(OR(C3939="",B3939=""),"",IFERROR(C3939*INDEX(Harytlar!$D$5:$D$44,MATCH(B3939,Harytlar!$A$5:$A$44,0)),""))</f>
        <v/>
      </c>
    </row>
    <row r="3940" spans="1:7" x14ac:dyDescent="0.3">
      <c r="A3940" s="17"/>
      <c r="B3940" s="18"/>
      <c r="C3940" s="18"/>
      <c r="D3940" s="18"/>
      <c r="E3940" s="10" t="str">
        <f>IF(B3940="","",IFERROR(INDEX(Harytlar!$C$5:$C$44,MATCH(B3940,Harytlar!$A$5:$A$44,0)),""))</f>
        <v/>
      </c>
      <c r="F3940" s="10" t="str">
        <f t="shared" si="61"/>
        <v/>
      </c>
      <c r="G3940" s="10" t="str">
        <f>IF(OR(C3940="",B3940=""),"",IFERROR(C3940*INDEX(Harytlar!$D$5:$D$44,MATCH(B3940,Harytlar!$A$5:$A$44,0)),""))</f>
        <v/>
      </c>
    </row>
    <row r="3941" spans="1:7" x14ac:dyDescent="0.3">
      <c r="A3941" s="17"/>
      <c r="B3941" s="18"/>
      <c r="C3941" s="18"/>
      <c r="D3941" s="18"/>
      <c r="E3941" s="10" t="str">
        <f>IF(B3941="","",IFERROR(INDEX(Harytlar!$C$5:$C$44,MATCH(B3941,Harytlar!$A$5:$A$44,0)),""))</f>
        <v/>
      </c>
      <c r="F3941" s="10" t="str">
        <f t="shared" si="61"/>
        <v/>
      </c>
      <c r="G3941" s="10" t="str">
        <f>IF(OR(C3941="",B3941=""),"",IFERROR(C3941*INDEX(Harytlar!$D$5:$D$44,MATCH(B3941,Harytlar!$A$5:$A$44,0)),""))</f>
        <v/>
      </c>
    </row>
    <row r="3942" spans="1:7" x14ac:dyDescent="0.3">
      <c r="A3942" s="17"/>
      <c r="B3942" s="18"/>
      <c r="C3942" s="18"/>
      <c r="D3942" s="18"/>
      <c r="E3942" s="10" t="str">
        <f>IF(B3942="","",IFERROR(INDEX(Harytlar!$C$5:$C$44,MATCH(B3942,Harytlar!$A$5:$A$44,0)),""))</f>
        <v/>
      </c>
      <c r="F3942" s="10" t="str">
        <f t="shared" si="61"/>
        <v/>
      </c>
      <c r="G3942" s="10" t="str">
        <f>IF(OR(C3942="",B3942=""),"",IFERROR(C3942*INDEX(Harytlar!$D$5:$D$44,MATCH(B3942,Harytlar!$A$5:$A$44,0)),""))</f>
        <v/>
      </c>
    </row>
    <row r="3943" spans="1:7" x14ac:dyDescent="0.3">
      <c r="A3943" s="17"/>
      <c r="B3943" s="18"/>
      <c r="C3943" s="18"/>
      <c r="D3943" s="18"/>
      <c r="E3943" s="10" t="str">
        <f>IF(B3943="","",IFERROR(INDEX(Harytlar!$C$5:$C$44,MATCH(B3943,Harytlar!$A$5:$A$44,0)),""))</f>
        <v/>
      </c>
      <c r="F3943" s="10" t="str">
        <f t="shared" si="61"/>
        <v/>
      </c>
      <c r="G3943" s="10" t="str">
        <f>IF(OR(C3943="",B3943=""),"",IFERROR(C3943*INDEX(Harytlar!$D$5:$D$44,MATCH(B3943,Harytlar!$A$5:$A$44,0)),""))</f>
        <v/>
      </c>
    </row>
    <row r="3944" spans="1:7" x14ac:dyDescent="0.3">
      <c r="A3944" s="17"/>
      <c r="B3944" s="18"/>
      <c r="C3944" s="18"/>
      <c r="D3944" s="18"/>
      <c r="E3944" s="10" t="str">
        <f>IF(B3944="","",IFERROR(INDEX(Harytlar!$C$5:$C$44,MATCH(B3944,Harytlar!$A$5:$A$44,0)),""))</f>
        <v/>
      </c>
      <c r="F3944" s="10" t="str">
        <f t="shared" si="61"/>
        <v/>
      </c>
      <c r="G3944" s="10" t="str">
        <f>IF(OR(C3944="",B3944=""),"",IFERROR(C3944*INDEX(Harytlar!$D$5:$D$44,MATCH(B3944,Harytlar!$A$5:$A$44,0)),""))</f>
        <v/>
      </c>
    </row>
    <row r="3945" spans="1:7" x14ac:dyDescent="0.3">
      <c r="A3945" s="17"/>
      <c r="B3945" s="18"/>
      <c r="C3945" s="18"/>
      <c r="D3945" s="18"/>
      <c r="E3945" s="10" t="str">
        <f>IF(B3945="","",IFERROR(INDEX(Harytlar!$C$5:$C$44,MATCH(B3945,Harytlar!$A$5:$A$44,0)),""))</f>
        <v/>
      </c>
      <c r="F3945" s="10" t="str">
        <f t="shared" si="61"/>
        <v/>
      </c>
      <c r="G3945" s="10" t="str">
        <f>IF(OR(C3945="",B3945=""),"",IFERROR(C3945*INDEX(Harytlar!$D$5:$D$44,MATCH(B3945,Harytlar!$A$5:$A$44,0)),""))</f>
        <v/>
      </c>
    </row>
    <row r="3946" spans="1:7" x14ac:dyDescent="0.3">
      <c r="A3946" s="17"/>
      <c r="B3946" s="18"/>
      <c r="C3946" s="18"/>
      <c r="D3946" s="18"/>
      <c r="E3946" s="10" t="str">
        <f>IF(B3946="","",IFERROR(INDEX(Harytlar!$C$5:$C$44,MATCH(B3946,Harytlar!$A$5:$A$44,0)),""))</f>
        <v/>
      </c>
      <c r="F3946" s="10" t="str">
        <f t="shared" si="61"/>
        <v/>
      </c>
      <c r="G3946" s="10" t="str">
        <f>IF(OR(C3946="",B3946=""),"",IFERROR(C3946*INDEX(Harytlar!$D$5:$D$44,MATCH(B3946,Harytlar!$A$5:$A$44,0)),""))</f>
        <v/>
      </c>
    </row>
    <row r="3947" spans="1:7" x14ac:dyDescent="0.3">
      <c r="A3947" s="17"/>
      <c r="B3947" s="18"/>
      <c r="C3947" s="18"/>
      <c r="D3947" s="18"/>
      <c r="E3947" s="10" t="str">
        <f>IF(B3947="","",IFERROR(INDEX(Harytlar!$C$5:$C$44,MATCH(B3947,Harytlar!$A$5:$A$44,0)),""))</f>
        <v/>
      </c>
      <c r="F3947" s="10" t="str">
        <f t="shared" si="61"/>
        <v/>
      </c>
      <c r="G3947" s="10" t="str">
        <f>IF(OR(C3947="",B3947=""),"",IFERROR(C3947*INDEX(Harytlar!$D$5:$D$44,MATCH(B3947,Harytlar!$A$5:$A$44,0)),""))</f>
        <v/>
      </c>
    </row>
    <row r="3948" spans="1:7" x14ac:dyDescent="0.3">
      <c r="A3948" s="17"/>
      <c r="B3948" s="18"/>
      <c r="C3948" s="18"/>
      <c r="D3948" s="18"/>
      <c r="E3948" s="10" t="str">
        <f>IF(B3948="","",IFERROR(INDEX(Harytlar!$C$5:$C$44,MATCH(B3948,Harytlar!$A$5:$A$44,0)),""))</f>
        <v/>
      </c>
      <c r="F3948" s="10" t="str">
        <f t="shared" si="61"/>
        <v/>
      </c>
      <c r="G3948" s="10" t="str">
        <f>IF(OR(C3948="",B3948=""),"",IFERROR(C3948*INDEX(Harytlar!$D$5:$D$44,MATCH(B3948,Harytlar!$A$5:$A$44,0)),""))</f>
        <v/>
      </c>
    </row>
    <row r="3949" spans="1:7" x14ac:dyDescent="0.3">
      <c r="A3949" s="17"/>
      <c r="B3949" s="18"/>
      <c r="C3949" s="18"/>
      <c r="D3949" s="18"/>
      <c r="E3949" s="10" t="str">
        <f>IF(B3949="","",IFERROR(INDEX(Harytlar!$C$5:$C$44,MATCH(B3949,Harytlar!$A$5:$A$44,0)),""))</f>
        <v/>
      </c>
      <c r="F3949" s="10" t="str">
        <f t="shared" si="61"/>
        <v/>
      </c>
      <c r="G3949" s="10" t="str">
        <f>IF(OR(C3949="",B3949=""),"",IFERROR(C3949*INDEX(Harytlar!$D$5:$D$44,MATCH(B3949,Harytlar!$A$5:$A$44,0)),""))</f>
        <v/>
      </c>
    </row>
    <row r="3950" spans="1:7" x14ac:dyDescent="0.3">
      <c r="A3950" s="17"/>
      <c r="B3950" s="18"/>
      <c r="C3950" s="18"/>
      <c r="D3950" s="18"/>
      <c r="E3950" s="10" t="str">
        <f>IF(B3950="","",IFERROR(INDEX(Harytlar!$C$5:$C$44,MATCH(B3950,Harytlar!$A$5:$A$44,0)),""))</f>
        <v/>
      </c>
      <c r="F3950" s="10" t="str">
        <f t="shared" si="61"/>
        <v/>
      </c>
      <c r="G3950" s="10" t="str">
        <f>IF(OR(C3950="",B3950=""),"",IFERROR(C3950*INDEX(Harytlar!$D$5:$D$44,MATCH(B3950,Harytlar!$A$5:$A$44,0)),""))</f>
        <v/>
      </c>
    </row>
    <row r="3951" spans="1:7" x14ac:dyDescent="0.3">
      <c r="A3951" s="17"/>
      <c r="B3951" s="18"/>
      <c r="C3951" s="18"/>
      <c r="D3951" s="18"/>
      <c r="E3951" s="10" t="str">
        <f>IF(B3951="","",IFERROR(INDEX(Harytlar!$C$5:$C$44,MATCH(B3951,Harytlar!$A$5:$A$44,0)),""))</f>
        <v/>
      </c>
      <c r="F3951" s="10" t="str">
        <f t="shared" si="61"/>
        <v/>
      </c>
      <c r="G3951" s="10" t="str">
        <f>IF(OR(C3951="",B3951=""),"",IFERROR(C3951*INDEX(Harytlar!$D$5:$D$44,MATCH(B3951,Harytlar!$A$5:$A$44,0)),""))</f>
        <v/>
      </c>
    </row>
    <row r="3952" spans="1:7" x14ac:dyDescent="0.3">
      <c r="A3952" s="17"/>
      <c r="B3952" s="18"/>
      <c r="C3952" s="18"/>
      <c r="D3952" s="18"/>
      <c r="E3952" s="10" t="str">
        <f>IF(B3952="","",IFERROR(INDEX(Harytlar!$C$5:$C$44,MATCH(B3952,Harytlar!$A$5:$A$44,0)),""))</f>
        <v/>
      </c>
      <c r="F3952" s="10" t="str">
        <f t="shared" si="61"/>
        <v/>
      </c>
      <c r="G3952" s="10" t="str">
        <f>IF(OR(C3952="",B3952=""),"",IFERROR(C3952*INDEX(Harytlar!$D$5:$D$44,MATCH(B3952,Harytlar!$A$5:$A$44,0)),""))</f>
        <v/>
      </c>
    </row>
    <row r="3953" spans="1:7" x14ac:dyDescent="0.3">
      <c r="A3953" s="17"/>
      <c r="B3953" s="18"/>
      <c r="C3953" s="18"/>
      <c r="D3953" s="18"/>
      <c r="E3953" s="10" t="str">
        <f>IF(B3953="","",IFERROR(INDEX(Harytlar!$C$5:$C$44,MATCH(B3953,Harytlar!$A$5:$A$44,0)),""))</f>
        <v/>
      </c>
      <c r="F3953" s="10" t="str">
        <f t="shared" si="61"/>
        <v/>
      </c>
      <c r="G3953" s="10" t="str">
        <f>IF(OR(C3953="",B3953=""),"",IFERROR(C3953*INDEX(Harytlar!$D$5:$D$44,MATCH(B3953,Harytlar!$A$5:$A$44,0)),""))</f>
        <v/>
      </c>
    </row>
    <row r="3954" spans="1:7" x14ac:dyDescent="0.3">
      <c r="A3954" s="17"/>
      <c r="B3954" s="18"/>
      <c r="C3954" s="18"/>
      <c r="D3954" s="18"/>
      <c r="E3954" s="10" t="str">
        <f>IF(B3954="","",IFERROR(INDEX(Harytlar!$C$5:$C$44,MATCH(B3954,Harytlar!$A$5:$A$44,0)),""))</f>
        <v/>
      </c>
      <c r="F3954" s="10" t="str">
        <f t="shared" si="61"/>
        <v/>
      </c>
      <c r="G3954" s="10" t="str">
        <f>IF(OR(C3954="",B3954=""),"",IFERROR(C3954*INDEX(Harytlar!$D$5:$D$44,MATCH(B3954,Harytlar!$A$5:$A$44,0)),""))</f>
        <v/>
      </c>
    </row>
    <row r="3955" spans="1:7" x14ac:dyDescent="0.3">
      <c r="A3955" s="17"/>
      <c r="B3955" s="18"/>
      <c r="C3955" s="18"/>
      <c r="D3955" s="18"/>
      <c r="E3955" s="10" t="str">
        <f>IF(B3955="","",IFERROR(INDEX(Harytlar!$C$5:$C$44,MATCH(B3955,Harytlar!$A$5:$A$44,0)),""))</f>
        <v/>
      </c>
      <c r="F3955" s="10" t="str">
        <f t="shared" si="61"/>
        <v/>
      </c>
      <c r="G3955" s="10" t="str">
        <f>IF(OR(C3955="",B3955=""),"",IFERROR(C3955*INDEX(Harytlar!$D$5:$D$44,MATCH(B3955,Harytlar!$A$5:$A$44,0)),""))</f>
        <v/>
      </c>
    </row>
    <row r="3956" spans="1:7" x14ac:dyDescent="0.3">
      <c r="A3956" s="17"/>
      <c r="B3956" s="18"/>
      <c r="C3956" s="18"/>
      <c r="D3956" s="18"/>
      <c r="E3956" s="10" t="str">
        <f>IF(B3956="","",IFERROR(INDEX(Harytlar!$C$5:$C$44,MATCH(B3956,Harytlar!$A$5:$A$44,0)),""))</f>
        <v/>
      </c>
      <c r="F3956" s="10" t="str">
        <f t="shared" si="61"/>
        <v/>
      </c>
      <c r="G3956" s="10" t="str">
        <f>IF(OR(C3956="",B3956=""),"",IFERROR(C3956*INDEX(Harytlar!$D$5:$D$44,MATCH(B3956,Harytlar!$A$5:$A$44,0)),""))</f>
        <v/>
      </c>
    </row>
    <row r="3957" spans="1:7" x14ac:dyDescent="0.3">
      <c r="A3957" s="17"/>
      <c r="B3957" s="18"/>
      <c r="C3957" s="18"/>
      <c r="D3957" s="18"/>
      <c r="E3957" s="10" t="str">
        <f>IF(B3957="","",IFERROR(INDEX(Harytlar!$C$5:$C$44,MATCH(B3957,Harytlar!$A$5:$A$44,0)),""))</f>
        <v/>
      </c>
      <c r="F3957" s="10" t="str">
        <f t="shared" si="61"/>
        <v/>
      </c>
      <c r="G3957" s="10" t="str">
        <f>IF(OR(C3957="",B3957=""),"",IFERROR(C3957*INDEX(Harytlar!$D$5:$D$44,MATCH(B3957,Harytlar!$A$5:$A$44,0)),""))</f>
        <v/>
      </c>
    </row>
    <row r="3958" spans="1:7" x14ac:dyDescent="0.3">
      <c r="A3958" s="17"/>
      <c r="B3958" s="18"/>
      <c r="C3958" s="18"/>
      <c r="D3958" s="18"/>
      <c r="E3958" s="10" t="str">
        <f>IF(B3958="","",IFERROR(INDEX(Harytlar!$C$5:$C$44,MATCH(B3958,Harytlar!$A$5:$A$44,0)),""))</f>
        <v/>
      </c>
      <c r="F3958" s="10" t="str">
        <f t="shared" si="61"/>
        <v/>
      </c>
      <c r="G3958" s="10" t="str">
        <f>IF(OR(C3958="",B3958=""),"",IFERROR(C3958*INDEX(Harytlar!$D$5:$D$44,MATCH(B3958,Harytlar!$A$5:$A$44,0)),""))</f>
        <v/>
      </c>
    </row>
    <row r="3959" spans="1:7" x14ac:dyDescent="0.3">
      <c r="A3959" s="17"/>
      <c r="B3959" s="18"/>
      <c r="C3959" s="18"/>
      <c r="D3959" s="18"/>
      <c r="E3959" s="10" t="str">
        <f>IF(B3959="","",IFERROR(INDEX(Harytlar!$C$5:$C$44,MATCH(B3959,Harytlar!$A$5:$A$44,0)),""))</f>
        <v/>
      </c>
      <c r="F3959" s="10" t="str">
        <f t="shared" si="61"/>
        <v/>
      </c>
      <c r="G3959" s="10" t="str">
        <f>IF(OR(C3959="",B3959=""),"",IFERROR(C3959*INDEX(Harytlar!$D$5:$D$44,MATCH(B3959,Harytlar!$A$5:$A$44,0)),""))</f>
        <v/>
      </c>
    </row>
    <row r="3960" spans="1:7" x14ac:dyDescent="0.3">
      <c r="A3960" s="17"/>
      <c r="B3960" s="18"/>
      <c r="C3960" s="18"/>
      <c r="D3960" s="18"/>
      <c r="E3960" s="10" t="str">
        <f>IF(B3960="","",IFERROR(INDEX(Harytlar!$C$5:$C$44,MATCH(B3960,Harytlar!$A$5:$A$44,0)),""))</f>
        <v/>
      </c>
      <c r="F3960" s="10" t="str">
        <f t="shared" si="61"/>
        <v/>
      </c>
      <c r="G3960" s="10" t="str">
        <f>IF(OR(C3960="",B3960=""),"",IFERROR(C3960*INDEX(Harytlar!$D$5:$D$44,MATCH(B3960,Harytlar!$A$5:$A$44,0)),""))</f>
        <v/>
      </c>
    </row>
    <row r="3961" spans="1:7" x14ac:dyDescent="0.3">
      <c r="A3961" s="17"/>
      <c r="B3961" s="18"/>
      <c r="C3961" s="18"/>
      <c r="D3961" s="18"/>
      <c r="E3961" s="10" t="str">
        <f>IF(B3961="","",IFERROR(INDEX(Harytlar!$C$5:$C$44,MATCH(B3961,Harytlar!$A$5:$A$44,0)),""))</f>
        <v/>
      </c>
      <c r="F3961" s="10" t="str">
        <f t="shared" si="61"/>
        <v/>
      </c>
      <c r="G3961" s="10" t="str">
        <f>IF(OR(C3961="",B3961=""),"",IFERROR(C3961*INDEX(Harytlar!$D$5:$D$44,MATCH(B3961,Harytlar!$A$5:$A$44,0)),""))</f>
        <v/>
      </c>
    </row>
    <row r="3962" spans="1:7" x14ac:dyDescent="0.3">
      <c r="A3962" s="17"/>
      <c r="B3962" s="18"/>
      <c r="C3962" s="18"/>
      <c r="D3962" s="18"/>
      <c r="E3962" s="10" t="str">
        <f>IF(B3962="","",IFERROR(INDEX(Harytlar!$C$5:$C$44,MATCH(B3962,Harytlar!$A$5:$A$44,0)),""))</f>
        <v/>
      </c>
      <c r="F3962" s="10" t="str">
        <f t="shared" si="61"/>
        <v/>
      </c>
      <c r="G3962" s="10" t="str">
        <f>IF(OR(C3962="",B3962=""),"",IFERROR(C3962*INDEX(Harytlar!$D$5:$D$44,MATCH(B3962,Harytlar!$A$5:$A$44,0)),""))</f>
        <v/>
      </c>
    </row>
    <row r="3963" spans="1:7" x14ac:dyDescent="0.3">
      <c r="A3963" s="17"/>
      <c r="B3963" s="18"/>
      <c r="C3963" s="18"/>
      <c r="D3963" s="18"/>
      <c r="E3963" s="10" t="str">
        <f>IF(B3963="","",IFERROR(INDEX(Harytlar!$C$5:$C$44,MATCH(B3963,Harytlar!$A$5:$A$44,0)),""))</f>
        <v/>
      </c>
      <c r="F3963" s="10" t="str">
        <f t="shared" si="61"/>
        <v/>
      </c>
      <c r="G3963" s="10" t="str">
        <f>IF(OR(C3963="",B3963=""),"",IFERROR(C3963*INDEX(Harytlar!$D$5:$D$44,MATCH(B3963,Harytlar!$A$5:$A$44,0)),""))</f>
        <v/>
      </c>
    </row>
    <row r="3964" spans="1:7" x14ac:dyDescent="0.3">
      <c r="A3964" s="17"/>
      <c r="B3964" s="18"/>
      <c r="C3964" s="18"/>
      <c r="D3964" s="18"/>
      <c r="E3964" s="10" t="str">
        <f>IF(B3964="","",IFERROR(INDEX(Harytlar!$C$5:$C$44,MATCH(B3964,Harytlar!$A$5:$A$44,0)),""))</f>
        <v/>
      </c>
      <c r="F3964" s="10" t="str">
        <f t="shared" si="61"/>
        <v/>
      </c>
      <c r="G3964" s="10" t="str">
        <f>IF(OR(C3964="",B3964=""),"",IFERROR(C3964*INDEX(Harytlar!$D$5:$D$44,MATCH(B3964,Harytlar!$A$5:$A$44,0)),""))</f>
        <v/>
      </c>
    </row>
    <row r="3965" spans="1:7" x14ac:dyDescent="0.3">
      <c r="A3965" s="17"/>
      <c r="B3965" s="18"/>
      <c r="C3965" s="18"/>
      <c r="D3965" s="18"/>
      <c r="E3965" s="10" t="str">
        <f>IF(B3965="","",IFERROR(INDEX(Harytlar!$C$5:$C$44,MATCH(B3965,Harytlar!$A$5:$A$44,0)),""))</f>
        <v/>
      </c>
      <c r="F3965" s="10" t="str">
        <f t="shared" si="61"/>
        <v/>
      </c>
      <c r="G3965" s="10" t="str">
        <f>IF(OR(C3965="",B3965=""),"",IFERROR(C3965*INDEX(Harytlar!$D$5:$D$44,MATCH(B3965,Harytlar!$A$5:$A$44,0)),""))</f>
        <v/>
      </c>
    </row>
    <row r="3966" spans="1:7" x14ac:dyDescent="0.3">
      <c r="A3966" s="17"/>
      <c r="B3966" s="18"/>
      <c r="C3966" s="18"/>
      <c r="D3966" s="18"/>
      <c r="E3966" s="10" t="str">
        <f>IF(B3966="","",IFERROR(INDEX(Harytlar!$C$5:$C$44,MATCH(B3966,Harytlar!$A$5:$A$44,0)),""))</f>
        <v/>
      </c>
      <c r="F3966" s="10" t="str">
        <f t="shared" si="61"/>
        <v/>
      </c>
      <c r="G3966" s="10" t="str">
        <f>IF(OR(C3966="",B3966=""),"",IFERROR(C3966*INDEX(Harytlar!$D$5:$D$44,MATCH(B3966,Harytlar!$A$5:$A$44,0)),""))</f>
        <v/>
      </c>
    </row>
    <row r="3967" spans="1:7" x14ac:dyDescent="0.3">
      <c r="A3967" s="17"/>
      <c r="B3967" s="18"/>
      <c r="C3967" s="18"/>
      <c r="D3967" s="18"/>
      <c r="E3967" s="10" t="str">
        <f>IF(B3967="","",IFERROR(INDEX(Harytlar!$C$5:$C$44,MATCH(B3967,Harytlar!$A$5:$A$44,0)),""))</f>
        <v/>
      </c>
      <c r="F3967" s="10" t="str">
        <f t="shared" si="61"/>
        <v/>
      </c>
      <c r="G3967" s="10" t="str">
        <f>IF(OR(C3967="",B3967=""),"",IFERROR(C3967*INDEX(Harytlar!$D$5:$D$44,MATCH(B3967,Harytlar!$A$5:$A$44,0)),""))</f>
        <v/>
      </c>
    </row>
    <row r="3968" spans="1:7" x14ac:dyDescent="0.3">
      <c r="A3968" s="17"/>
      <c r="B3968" s="18"/>
      <c r="C3968" s="18"/>
      <c r="D3968" s="18"/>
      <c r="E3968" s="10" t="str">
        <f>IF(B3968="","",IFERROR(INDEX(Harytlar!$C$5:$C$44,MATCH(B3968,Harytlar!$A$5:$A$44,0)),""))</f>
        <v/>
      </c>
      <c r="F3968" s="10" t="str">
        <f t="shared" si="61"/>
        <v/>
      </c>
      <c r="G3968" s="10" t="str">
        <f>IF(OR(C3968="",B3968=""),"",IFERROR(C3968*INDEX(Harytlar!$D$5:$D$44,MATCH(B3968,Harytlar!$A$5:$A$44,0)),""))</f>
        <v/>
      </c>
    </row>
    <row r="3969" spans="1:7" x14ac:dyDescent="0.3">
      <c r="A3969" s="17"/>
      <c r="B3969" s="18"/>
      <c r="C3969" s="18"/>
      <c r="D3969" s="18"/>
      <c r="E3969" s="10" t="str">
        <f>IF(B3969="","",IFERROR(INDEX(Harytlar!$C$5:$C$44,MATCH(B3969,Harytlar!$A$5:$A$44,0)),""))</f>
        <v/>
      </c>
      <c r="F3969" s="10" t="str">
        <f t="shared" si="61"/>
        <v/>
      </c>
      <c r="G3969" s="10" t="str">
        <f>IF(OR(C3969="",B3969=""),"",IFERROR(C3969*INDEX(Harytlar!$D$5:$D$44,MATCH(B3969,Harytlar!$A$5:$A$44,0)),""))</f>
        <v/>
      </c>
    </row>
    <row r="3970" spans="1:7" x14ac:dyDescent="0.3">
      <c r="A3970" s="17"/>
      <c r="B3970" s="18"/>
      <c r="C3970" s="18"/>
      <c r="D3970" s="18"/>
      <c r="E3970" s="10" t="str">
        <f>IF(B3970="","",IFERROR(INDEX(Harytlar!$C$5:$C$44,MATCH(B3970,Harytlar!$A$5:$A$44,0)),""))</f>
        <v/>
      </c>
      <c r="F3970" s="10" t="str">
        <f t="shared" si="61"/>
        <v/>
      </c>
      <c r="G3970" s="10" t="str">
        <f>IF(OR(C3970="",B3970=""),"",IFERROR(C3970*INDEX(Harytlar!$D$5:$D$44,MATCH(B3970,Harytlar!$A$5:$A$44,0)),""))</f>
        <v/>
      </c>
    </row>
    <row r="3971" spans="1:7" x14ac:dyDescent="0.3">
      <c r="A3971" s="17"/>
      <c r="B3971" s="18"/>
      <c r="C3971" s="18"/>
      <c r="D3971" s="18"/>
      <c r="E3971" s="10" t="str">
        <f>IF(B3971="","",IFERROR(INDEX(Harytlar!$C$5:$C$44,MATCH(B3971,Harytlar!$A$5:$A$44,0)),""))</f>
        <v/>
      </c>
      <c r="F3971" s="10" t="str">
        <f t="shared" si="61"/>
        <v/>
      </c>
      <c r="G3971" s="10" t="str">
        <f>IF(OR(C3971="",B3971=""),"",IFERROR(C3971*INDEX(Harytlar!$D$5:$D$44,MATCH(B3971,Harytlar!$A$5:$A$44,0)),""))</f>
        <v/>
      </c>
    </row>
    <row r="3972" spans="1:7" x14ac:dyDescent="0.3">
      <c r="A3972" s="17"/>
      <c r="B3972" s="18"/>
      <c r="C3972" s="18"/>
      <c r="D3972" s="18"/>
      <c r="E3972" s="10" t="str">
        <f>IF(B3972="","",IFERROR(INDEX(Harytlar!$C$5:$C$44,MATCH(B3972,Harytlar!$A$5:$A$44,0)),""))</f>
        <v/>
      </c>
      <c r="F3972" s="10" t="str">
        <f t="shared" si="61"/>
        <v/>
      </c>
      <c r="G3972" s="10" t="str">
        <f>IF(OR(C3972="",B3972=""),"",IFERROR(C3972*INDEX(Harytlar!$D$5:$D$44,MATCH(B3972,Harytlar!$A$5:$A$44,0)),""))</f>
        <v/>
      </c>
    </row>
    <row r="3973" spans="1:7" x14ac:dyDescent="0.3">
      <c r="A3973" s="17"/>
      <c r="B3973" s="18"/>
      <c r="C3973" s="18"/>
      <c r="D3973" s="18"/>
      <c r="E3973" s="10" t="str">
        <f>IF(B3973="","",IFERROR(INDEX(Harytlar!$C$5:$C$44,MATCH(B3973,Harytlar!$A$5:$A$44,0)),""))</f>
        <v/>
      </c>
      <c r="F3973" s="10" t="str">
        <f t="shared" si="61"/>
        <v/>
      </c>
      <c r="G3973" s="10" t="str">
        <f>IF(OR(C3973="",B3973=""),"",IFERROR(C3973*INDEX(Harytlar!$D$5:$D$44,MATCH(B3973,Harytlar!$A$5:$A$44,0)),""))</f>
        <v/>
      </c>
    </row>
    <row r="3974" spans="1:7" x14ac:dyDescent="0.3">
      <c r="A3974" s="17"/>
      <c r="B3974" s="18"/>
      <c r="C3974" s="18"/>
      <c r="D3974" s="18"/>
      <c r="E3974" s="10" t="str">
        <f>IF(B3974="","",IFERROR(INDEX(Harytlar!$C$5:$C$44,MATCH(B3974,Harytlar!$A$5:$A$44,0)),""))</f>
        <v/>
      </c>
      <c r="F3974" s="10" t="str">
        <f t="shared" ref="F3974:F4037" si="62">IF(OR(C3974="",E3974=""),"",C3974*E3974)</f>
        <v/>
      </c>
      <c r="G3974" s="10" t="str">
        <f>IF(OR(C3974="",B3974=""),"",IFERROR(C3974*INDEX(Harytlar!$D$5:$D$44,MATCH(B3974,Harytlar!$A$5:$A$44,0)),""))</f>
        <v/>
      </c>
    </row>
    <row r="3975" spans="1:7" x14ac:dyDescent="0.3">
      <c r="A3975" s="17"/>
      <c r="B3975" s="18"/>
      <c r="C3975" s="18"/>
      <c r="D3975" s="18"/>
      <c r="E3975" s="10" t="str">
        <f>IF(B3975="","",IFERROR(INDEX(Harytlar!$C$5:$C$44,MATCH(B3975,Harytlar!$A$5:$A$44,0)),""))</f>
        <v/>
      </c>
      <c r="F3975" s="10" t="str">
        <f t="shared" si="62"/>
        <v/>
      </c>
      <c r="G3975" s="10" t="str">
        <f>IF(OR(C3975="",B3975=""),"",IFERROR(C3975*INDEX(Harytlar!$D$5:$D$44,MATCH(B3975,Harytlar!$A$5:$A$44,0)),""))</f>
        <v/>
      </c>
    </row>
    <row r="3976" spans="1:7" x14ac:dyDescent="0.3">
      <c r="A3976" s="17"/>
      <c r="B3976" s="18"/>
      <c r="C3976" s="18"/>
      <c r="D3976" s="18"/>
      <c r="E3976" s="10" t="str">
        <f>IF(B3976="","",IFERROR(INDEX(Harytlar!$C$5:$C$44,MATCH(B3976,Harytlar!$A$5:$A$44,0)),""))</f>
        <v/>
      </c>
      <c r="F3976" s="10" t="str">
        <f t="shared" si="62"/>
        <v/>
      </c>
      <c r="G3976" s="10" t="str">
        <f>IF(OR(C3976="",B3976=""),"",IFERROR(C3976*INDEX(Harytlar!$D$5:$D$44,MATCH(B3976,Harytlar!$A$5:$A$44,0)),""))</f>
        <v/>
      </c>
    </row>
    <row r="3977" spans="1:7" x14ac:dyDescent="0.3">
      <c r="A3977" s="17"/>
      <c r="B3977" s="18"/>
      <c r="C3977" s="18"/>
      <c r="D3977" s="18"/>
      <c r="E3977" s="10" t="str">
        <f>IF(B3977="","",IFERROR(INDEX(Harytlar!$C$5:$C$44,MATCH(B3977,Harytlar!$A$5:$A$44,0)),""))</f>
        <v/>
      </c>
      <c r="F3977" s="10" t="str">
        <f t="shared" si="62"/>
        <v/>
      </c>
      <c r="G3977" s="10" t="str">
        <f>IF(OR(C3977="",B3977=""),"",IFERROR(C3977*INDEX(Harytlar!$D$5:$D$44,MATCH(B3977,Harytlar!$A$5:$A$44,0)),""))</f>
        <v/>
      </c>
    </row>
    <row r="3978" spans="1:7" x14ac:dyDescent="0.3">
      <c r="A3978" s="17"/>
      <c r="B3978" s="18"/>
      <c r="C3978" s="18"/>
      <c r="D3978" s="18"/>
      <c r="E3978" s="10" t="str">
        <f>IF(B3978="","",IFERROR(INDEX(Harytlar!$C$5:$C$44,MATCH(B3978,Harytlar!$A$5:$A$44,0)),""))</f>
        <v/>
      </c>
      <c r="F3978" s="10" t="str">
        <f t="shared" si="62"/>
        <v/>
      </c>
      <c r="G3978" s="10" t="str">
        <f>IF(OR(C3978="",B3978=""),"",IFERROR(C3978*INDEX(Harytlar!$D$5:$D$44,MATCH(B3978,Harytlar!$A$5:$A$44,0)),""))</f>
        <v/>
      </c>
    </row>
    <row r="3979" spans="1:7" x14ac:dyDescent="0.3">
      <c r="A3979" s="17"/>
      <c r="B3979" s="18"/>
      <c r="C3979" s="18"/>
      <c r="D3979" s="18"/>
      <c r="E3979" s="10" t="str">
        <f>IF(B3979="","",IFERROR(INDEX(Harytlar!$C$5:$C$44,MATCH(B3979,Harytlar!$A$5:$A$44,0)),""))</f>
        <v/>
      </c>
      <c r="F3979" s="10" t="str">
        <f t="shared" si="62"/>
        <v/>
      </c>
      <c r="G3979" s="10" t="str">
        <f>IF(OR(C3979="",B3979=""),"",IFERROR(C3979*INDEX(Harytlar!$D$5:$D$44,MATCH(B3979,Harytlar!$A$5:$A$44,0)),""))</f>
        <v/>
      </c>
    </row>
    <row r="3980" spans="1:7" x14ac:dyDescent="0.3">
      <c r="A3980" s="17"/>
      <c r="B3980" s="18"/>
      <c r="C3980" s="18"/>
      <c r="D3980" s="18"/>
      <c r="E3980" s="10" t="str">
        <f>IF(B3980="","",IFERROR(INDEX(Harytlar!$C$5:$C$44,MATCH(B3980,Harytlar!$A$5:$A$44,0)),""))</f>
        <v/>
      </c>
      <c r="F3980" s="10" t="str">
        <f t="shared" si="62"/>
        <v/>
      </c>
      <c r="G3980" s="10" t="str">
        <f>IF(OR(C3980="",B3980=""),"",IFERROR(C3980*INDEX(Harytlar!$D$5:$D$44,MATCH(B3980,Harytlar!$A$5:$A$44,0)),""))</f>
        <v/>
      </c>
    </row>
    <row r="3981" spans="1:7" x14ac:dyDescent="0.3">
      <c r="A3981" s="17"/>
      <c r="B3981" s="18"/>
      <c r="C3981" s="18"/>
      <c r="D3981" s="18"/>
      <c r="E3981" s="10" t="str">
        <f>IF(B3981="","",IFERROR(INDEX(Harytlar!$C$5:$C$44,MATCH(B3981,Harytlar!$A$5:$A$44,0)),""))</f>
        <v/>
      </c>
      <c r="F3981" s="10" t="str">
        <f t="shared" si="62"/>
        <v/>
      </c>
      <c r="G3981" s="10" t="str">
        <f>IF(OR(C3981="",B3981=""),"",IFERROR(C3981*INDEX(Harytlar!$D$5:$D$44,MATCH(B3981,Harytlar!$A$5:$A$44,0)),""))</f>
        <v/>
      </c>
    </row>
    <row r="3982" spans="1:7" x14ac:dyDescent="0.3">
      <c r="A3982" s="17"/>
      <c r="B3982" s="18"/>
      <c r="C3982" s="18"/>
      <c r="D3982" s="18"/>
      <c r="E3982" s="10" t="str">
        <f>IF(B3982="","",IFERROR(INDEX(Harytlar!$C$5:$C$44,MATCH(B3982,Harytlar!$A$5:$A$44,0)),""))</f>
        <v/>
      </c>
      <c r="F3982" s="10" t="str">
        <f t="shared" si="62"/>
        <v/>
      </c>
      <c r="G3982" s="10" t="str">
        <f>IF(OR(C3982="",B3982=""),"",IFERROR(C3982*INDEX(Harytlar!$D$5:$D$44,MATCH(B3982,Harytlar!$A$5:$A$44,0)),""))</f>
        <v/>
      </c>
    </row>
    <row r="3983" spans="1:7" x14ac:dyDescent="0.3">
      <c r="A3983" s="17"/>
      <c r="B3983" s="18"/>
      <c r="C3983" s="18"/>
      <c r="D3983" s="18"/>
      <c r="E3983" s="10" t="str">
        <f>IF(B3983="","",IFERROR(INDEX(Harytlar!$C$5:$C$44,MATCH(B3983,Harytlar!$A$5:$A$44,0)),""))</f>
        <v/>
      </c>
      <c r="F3983" s="10" t="str">
        <f t="shared" si="62"/>
        <v/>
      </c>
      <c r="G3983" s="10" t="str">
        <f>IF(OR(C3983="",B3983=""),"",IFERROR(C3983*INDEX(Harytlar!$D$5:$D$44,MATCH(B3983,Harytlar!$A$5:$A$44,0)),""))</f>
        <v/>
      </c>
    </row>
    <row r="3984" spans="1:7" x14ac:dyDescent="0.3">
      <c r="A3984" s="17"/>
      <c r="B3984" s="18"/>
      <c r="C3984" s="18"/>
      <c r="D3984" s="18"/>
      <c r="E3984" s="10" t="str">
        <f>IF(B3984="","",IFERROR(INDEX(Harytlar!$C$5:$C$44,MATCH(B3984,Harytlar!$A$5:$A$44,0)),""))</f>
        <v/>
      </c>
      <c r="F3984" s="10" t="str">
        <f t="shared" si="62"/>
        <v/>
      </c>
      <c r="G3984" s="10" t="str">
        <f>IF(OR(C3984="",B3984=""),"",IFERROR(C3984*INDEX(Harytlar!$D$5:$D$44,MATCH(B3984,Harytlar!$A$5:$A$44,0)),""))</f>
        <v/>
      </c>
    </row>
    <row r="3985" spans="1:7" x14ac:dyDescent="0.3">
      <c r="A3985" s="17"/>
      <c r="B3985" s="18"/>
      <c r="C3985" s="18"/>
      <c r="D3985" s="18"/>
      <c r="E3985" s="10" t="str">
        <f>IF(B3985="","",IFERROR(INDEX(Harytlar!$C$5:$C$44,MATCH(B3985,Harytlar!$A$5:$A$44,0)),""))</f>
        <v/>
      </c>
      <c r="F3985" s="10" t="str">
        <f t="shared" si="62"/>
        <v/>
      </c>
      <c r="G3985" s="10" t="str">
        <f>IF(OR(C3985="",B3985=""),"",IFERROR(C3985*INDEX(Harytlar!$D$5:$D$44,MATCH(B3985,Harytlar!$A$5:$A$44,0)),""))</f>
        <v/>
      </c>
    </row>
    <row r="3986" spans="1:7" x14ac:dyDescent="0.3">
      <c r="A3986" s="17"/>
      <c r="B3986" s="18"/>
      <c r="C3986" s="18"/>
      <c r="D3986" s="18"/>
      <c r="E3986" s="10" t="str">
        <f>IF(B3986="","",IFERROR(INDEX(Harytlar!$C$5:$C$44,MATCH(B3986,Harytlar!$A$5:$A$44,0)),""))</f>
        <v/>
      </c>
      <c r="F3986" s="10" t="str">
        <f t="shared" si="62"/>
        <v/>
      </c>
      <c r="G3986" s="10" t="str">
        <f>IF(OR(C3986="",B3986=""),"",IFERROR(C3986*INDEX(Harytlar!$D$5:$D$44,MATCH(B3986,Harytlar!$A$5:$A$44,0)),""))</f>
        <v/>
      </c>
    </row>
    <row r="3987" spans="1:7" x14ac:dyDescent="0.3">
      <c r="A3987" s="17"/>
      <c r="B3987" s="18"/>
      <c r="C3987" s="18"/>
      <c r="D3987" s="18"/>
      <c r="E3987" s="10" t="str">
        <f>IF(B3987="","",IFERROR(INDEX(Harytlar!$C$5:$C$44,MATCH(B3987,Harytlar!$A$5:$A$44,0)),""))</f>
        <v/>
      </c>
      <c r="F3987" s="10" t="str">
        <f t="shared" si="62"/>
        <v/>
      </c>
      <c r="G3987" s="10" t="str">
        <f>IF(OR(C3987="",B3987=""),"",IFERROR(C3987*INDEX(Harytlar!$D$5:$D$44,MATCH(B3987,Harytlar!$A$5:$A$44,0)),""))</f>
        <v/>
      </c>
    </row>
    <row r="3988" spans="1:7" x14ac:dyDescent="0.3">
      <c r="A3988" s="17"/>
      <c r="B3988" s="18"/>
      <c r="C3988" s="18"/>
      <c r="D3988" s="18"/>
      <c r="E3988" s="10" t="str">
        <f>IF(B3988="","",IFERROR(INDEX(Harytlar!$C$5:$C$44,MATCH(B3988,Harytlar!$A$5:$A$44,0)),""))</f>
        <v/>
      </c>
      <c r="F3988" s="10" t="str">
        <f t="shared" si="62"/>
        <v/>
      </c>
      <c r="G3988" s="10" t="str">
        <f>IF(OR(C3988="",B3988=""),"",IFERROR(C3988*INDEX(Harytlar!$D$5:$D$44,MATCH(B3988,Harytlar!$A$5:$A$44,0)),""))</f>
        <v/>
      </c>
    </row>
    <row r="3989" spans="1:7" x14ac:dyDescent="0.3">
      <c r="A3989" s="17"/>
      <c r="B3989" s="18"/>
      <c r="C3989" s="18"/>
      <c r="D3989" s="18"/>
      <c r="E3989" s="10" t="str">
        <f>IF(B3989="","",IFERROR(INDEX(Harytlar!$C$5:$C$44,MATCH(B3989,Harytlar!$A$5:$A$44,0)),""))</f>
        <v/>
      </c>
      <c r="F3989" s="10" t="str">
        <f t="shared" si="62"/>
        <v/>
      </c>
      <c r="G3989" s="10" t="str">
        <f>IF(OR(C3989="",B3989=""),"",IFERROR(C3989*INDEX(Harytlar!$D$5:$D$44,MATCH(B3989,Harytlar!$A$5:$A$44,0)),""))</f>
        <v/>
      </c>
    </row>
    <row r="3990" spans="1:7" x14ac:dyDescent="0.3">
      <c r="A3990" s="17"/>
      <c r="B3990" s="18"/>
      <c r="C3990" s="18"/>
      <c r="D3990" s="18"/>
      <c r="E3990" s="10" t="str">
        <f>IF(B3990="","",IFERROR(INDEX(Harytlar!$C$5:$C$44,MATCH(B3990,Harytlar!$A$5:$A$44,0)),""))</f>
        <v/>
      </c>
      <c r="F3990" s="10" t="str">
        <f t="shared" si="62"/>
        <v/>
      </c>
      <c r="G3990" s="10" t="str">
        <f>IF(OR(C3990="",B3990=""),"",IFERROR(C3990*INDEX(Harytlar!$D$5:$D$44,MATCH(B3990,Harytlar!$A$5:$A$44,0)),""))</f>
        <v/>
      </c>
    </row>
    <row r="3991" spans="1:7" x14ac:dyDescent="0.3">
      <c r="A3991" s="17"/>
      <c r="B3991" s="18"/>
      <c r="C3991" s="18"/>
      <c r="D3991" s="18"/>
      <c r="E3991" s="10" t="str">
        <f>IF(B3991="","",IFERROR(INDEX(Harytlar!$C$5:$C$44,MATCH(B3991,Harytlar!$A$5:$A$44,0)),""))</f>
        <v/>
      </c>
      <c r="F3991" s="10" t="str">
        <f t="shared" si="62"/>
        <v/>
      </c>
      <c r="G3991" s="10" t="str">
        <f>IF(OR(C3991="",B3991=""),"",IFERROR(C3991*INDEX(Harytlar!$D$5:$D$44,MATCH(B3991,Harytlar!$A$5:$A$44,0)),""))</f>
        <v/>
      </c>
    </row>
    <row r="3992" spans="1:7" x14ac:dyDescent="0.3">
      <c r="A3992" s="17"/>
      <c r="B3992" s="18"/>
      <c r="C3992" s="18"/>
      <c r="D3992" s="18"/>
      <c r="E3992" s="10" t="str">
        <f>IF(B3992="","",IFERROR(INDEX(Harytlar!$C$5:$C$44,MATCH(B3992,Harytlar!$A$5:$A$44,0)),""))</f>
        <v/>
      </c>
      <c r="F3992" s="10" t="str">
        <f t="shared" si="62"/>
        <v/>
      </c>
      <c r="G3992" s="10" t="str">
        <f>IF(OR(C3992="",B3992=""),"",IFERROR(C3992*INDEX(Harytlar!$D$5:$D$44,MATCH(B3992,Harytlar!$A$5:$A$44,0)),""))</f>
        <v/>
      </c>
    </row>
    <row r="3993" spans="1:7" x14ac:dyDescent="0.3">
      <c r="A3993" s="17"/>
      <c r="B3993" s="18"/>
      <c r="C3993" s="18"/>
      <c r="D3993" s="18"/>
      <c r="E3993" s="10" t="str">
        <f>IF(B3993="","",IFERROR(INDEX(Harytlar!$C$5:$C$44,MATCH(B3993,Harytlar!$A$5:$A$44,0)),""))</f>
        <v/>
      </c>
      <c r="F3993" s="10" t="str">
        <f t="shared" si="62"/>
        <v/>
      </c>
      <c r="G3993" s="10" t="str">
        <f>IF(OR(C3993="",B3993=""),"",IFERROR(C3993*INDEX(Harytlar!$D$5:$D$44,MATCH(B3993,Harytlar!$A$5:$A$44,0)),""))</f>
        <v/>
      </c>
    </row>
    <row r="3994" spans="1:7" x14ac:dyDescent="0.3">
      <c r="A3994" s="17"/>
      <c r="B3994" s="18"/>
      <c r="C3994" s="18"/>
      <c r="D3994" s="18"/>
      <c r="E3994" s="10" t="str">
        <f>IF(B3994="","",IFERROR(INDEX(Harytlar!$C$5:$C$44,MATCH(B3994,Harytlar!$A$5:$A$44,0)),""))</f>
        <v/>
      </c>
      <c r="F3994" s="10" t="str">
        <f t="shared" si="62"/>
        <v/>
      </c>
      <c r="G3994" s="10" t="str">
        <f>IF(OR(C3994="",B3994=""),"",IFERROR(C3994*INDEX(Harytlar!$D$5:$D$44,MATCH(B3994,Harytlar!$A$5:$A$44,0)),""))</f>
        <v/>
      </c>
    </row>
    <row r="3995" spans="1:7" x14ac:dyDescent="0.3">
      <c r="A3995" s="17"/>
      <c r="B3995" s="18"/>
      <c r="C3995" s="18"/>
      <c r="D3995" s="18"/>
      <c r="E3995" s="10" t="str">
        <f>IF(B3995="","",IFERROR(INDEX(Harytlar!$C$5:$C$44,MATCH(B3995,Harytlar!$A$5:$A$44,0)),""))</f>
        <v/>
      </c>
      <c r="F3995" s="10" t="str">
        <f t="shared" si="62"/>
        <v/>
      </c>
      <c r="G3995" s="10" t="str">
        <f>IF(OR(C3995="",B3995=""),"",IFERROR(C3995*INDEX(Harytlar!$D$5:$D$44,MATCH(B3995,Harytlar!$A$5:$A$44,0)),""))</f>
        <v/>
      </c>
    </row>
    <row r="3996" spans="1:7" x14ac:dyDescent="0.3">
      <c r="A3996" s="17"/>
      <c r="B3996" s="18"/>
      <c r="C3996" s="18"/>
      <c r="D3996" s="18"/>
      <c r="E3996" s="10" t="str">
        <f>IF(B3996="","",IFERROR(INDEX(Harytlar!$C$5:$C$44,MATCH(B3996,Harytlar!$A$5:$A$44,0)),""))</f>
        <v/>
      </c>
      <c r="F3996" s="10" t="str">
        <f t="shared" si="62"/>
        <v/>
      </c>
      <c r="G3996" s="10" t="str">
        <f>IF(OR(C3996="",B3996=""),"",IFERROR(C3996*INDEX(Harytlar!$D$5:$D$44,MATCH(B3996,Harytlar!$A$5:$A$44,0)),""))</f>
        <v/>
      </c>
    </row>
    <row r="3997" spans="1:7" x14ac:dyDescent="0.3">
      <c r="A3997" s="17"/>
      <c r="B3997" s="18"/>
      <c r="C3997" s="18"/>
      <c r="D3997" s="18"/>
      <c r="E3997" s="10" t="str">
        <f>IF(B3997="","",IFERROR(INDEX(Harytlar!$C$5:$C$44,MATCH(B3997,Harytlar!$A$5:$A$44,0)),""))</f>
        <v/>
      </c>
      <c r="F3997" s="10" t="str">
        <f t="shared" si="62"/>
        <v/>
      </c>
      <c r="G3997" s="10" t="str">
        <f>IF(OR(C3997="",B3997=""),"",IFERROR(C3997*INDEX(Harytlar!$D$5:$D$44,MATCH(B3997,Harytlar!$A$5:$A$44,0)),""))</f>
        <v/>
      </c>
    </row>
    <row r="3998" spans="1:7" x14ac:dyDescent="0.3">
      <c r="A3998" s="17"/>
      <c r="B3998" s="18"/>
      <c r="C3998" s="18"/>
      <c r="D3998" s="18"/>
      <c r="E3998" s="10" t="str">
        <f>IF(B3998="","",IFERROR(INDEX(Harytlar!$C$5:$C$44,MATCH(B3998,Harytlar!$A$5:$A$44,0)),""))</f>
        <v/>
      </c>
      <c r="F3998" s="10" t="str">
        <f t="shared" si="62"/>
        <v/>
      </c>
      <c r="G3998" s="10" t="str">
        <f>IF(OR(C3998="",B3998=""),"",IFERROR(C3998*INDEX(Harytlar!$D$5:$D$44,MATCH(B3998,Harytlar!$A$5:$A$44,0)),""))</f>
        <v/>
      </c>
    </row>
    <row r="3999" spans="1:7" x14ac:dyDescent="0.3">
      <c r="A3999" s="17"/>
      <c r="B3999" s="18"/>
      <c r="C3999" s="18"/>
      <c r="D3999" s="18"/>
      <c r="E3999" s="10" t="str">
        <f>IF(B3999="","",IFERROR(INDEX(Harytlar!$C$5:$C$44,MATCH(B3999,Harytlar!$A$5:$A$44,0)),""))</f>
        <v/>
      </c>
      <c r="F3999" s="10" t="str">
        <f t="shared" si="62"/>
        <v/>
      </c>
      <c r="G3999" s="10" t="str">
        <f>IF(OR(C3999="",B3999=""),"",IFERROR(C3999*INDEX(Harytlar!$D$5:$D$44,MATCH(B3999,Harytlar!$A$5:$A$44,0)),""))</f>
        <v/>
      </c>
    </row>
    <row r="4000" spans="1:7" x14ac:dyDescent="0.3">
      <c r="A4000" s="17"/>
      <c r="B4000" s="18"/>
      <c r="C4000" s="18"/>
      <c r="D4000" s="18"/>
      <c r="E4000" s="10" t="str">
        <f>IF(B4000="","",IFERROR(INDEX(Harytlar!$C$5:$C$44,MATCH(B4000,Harytlar!$A$5:$A$44,0)),""))</f>
        <v/>
      </c>
      <c r="F4000" s="10" t="str">
        <f t="shared" si="62"/>
        <v/>
      </c>
      <c r="G4000" s="10" t="str">
        <f>IF(OR(C4000="",B4000=""),"",IFERROR(C4000*INDEX(Harytlar!$D$5:$D$44,MATCH(B4000,Harytlar!$A$5:$A$44,0)),""))</f>
        <v/>
      </c>
    </row>
    <row r="4001" spans="1:7" x14ac:dyDescent="0.3">
      <c r="A4001" s="17"/>
      <c r="B4001" s="18"/>
      <c r="C4001" s="18"/>
      <c r="D4001" s="18"/>
      <c r="E4001" s="10" t="str">
        <f>IF(B4001="","",IFERROR(INDEX(Harytlar!$C$5:$C$44,MATCH(B4001,Harytlar!$A$5:$A$44,0)),""))</f>
        <v/>
      </c>
      <c r="F4001" s="10" t="str">
        <f t="shared" si="62"/>
        <v/>
      </c>
      <c r="G4001" s="10" t="str">
        <f>IF(OR(C4001="",B4001=""),"",IFERROR(C4001*INDEX(Harytlar!$D$5:$D$44,MATCH(B4001,Harytlar!$A$5:$A$44,0)),""))</f>
        <v/>
      </c>
    </row>
    <row r="4002" spans="1:7" x14ac:dyDescent="0.3">
      <c r="A4002" s="17"/>
      <c r="B4002" s="18"/>
      <c r="C4002" s="18"/>
      <c r="D4002" s="18"/>
      <c r="E4002" s="10" t="str">
        <f>IF(B4002="","",IFERROR(INDEX(Harytlar!$C$5:$C$44,MATCH(B4002,Harytlar!$A$5:$A$44,0)),""))</f>
        <v/>
      </c>
      <c r="F4002" s="10" t="str">
        <f t="shared" si="62"/>
        <v/>
      </c>
      <c r="G4002" s="10" t="str">
        <f>IF(OR(C4002="",B4002=""),"",IFERROR(C4002*INDEX(Harytlar!$D$5:$D$44,MATCH(B4002,Harytlar!$A$5:$A$44,0)),""))</f>
        <v/>
      </c>
    </row>
    <row r="4003" spans="1:7" x14ac:dyDescent="0.3">
      <c r="A4003" s="17"/>
      <c r="B4003" s="18"/>
      <c r="C4003" s="18"/>
      <c r="D4003" s="18"/>
      <c r="E4003" s="10" t="str">
        <f>IF(B4003="","",IFERROR(INDEX(Harytlar!$C$5:$C$44,MATCH(B4003,Harytlar!$A$5:$A$44,0)),""))</f>
        <v/>
      </c>
      <c r="F4003" s="10" t="str">
        <f t="shared" si="62"/>
        <v/>
      </c>
      <c r="G4003" s="10" t="str">
        <f>IF(OR(C4003="",B4003=""),"",IFERROR(C4003*INDEX(Harytlar!$D$5:$D$44,MATCH(B4003,Harytlar!$A$5:$A$44,0)),""))</f>
        <v/>
      </c>
    </row>
    <row r="4004" spans="1:7" x14ac:dyDescent="0.3">
      <c r="A4004" s="17"/>
      <c r="B4004" s="18"/>
      <c r="C4004" s="18"/>
      <c r="D4004" s="18"/>
      <c r="E4004" s="10" t="str">
        <f>IF(B4004="","",IFERROR(INDEX(Harytlar!$C$5:$C$44,MATCH(B4004,Harytlar!$A$5:$A$44,0)),""))</f>
        <v/>
      </c>
      <c r="F4004" s="10" t="str">
        <f t="shared" si="62"/>
        <v/>
      </c>
      <c r="G4004" s="10" t="str">
        <f>IF(OR(C4004="",B4004=""),"",IFERROR(C4004*INDEX(Harytlar!$D$5:$D$44,MATCH(B4004,Harytlar!$A$5:$A$44,0)),""))</f>
        <v/>
      </c>
    </row>
    <row r="4005" spans="1:7" x14ac:dyDescent="0.3">
      <c r="A4005" s="17"/>
      <c r="B4005" s="18"/>
      <c r="C4005" s="18"/>
      <c r="D4005" s="18"/>
      <c r="E4005" s="10" t="str">
        <f>IF(B4005="","",IFERROR(INDEX(Harytlar!$C$5:$C$44,MATCH(B4005,Harytlar!$A$5:$A$44,0)),""))</f>
        <v/>
      </c>
      <c r="F4005" s="10" t="str">
        <f t="shared" si="62"/>
        <v/>
      </c>
      <c r="G4005" s="10" t="str">
        <f>IF(OR(C4005="",B4005=""),"",IFERROR(C4005*INDEX(Harytlar!$D$5:$D$44,MATCH(B4005,Harytlar!$A$5:$A$44,0)),""))</f>
        <v/>
      </c>
    </row>
    <row r="4006" spans="1:7" x14ac:dyDescent="0.3">
      <c r="A4006" s="17"/>
      <c r="B4006" s="18"/>
      <c r="C4006" s="18"/>
      <c r="D4006" s="18"/>
      <c r="E4006" s="10" t="str">
        <f>IF(B4006="","",IFERROR(INDEX(Harytlar!$C$5:$C$44,MATCH(B4006,Harytlar!$A$5:$A$44,0)),""))</f>
        <v/>
      </c>
      <c r="F4006" s="10" t="str">
        <f t="shared" si="62"/>
        <v/>
      </c>
      <c r="G4006" s="10" t="str">
        <f>IF(OR(C4006="",B4006=""),"",IFERROR(C4006*INDEX(Harytlar!$D$5:$D$44,MATCH(B4006,Harytlar!$A$5:$A$44,0)),""))</f>
        <v/>
      </c>
    </row>
    <row r="4007" spans="1:7" x14ac:dyDescent="0.3">
      <c r="A4007" s="17"/>
      <c r="B4007" s="18"/>
      <c r="C4007" s="18"/>
      <c r="D4007" s="18"/>
      <c r="E4007" s="10" t="str">
        <f>IF(B4007="","",IFERROR(INDEX(Harytlar!$C$5:$C$44,MATCH(B4007,Harytlar!$A$5:$A$44,0)),""))</f>
        <v/>
      </c>
      <c r="F4007" s="10" t="str">
        <f t="shared" si="62"/>
        <v/>
      </c>
      <c r="G4007" s="10" t="str">
        <f>IF(OR(C4007="",B4007=""),"",IFERROR(C4007*INDEX(Harytlar!$D$5:$D$44,MATCH(B4007,Harytlar!$A$5:$A$44,0)),""))</f>
        <v/>
      </c>
    </row>
    <row r="4008" spans="1:7" x14ac:dyDescent="0.3">
      <c r="A4008" s="17"/>
      <c r="B4008" s="18"/>
      <c r="C4008" s="18"/>
      <c r="D4008" s="18"/>
      <c r="E4008" s="10" t="str">
        <f>IF(B4008="","",IFERROR(INDEX(Harytlar!$C$5:$C$44,MATCH(B4008,Harytlar!$A$5:$A$44,0)),""))</f>
        <v/>
      </c>
      <c r="F4008" s="10" t="str">
        <f t="shared" si="62"/>
        <v/>
      </c>
      <c r="G4008" s="10" t="str">
        <f>IF(OR(C4008="",B4008=""),"",IFERROR(C4008*INDEX(Harytlar!$D$5:$D$44,MATCH(B4008,Harytlar!$A$5:$A$44,0)),""))</f>
        <v/>
      </c>
    </row>
    <row r="4009" spans="1:7" x14ac:dyDescent="0.3">
      <c r="A4009" s="17"/>
      <c r="B4009" s="18"/>
      <c r="C4009" s="18"/>
      <c r="D4009" s="18"/>
      <c r="E4009" s="10" t="str">
        <f>IF(B4009="","",IFERROR(INDEX(Harytlar!$C$5:$C$44,MATCH(B4009,Harytlar!$A$5:$A$44,0)),""))</f>
        <v/>
      </c>
      <c r="F4009" s="10" t="str">
        <f t="shared" si="62"/>
        <v/>
      </c>
      <c r="G4009" s="10" t="str">
        <f>IF(OR(C4009="",B4009=""),"",IFERROR(C4009*INDEX(Harytlar!$D$5:$D$44,MATCH(B4009,Harytlar!$A$5:$A$44,0)),""))</f>
        <v/>
      </c>
    </row>
    <row r="4010" spans="1:7" x14ac:dyDescent="0.3">
      <c r="A4010" s="17"/>
      <c r="B4010" s="18"/>
      <c r="C4010" s="18"/>
      <c r="D4010" s="18"/>
      <c r="E4010" s="10" t="str">
        <f>IF(B4010="","",IFERROR(INDEX(Harytlar!$C$5:$C$44,MATCH(B4010,Harytlar!$A$5:$A$44,0)),""))</f>
        <v/>
      </c>
      <c r="F4010" s="10" t="str">
        <f t="shared" si="62"/>
        <v/>
      </c>
      <c r="G4010" s="10" t="str">
        <f>IF(OR(C4010="",B4010=""),"",IFERROR(C4010*INDEX(Harytlar!$D$5:$D$44,MATCH(B4010,Harytlar!$A$5:$A$44,0)),""))</f>
        <v/>
      </c>
    </row>
    <row r="4011" spans="1:7" x14ac:dyDescent="0.3">
      <c r="A4011" s="17"/>
      <c r="B4011" s="18"/>
      <c r="C4011" s="18"/>
      <c r="D4011" s="18"/>
      <c r="E4011" s="10" t="str">
        <f>IF(B4011="","",IFERROR(INDEX(Harytlar!$C$5:$C$44,MATCH(B4011,Harytlar!$A$5:$A$44,0)),""))</f>
        <v/>
      </c>
      <c r="F4011" s="10" t="str">
        <f t="shared" si="62"/>
        <v/>
      </c>
      <c r="G4011" s="10" t="str">
        <f>IF(OR(C4011="",B4011=""),"",IFERROR(C4011*INDEX(Harytlar!$D$5:$D$44,MATCH(B4011,Harytlar!$A$5:$A$44,0)),""))</f>
        <v/>
      </c>
    </row>
    <row r="4012" spans="1:7" x14ac:dyDescent="0.3">
      <c r="A4012" s="17"/>
      <c r="B4012" s="18"/>
      <c r="C4012" s="18"/>
      <c r="D4012" s="18"/>
      <c r="E4012" s="10" t="str">
        <f>IF(B4012="","",IFERROR(INDEX(Harytlar!$C$5:$C$44,MATCH(B4012,Harytlar!$A$5:$A$44,0)),""))</f>
        <v/>
      </c>
      <c r="F4012" s="10" t="str">
        <f t="shared" si="62"/>
        <v/>
      </c>
      <c r="G4012" s="10" t="str">
        <f>IF(OR(C4012="",B4012=""),"",IFERROR(C4012*INDEX(Harytlar!$D$5:$D$44,MATCH(B4012,Harytlar!$A$5:$A$44,0)),""))</f>
        <v/>
      </c>
    </row>
    <row r="4013" spans="1:7" x14ac:dyDescent="0.3">
      <c r="A4013" s="17"/>
      <c r="B4013" s="18"/>
      <c r="C4013" s="18"/>
      <c r="D4013" s="18"/>
      <c r="E4013" s="10" t="str">
        <f>IF(B4013="","",IFERROR(INDEX(Harytlar!$C$5:$C$44,MATCH(B4013,Harytlar!$A$5:$A$44,0)),""))</f>
        <v/>
      </c>
      <c r="F4013" s="10" t="str">
        <f t="shared" si="62"/>
        <v/>
      </c>
      <c r="G4013" s="10" t="str">
        <f>IF(OR(C4013="",B4013=""),"",IFERROR(C4013*INDEX(Harytlar!$D$5:$D$44,MATCH(B4013,Harytlar!$A$5:$A$44,0)),""))</f>
        <v/>
      </c>
    </row>
    <row r="4014" spans="1:7" x14ac:dyDescent="0.3">
      <c r="A4014" s="17"/>
      <c r="B4014" s="18"/>
      <c r="C4014" s="18"/>
      <c r="D4014" s="18"/>
      <c r="E4014" s="10" t="str">
        <f>IF(B4014="","",IFERROR(INDEX(Harytlar!$C$5:$C$44,MATCH(B4014,Harytlar!$A$5:$A$44,0)),""))</f>
        <v/>
      </c>
      <c r="F4014" s="10" t="str">
        <f t="shared" si="62"/>
        <v/>
      </c>
      <c r="G4014" s="10" t="str">
        <f>IF(OR(C4014="",B4014=""),"",IFERROR(C4014*INDEX(Harytlar!$D$5:$D$44,MATCH(B4014,Harytlar!$A$5:$A$44,0)),""))</f>
        <v/>
      </c>
    </row>
    <row r="4015" spans="1:7" x14ac:dyDescent="0.3">
      <c r="A4015" s="17"/>
      <c r="B4015" s="18"/>
      <c r="C4015" s="18"/>
      <c r="D4015" s="18"/>
      <c r="E4015" s="10" t="str">
        <f>IF(B4015="","",IFERROR(INDEX(Harytlar!$C$5:$C$44,MATCH(B4015,Harytlar!$A$5:$A$44,0)),""))</f>
        <v/>
      </c>
      <c r="F4015" s="10" t="str">
        <f t="shared" si="62"/>
        <v/>
      </c>
      <c r="G4015" s="10" t="str">
        <f>IF(OR(C4015="",B4015=""),"",IFERROR(C4015*INDEX(Harytlar!$D$5:$D$44,MATCH(B4015,Harytlar!$A$5:$A$44,0)),""))</f>
        <v/>
      </c>
    </row>
    <row r="4016" spans="1:7" x14ac:dyDescent="0.3">
      <c r="A4016" s="17"/>
      <c r="B4016" s="18"/>
      <c r="C4016" s="18"/>
      <c r="D4016" s="18"/>
      <c r="E4016" s="10" t="str">
        <f>IF(B4016="","",IFERROR(INDEX(Harytlar!$C$5:$C$44,MATCH(B4016,Harytlar!$A$5:$A$44,0)),""))</f>
        <v/>
      </c>
      <c r="F4016" s="10" t="str">
        <f t="shared" si="62"/>
        <v/>
      </c>
      <c r="G4016" s="10" t="str">
        <f>IF(OR(C4016="",B4016=""),"",IFERROR(C4016*INDEX(Harytlar!$D$5:$D$44,MATCH(B4016,Harytlar!$A$5:$A$44,0)),""))</f>
        <v/>
      </c>
    </row>
    <row r="4017" spans="1:7" x14ac:dyDescent="0.3">
      <c r="A4017" s="17"/>
      <c r="B4017" s="18"/>
      <c r="C4017" s="18"/>
      <c r="D4017" s="18"/>
      <c r="E4017" s="10" t="str">
        <f>IF(B4017="","",IFERROR(INDEX(Harytlar!$C$5:$C$44,MATCH(B4017,Harytlar!$A$5:$A$44,0)),""))</f>
        <v/>
      </c>
      <c r="F4017" s="10" t="str">
        <f t="shared" si="62"/>
        <v/>
      </c>
      <c r="G4017" s="10" t="str">
        <f>IF(OR(C4017="",B4017=""),"",IFERROR(C4017*INDEX(Harytlar!$D$5:$D$44,MATCH(B4017,Harytlar!$A$5:$A$44,0)),""))</f>
        <v/>
      </c>
    </row>
    <row r="4018" spans="1:7" x14ac:dyDescent="0.3">
      <c r="A4018" s="17"/>
      <c r="B4018" s="18"/>
      <c r="C4018" s="18"/>
      <c r="D4018" s="18"/>
      <c r="E4018" s="10" t="str">
        <f>IF(B4018="","",IFERROR(INDEX(Harytlar!$C$5:$C$44,MATCH(B4018,Harytlar!$A$5:$A$44,0)),""))</f>
        <v/>
      </c>
      <c r="F4018" s="10" t="str">
        <f t="shared" si="62"/>
        <v/>
      </c>
      <c r="G4018" s="10" t="str">
        <f>IF(OR(C4018="",B4018=""),"",IFERROR(C4018*INDEX(Harytlar!$D$5:$D$44,MATCH(B4018,Harytlar!$A$5:$A$44,0)),""))</f>
        <v/>
      </c>
    </row>
    <row r="4019" spans="1:7" x14ac:dyDescent="0.3">
      <c r="A4019" s="17"/>
      <c r="B4019" s="18"/>
      <c r="C4019" s="18"/>
      <c r="D4019" s="18"/>
      <c r="E4019" s="10" t="str">
        <f>IF(B4019="","",IFERROR(INDEX(Harytlar!$C$5:$C$44,MATCH(B4019,Harytlar!$A$5:$A$44,0)),""))</f>
        <v/>
      </c>
      <c r="F4019" s="10" t="str">
        <f t="shared" si="62"/>
        <v/>
      </c>
      <c r="G4019" s="10" t="str">
        <f>IF(OR(C4019="",B4019=""),"",IFERROR(C4019*INDEX(Harytlar!$D$5:$D$44,MATCH(B4019,Harytlar!$A$5:$A$44,0)),""))</f>
        <v/>
      </c>
    </row>
    <row r="4020" spans="1:7" x14ac:dyDescent="0.3">
      <c r="A4020" s="17"/>
      <c r="B4020" s="18"/>
      <c r="C4020" s="18"/>
      <c r="D4020" s="18"/>
      <c r="E4020" s="10" t="str">
        <f>IF(B4020="","",IFERROR(INDEX(Harytlar!$C$5:$C$44,MATCH(B4020,Harytlar!$A$5:$A$44,0)),""))</f>
        <v/>
      </c>
      <c r="F4020" s="10" t="str">
        <f t="shared" si="62"/>
        <v/>
      </c>
      <c r="G4020" s="10" t="str">
        <f>IF(OR(C4020="",B4020=""),"",IFERROR(C4020*INDEX(Harytlar!$D$5:$D$44,MATCH(B4020,Harytlar!$A$5:$A$44,0)),""))</f>
        <v/>
      </c>
    </row>
    <row r="4021" spans="1:7" x14ac:dyDescent="0.3">
      <c r="A4021" s="17"/>
      <c r="B4021" s="18"/>
      <c r="C4021" s="18"/>
      <c r="D4021" s="18"/>
      <c r="E4021" s="10" t="str">
        <f>IF(B4021="","",IFERROR(INDEX(Harytlar!$C$5:$C$44,MATCH(B4021,Harytlar!$A$5:$A$44,0)),""))</f>
        <v/>
      </c>
      <c r="F4021" s="10" t="str">
        <f t="shared" si="62"/>
        <v/>
      </c>
      <c r="G4021" s="10" t="str">
        <f>IF(OR(C4021="",B4021=""),"",IFERROR(C4021*INDEX(Harytlar!$D$5:$D$44,MATCH(B4021,Harytlar!$A$5:$A$44,0)),""))</f>
        <v/>
      </c>
    </row>
    <row r="4022" spans="1:7" x14ac:dyDescent="0.3">
      <c r="A4022" s="17"/>
      <c r="B4022" s="18"/>
      <c r="C4022" s="18"/>
      <c r="D4022" s="18"/>
      <c r="E4022" s="10" t="str">
        <f>IF(B4022="","",IFERROR(INDEX(Harytlar!$C$5:$C$44,MATCH(B4022,Harytlar!$A$5:$A$44,0)),""))</f>
        <v/>
      </c>
      <c r="F4022" s="10" t="str">
        <f t="shared" si="62"/>
        <v/>
      </c>
      <c r="G4022" s="10" t="str">
        <f>IF(OR(C4022="",B4022=""),"",IFERROR(C4022*INDEX(Harytlar!$D$5:$D$44,MATCH(B4022,Harytlar!$A$5:$A$44,0)),""))</f>
        <v/>
      </c>
    </row>
    <row r="4023" spans="1:7" x14ac:dyDescent="0.3">
      <c r="A4023" s="17"/>
      <c r="B4023" s="18"/>
      <c r="C4023" s="18"/>
      <c r="D4023" s="18"/>
      <c r="E4023" s="10" t="str">
        <f>IF(B4023="","",IFERROR(INDEX(Harytlar!$C$5:$C$44,MATCH(B4023,Harytlar!$A$5:$A$44,0)),""))</f>
        <v/>
      </c>
      <c r="F4023" s="10" t="str">
        <f t="shared" si="62"/>
        <v/>
      </c>
      <c r="G4023" s="10" t="str">
        <f>IF(OR(C4023="",B4023=""),"",IFERROR(C4023*INDEX(Harytlar!$D$5:$D$44,MATCH(B4023,Harytlar!$A$5:$A$44,0)),""))</f>
        <v/>
      </c>
    </row>
    <row r="4024" spans="1:7" x14ac:dyDescent="0.3">
      <c r="A4024" s="17"/>
      <c r="B4024" s="18"/>
      <c r="C4024" s="18"/>
      <c r="D4024" s="18"/>
      <c r="E4024" s="10" t="str">
        <f>IF(B4024="","",IFERROR(INDEX(Harytlar!$C$5:$C$44,MATCH(B4024,Harytlar!$A$5:$A$44,0)),""))</f>
        <v/>
      </c>
      <c r="F4024" s="10" t="str">
        <f t="shared" si="62"/>
        <v/>
      </c>
      <c r="G4024" s="10" t="str">
        <f>IF(OR(C4024="",B4024=""),"",IFERROR(C4024*INDEX(Harytlar!$D$5:$D$44,MATCH(B4024,Harytlar!$A$5:$A$44,0)),""))</f>
        <v/>
      </c>
    </row>
    <row r="4025" spans="1:7" x14ac:dyDescent="0.3">
      <c r="A4025" s="17"/>
      <c r="B4025" s="18"/>
      <c r="C4025" s="18"/>
      <c r="D4025" s="18"/>
      <c r="E4025" s="10" t="str">
        <f>IF(B4025="","",IFERROR(INDEX(Harytlar!$C$5:$C$44,MATCH(B4025,Harytlar!$A$5:$A$44,0)),""))</f>
        <v/>
      </c>
      <c r="F4025" s="10" t="str">
        <f t="shared" si="62"/>
        <v/>
      </c>
      <c r="G4025" s="10" t="str">
        <f>IF(OR(C4025="",B4025=""),"",IFERROR(C4025*INDEX(Harytlar!$D$5:$D$44,MATCH(B4025,Harytlar!$A$5:$A$44,0)),""))</f>
        <v/>
      </c>
    </row>
    <row r="4026" spans="1:7" x14ac:dyDescent="0.3">
      <c r="A4026" s="17"/>
      <c r="B4026" s="18"/>
      <c r="C4026" s="18"/>
      <c r="D4026" s="18"/>
      <c r="E4026" s="10" t="str">
        <f>IF(B4026="","",IFERROR(INDEX(Harytlar!$C$5:$C$44,MATCH(B4026,Harytlar!$A$5:$A$44,0)),""))</f>
        <v/>
      </c>
      <c r="F4026" s="10" t="str">
        <f t="shared" si="62"/>
        <v/>
      </c>
      <c r="G4026" s="10" t="str">
        <f>IF(OR(C4026="",B4026=""),"",IFERROR(C4026*INDEX(Harytlar!$D$5:$D$44,MATCH(B4026,Harytlar!$A$5:$A$44,0)),""))</f>
        <v/>
      </c>
    </row>
    <row r="4027" spans="1:7" x14ac:dyDescent="0.3">
      <c r="A4027" s="17"/>
      <c r="B4027" s="18"/>
      <c r="C4027" s="18"/>
      <c r="D4027" s="18"/>
      <c r="E4027" s="10" t="str">
        <f>IF(B4027="","",IFERROR(INDEX(Harytlar!$C$5:$C$44,MATCH(B4027,Harytlar!$A$5:$A$44,0)),""))</f>
        <v/>
      </c>
      <c r="F4027" s="10" t="str">
        <f t="shared" si="62"/>
        <v/>
      </c>
      <c r="G4027" s="10" t="str">
        <f>IF(OR(C4027="",B4027=""),"",IFERROR(C4027*INDEX(Harytlar!$D$5:$D$44,MATCH(B4027,Harytlar!$A$5:$A$44,0)),""))</f>
        <v/>
      </c>
    </row>
    <row r="4028" spans="1:7" x14ac:dyDescent="0.3">
      <c r="A4028" s="17"/>
      <c r="B4028" s="18"/>
      <c r="C4028" s="18"/>
      <c r="D4028" s="18"/>
      <c r="E4028" s="10" t="str">
        <f>IF(B4028="","",IFERROR(INDEX(Harytlar!$C$5:$C$44,MATCH(B4028,Harytlar!$A$5:$A$44,0)),""))</f>
        <v/>
      </c>
      <c r="F4028" s="10" t="str">
        <f t="shared" si="62"/>
        <v/>
      </c>
      <c r="G4028" s="10" t="str">
        <f>IF(OR(C4028="",B4028=""),"",IFERROR(C4028*INDEX(Harytlar!$D$5:$D$44,MATCH(B4028,Harytlar!$A$5:$A$44,0)),""))</f>
        <v/>
      </c>
    </row>
    <row r="4029" spans="1:7" x14ac:dyDescent="0.3">
      <c r="A4029" s="17"/>
      <c r="B4029" s="18"/>
      <c r="C4029" s="18"/>
      <c r="D4029" s="18"/>
      <c r="E4029" s="10" t="str">
        <f>IF(B4029="","",IFERROR(INDEX(Harytlar!$C$5:$C$44,MATCH(B4029,Harytlar!$A$5:$A$44,0)),""))</f>
        <v/>
      </c>
      <c r="F4029" s="10" t="str">
        <f t="shared" si="62"/>
        <v/>
      </c>
      <c r="G4029" s="10" t="str">
        <f>IF(OR(C4029="",B4029=""),"",IFERROR(C4029*INDEX(Harytlar!$D$5:$D$44,MATCH(B4029,Harytlar!$A$5:$A$44,0)),""))</f>
        <v/>
      </c>
    </row>
    <row r="4030" spans="1:7" x14ac:dyDescent="0.3">
      <c r="A4030" s="17"/>
      <c r="B4030" s="18"/>
      <c r="C4030" s="18"/>
      <c r="D4030" s="18"/>
      <c r="E4030" s="10" t="str">
        <f>IF(B4030="","",IFERROR(INDEX(Harytlar!$C$5:$C$44,MATCH(B4030,Harytlar!$A$5:$A$44,0)),""))</f>
        <v/>
      </c>
      <c r="F4030" s="10" t="str">
        <f t="shared" si="62"/>
        <v/>
      </c>
      <c r="G4030" s="10" t="str">
        <f>IF(OR(C4030="",B4030=""),"",IFERROR(C4030*INDEX(Harytlar!$D$5:$D$44,MATCH(B4030,Harytlar!$A$5:$A$44,0)),""))</f>
        <v/>
      </c>
    </row>
    <row r="4031" spans="1:7" x14ac:dyDescent="0.3">
      <c r="A4031" s="17"/>
      <c r="B4031" s="18"/>
      <c r="C4031" s="18"/>
      <c r="D4031" s="18"/>
      <c r="E4031" s="10" t="str">
        <f>IF(B4031="","",IFERROR(INDEX(Harytlar!$C$5:$C$44,MATCH(B4031,Harytlar!$A$5:$A$44,0)),""))</f>
        <v/>
      </c>
      <c r="F4031" s="10" t="str">
        <f t="shared" si="62"/>
        <v/>
      </c>
      <c r="G4031" s="10" t="str">
        <f>IF(OR(C4031="",B4031=""),"",IFERROR(C4031*INDEX(Harytlar!$D$5:$D$44,MATCH(B4031,Harytlar!$A$5:$A$44,0)),""))</f>
        <v/>
      </c>
    </row>
    <row r="4032" spans="1:7" x14ac:dyDescent="0.3">
      <c r="A4032" s="17"/>
      <c r="B4032" s="18"/>
      <c r="C4032" s="18"/>
      <c r="D4032" s="18"/>
      <c r="E4032" s="10" t="str">
        <f>IF(B4032="","",IFERROR(INDEX(Harytlar!$C$5:$C$44,MATCH(B4032,Harytlar!$A$5:$A$44,0)),""))</f>
        <v/>
      </c>
      <c r="F4032" s="10" t="str">
        <f t="shared" si="62"/>
        <v/>
      </c>
      <c r="G4032" s="10" t="str">
        <f>IF(OR(C4032="",B4032=""),"",IFERROR(C4032*INDEX(Harytlar!$D$5:$D$44,MATCH(B4032,Harytlar!$A$5:$A$44,0)),""))</f>
        <v/>
      </c>
    </row>
    <row r="4033" spans="1:7" x14ac:dyDescent="0.3">
      <c r="A4033" s="17"/>
      <c r="B4033" s="18"/>
      <c r="C4033" s="18"/>
      <c r="D4033" s="18"/>
      <c r="E4033" s="10" t="str">
        <f>IF(B4033="","",IFERROR(INDEX(Harytlar!$C$5:$C$44,MATCH(B4033,Harytlar!$A$5:$A$44,0)),""))</f>
        <v/>
      </c>
      <c r="F4033" s="10" t="str">
        <f t="shared" si="62"/>
        <v/>
      </c>
      <c r="G4033" s="10" t="str">
        <f>IF(OR(C4033="",B4033=""),"",IFERROR(C4033*INDEX(Harytlar!$D$5:$D$44,MATCH(B4033,Harytlar!$A$5:$A$44,0)),""))</f>
        <v/>
      </c>
    </row>
    <row r="4034" spans="1:7" x14ac:dyDescent="0.3">
      <c r="A4034" s="17"/>
      <c r="B4034" s="18"/>
      <c r="C4034" s="18"/>
      <c r="D4034" s="18"/>
      <c r="E4034" s="10" t="str">
        <f>IF(B4034="","",IFERROR(INDEX(Harytlar!$C$5:$C$44,MATCH(B4034,Harytlar!$A$5:$A$44,0)),""))</f>
        <v/>
      </c>
      <c r="F4034" s="10" t="str">
        <f t="shared" si="62"/>
        <v/>
      </c>
      <c r="G4034" s="10" t="str">
        <f>IF(OR(C4034="",B4034=""),"",IFERROR(C4034*INDEX(Harytlar!$D$5:$D$44,MATCH(B4034,Harytlar!$A$5:$A$44,0)),""))</f>
        <v/>
      </c>
    </row>
    <row r="4035" spans="1:7" x14ac:dyDescent="0.3">
      <c r="A4035" s="17"/>
      <c r="B4035" s="18"/>
      <c r="C4035" s="18"/>
      <c r="D4035" s="18"/>
      <c r="E4035" s="10" t="str">
        <f>IF(B4035="","",IFERROR(INDEX(Harytlar!$C$5:$C$44,MATCH(B4035,Harytlar!$A$5:$A$44,0)),""))</f>
        <v/>
      </c>
      <c r="F4035" s="10" t="str">
        <f t="shared" si="62"/>
        <v/>
      </c>
      <c r="G4035" s="10" t="str">
        <f>IF(OR(C4035="",B4035=""),"",IFERROR(C4035*INDEX(Harytlar!$D$5:$D$44,MATCH(B4035,Harytlar!$A$5:$A$44,0)),""))</f>
        <v/>
      </c>
    </row>
    <row r="4036" spans="1:7" x14ac:dyDescent="0.3">
      <c r="A4036" s="17"/>
      <c r="B4036" s="18"/>
      <c r="C4036" s="18"/>
      <c r="D4036" s="18"/>
      <c r="E4036" s="10" t="str">
        <f>IF(B4036="","",IFERROR(INDEX(Harytlar!$C$5:$C$44,MATCH(B4036,Harytlar!$A$5:$A$44,0)),""))</f>
        <v/>
      </c>
      <c r="F4036" s="10" t="str">
        <f t="shared" si="62"/>
        <v/>
      </c>
      <c r="G4036" s="10" t="str">
        <f>IF(OR(C4036="",B4036=""),"",IFERROR(C4036*INDEX(Harytlar!$D$5:$D$44,MATCH(B4036,Harytlar!$A$5:$A$44,0)),""))</f>
        <v/>
      </c>
    </row>
    <row r="4037" spans="1:7" x14ac:dyDescent="0.3">
      <c r="A4037" s="17"/>
      <c r="B4037" s="18"/>
      <c r="C4037" s="18"/>
      <c r="D4037" s="18"/>
      <c r="E4037" s="10" t="str">
        <f>IF(B4037="","",IFERROR(INDEX(Harytlar!$C$5:$C$44,MATCH(B4037,Harytlar!$A$5:$A$44,0)),""))</f>
        <v/>
      </c>
      <c r="F4037" s="10" t="str">
        <f t="shared" si="62"/>
        <v/>
      </c>
      <c r="G4037" s="10" t="str">
        <f>IF(OR(C4037="",B4037=""),"",IFERROR(C4037*INDEX(Harytlar!$D$5:$D$44,MATCH(B4037,Harytlar!$A$5:$A$44,0)),""))</f>
        <v/>
      </c>
    </row>
    <row r="4038" spans="1:7" x14ac:dyDescent="0.3">
      <c r="A4038" s="17"/>
      <c r="B4038" s="18"/>
      <c r="C4038" s="18"/>
      <c r="D4038" s="18"/>
      <c r="E4038" s="10" t="str">
        <f>IF(B4038="","",IFERROR(INDEX(Harytlar!$C$5:$C$44,MATCH(B4038,Harytlar!$A$5:$A$44,0)),""))</f>
        <v/>
      </c>
      <c r="F4038" s="10" t="str">
        <f t="shared" ref="F4038:F4101" si="63">IF(OR(C4038="",E4038=""),"",C4038*E4038)</f>
        <v/>
      </c>
      <c r="G4038" s="10" t="str">
        <f>IF(OR(C4038="",B4038=""),"",IFERROR(C4038*INDEX(Harytlar!$D$5:$D$44,MATCH(B4038,Harytlar!$A$5:$A$44,0)),""))</f>
        <v/>
      </c>
    </row>
    <row r="4039" spans="1:7" x14ac:dyDescent="0.3">
      <c r="A4039" s="17"/>
      <c r="B4039" s="18"/>
      <c r="C4039" s="18"/>
      <c r="D4039" s="18"/>
      <c r="E4039" s="10" t="str">
        <f>IF(B4039="","",IFERROR(INDEX(Harytlar!$C$5:$C$44,MATCH(B4039,Harytlar!$A$5:$A$44,0)),""))</f>
        <v/>
      </c>
      <c r="F4039" s="10" t="str">
        <f t="shared" si="63"/>
        <v/>
      </c>
      <c r="G4039" s="10" t="str">
        <f>IF(OR(C4039="",B4039=""),"",IFERROR(C4039*INDEX(Harytlar!$D$5:$D$44,MATCH(B4039,Harytlar!$A$5:$A$44,0)),""))</f>
        <v/>
      </c>
    </row>
    <row r="4040" spans="1:7" x14ac:dyDescent="0.3">
      <c r="A4040" s="17"/>
      <c r="B4040" s="18"/>
      <c r="C4040" s="18"/>
      <c r="D4040" s="18"/>
      <c r="E4040" s="10" t="str">
        <f>IF(B4040="","",IFERROR(INDEX(Harytlar!$C$5:$C$44,MATCH(B4040,Harytlar!$A$5:$A$44,0)),""))</f>
        <v/>
      </c>
      <c r="F4040" s="10" t="str">
        <f t="shared" si="63"/>
        <v/>
      </c>
      <c r="G4040" s="10" t="str">
        <f>IF(OR(C4040="",B4040=""),"",IFERROR(C4040*INDEX(Harytlar!$D$5:$D$44,MATCH(B4040,Harytlar!$A$5:$A$44,0)),""))</f>
        <v/>
      </c>
    </row>
    <row r="4041" spans="1:7" x14ac:dyDescent="0.3">
      <c r="A4041" s="17"/>
      <c r="B4041" s="18"/>
      <c r="C4041" s="18"/>
      <c r="D4041" s="18"/>
      <c r="E4041" s="10" t="str">
        <f>IF(B4041="","",IFERROR(INDEX(Harytlar!$C$5:$C$44,MATCH(B4041,Harytlar!$A$5:$A$44,0)),""))</f>
        <v/>
      </c>
      <c r="F4041" s="10" t="str">
        <f t="shared" si="63"/>
        <v/>
      </c>
      <c r="G4041" s="10" t="str">
        <f>IF(OR(C4041="",B4041=""),"",IFERROR(C4041*INDEX(Harytlar!$D$5:$D$44,MATCH(B4041,Harytlar!$A$5:$A$44,0)),""))</f>
        <v/>
      </c>
    </row>
    <row r="4042" spans="1:7" x14ac:dyDescent="0.3">
      <c r="A4042" s="17"/>
      <c r="B4042" s="18"/>
      <c r="C4042" s="18"/>
      <c r="D4042" s="18"/>
      <c r="E4042" s="10" t="str">
        <f>IF(B4042="","",IFERROR(INDEX(Harytlar!$C$5:$C$44,MATCH(B4042,Harytlar!$A$5:$A$44,0)),""))</f>
        <v/>
      </c>
      <c r="F4042" s="10" t="str">
        <f t="shared" si="63"/>
        <v/>
      </c>
      <c r="G4042" s="10" t="str">
        <f>IF(OR(C4042="",B4042=""),"",IFERROR(C4042*INDEX(Harytlar!$D$5:$D$44,MATCH(B4042,Harytlar!$A$5:$A$44,0)),""))</f>
        <v/>
      </c>
    </row>
    <row r="4043" spans="1:7" x14ac:dyDescent="0.3">
      <c r="A4043" s="17"/>
      <c r="B4043" s="18"/>
      <c r="C4043" s="18"/>
      <c r="D4043" s="18"/>
      <c r="E4043" s="10" t="str">
        <f>IF(B4043="","",IFERROR(INDEX(Harytlar!$C$5:$C$44,MATCH(B4043,Harytlar!$A$5:$A$44,0)),""))</f>
        <v/>
      </c>
      <c r="F4043" s="10" t="str">
        <f t="shared" si="63"/>
        <v/>
      </c>
      <c r="G4043" s="10" t="str">
        <f>IF(OR(C4043="",B4043=""),"",IFERROR(C4043*INDEX(Harytlar!$D$5:$D$44,MATCH(B4043,Harytlar!$A$5:$A$44,0)),""))</f>
        <v/>
      </c>
    </row>
    <row r="4044" spans="1:7" x14ac:dyDescent="0.3">
      <c r="A4044" s="17"/>
      <c r="B4044" s="18"/>
      <c r="C4044" s="18"/>
      <c r="D4044" s="18"/>
      <c r="E4044" s="10" t="str">
        <f>IF(B4044="","",IFERROR(INDEX(Harytlar!$C$5:$C$44,MATCH(B4044,Harytlar!$A$5:$A$44,0)),""))</f>
        <v/>
      </c>
      <c r="F4044" s="10" t="str">
        <f t="shared" si="63"/>
        <v/>
      </c>
      <c r="G4044" s="10" t="str">
        <f>IF(OR(C4044="",B4044=""),"",IFERROR(C4044*INDEX(Harytlar!$D$5:$D$44,MATCH(B4044,Harytlar!$A$5:$A$44,0)),""))</f>
        <v/>
      </c>
    </row>
    <row r="4045" spans="1:7" x14ac:dyDescent="0.3">
      <c r="A4045" s="17"/>
      <c r="B4045" s="18"/>
      <c r="C4045" s="18"/>
      <c r="D4045" s="18"/>
      <c r="E4045" s="10" t="str">
        <f>IF(B4045="","",IFERROR(INDEX(Harytlar!$C$5:$C$44,MATCH(B4045,Harytlar!$A$5:$A$44,0)),""))</f>
        <v/>
      </c>
      <c r="F4045" s="10" t="str">
        <f t="shared" si="63"/>
        <v/>
      </c>
      <c r="G4045" s="10" t="str">
        <f>IF(OR(C4045="",B4045=""),"",IFERROR(C4045*INDEX(Harytlar!$D$5:$D$44,MATCH(B4045,Harytlar!$A$5:$A$44,0)),""))</f>
        <v/>
      </c>
    </row>
    <row r="4046" spans="1:7" x14ac:dyDescent="0.3">
      <c r="A4046" s="17"/>
      <c r="B4046" s="18"/>
      <c r="C4046" s="18"/>
      <c r="D4046" s="18"/>
      <c r="E4046" s="10" t="str">
        <f>IF(B4046="","",IFERROR(INDEX(Harytlar!$C$5:$C$44,MATCH(B4046,Harytlar!$A$5:$A$44,0)),""))</f>
        <v/>
      </c>
      <c r="F4046" s="10" t="str">
        <f t="shared" si="63"/>
        <v/>
      </c>
      <c r="G4046" s="10" t="str">
        <f>IF(OR(C4046="",B4046=""),"",IFERROR(C4046*INDEX(Harytlar!$D$5:$D$44,MATCH(B4046,Harytlar!$A$5:$A$44,0)),""))</f>
        <v/>
      </c>
    </row>
    <row r="4047" spans="1:7" x14ac:dyDescent="0.3">
      <c r="A4047" s="17"/>
      <c r="B4047" s="18"/>
      <c r="C4047" s="18"/>
      <c r="D4047" s="18"/>
      <c r="E4047" s="10" t="str">
        <f>IF(B4047="","",IFERROR(INDEX(Harytlar!$C$5:$C$44,MATCH(B4047,Harytlar!$A$5:$A$44,0)),""))</f>
        <v/>
      </c>
      <c r="F4047" s="10" t="str">
        <f t="shared" si="63"/>
        <v/>
      </c>
      <c r="G4047" s="10" t="str">
        <f>IF(OR(C4047="",B4047=""),"",IFERROR(C4047*INDEX(Harytlar!$D$5:$D$44,MATCH(B4047,Harytlar!$A$5:$A$44,0)),""))</f>
        <v/>
      </c>
    </row>
    <row r="4048" spans="1:7" x14ac:dyDescent="0.3">
      <c r="A4048" s="17"/>
      <c r="B4048" s="18"/>
      <c r="C4048" s="18"/>
      <c r="D4048" s="18"/>
      <c r="E4048" s="10" t="str">
        <f>IF(B4048="","",IFERROR(INDEX(Harytlar!$C$5:$C$44,MATCH(B4048,Harytlar!$A$5:$A$44,0)),""))</f>
        <v/>
      </c>
      <c r="F4048" s="10" t="str">
        <f t="shared" si="63"/>
        <v/>
      </c>
      <c r="G4048" s="10" t="str">
        <f>IF(OR(C4048="",B4048=""),"",IFERROR(C4048*INDEX(Harytlar!$D$5:$D$44,MATCH(B4048,Harytlar!$A$5:$A$44,0)),""))</f>
        <v/>
      </c>
    </row>
    <row r="4049" spans="1:7" x14ac:dyDescent="0.3">
      <c r="A4049" s="17"/>
      <c r="B4049" s="18"/>
      <c r="C4049" s="18"/>
      <c r="D4049" s="18"/>
      <c r="E4049" s="10" t="str">
        <f>IF(B4049="","",IFERROR(INDEX(Harytlar!$C$5:$C$44,MATCH(B4049,Harytlar!$A$5:$A$44,0)),""))</f>
        <v/>
      </c>
      <c r="F4049" s="10" t="str">
        <f t="shared" si="63"/>
        <v/>
      </c>
      <c r="G4049" s="10" t="str">
        <f>IF(OR(C4049="",B4049=""),"",IFERROR(C4049*INDEX(Harytlar!$D$5:$D$44,MATCH(B4049,Harytlar!$A$5:$A$44,0)),""))</f>
        <v/>
      </c>
    </row>
    <row r="4050" spans="1:7" x14ac:dyDescent="0.3">
      <c r="A4050" s="17"/>
      <c r="B4050" s="18"/>
      <c r="C4050" s="18"/>
      <c r="D4050" s="18"/>
      <c r="E4050" s="10" t="str">
        <f>IF(B4050="","",IFERROR(INDEX(Harytlar!$C$5:$C$44,MATCH(B4050,Harytlar!$A$5:$A$44,0)),""))</f>
        <v/>
      </c>
      <c r="F4050" s="10" t="str">
        <f t="shared" si="63"/>
        <v/>
      </c>
      <c r="G4050" s="10" t="str">
        <f>IF(OR(C4050="",B4050=""),"",IFERROR(C4050*INDEX(Harytlar!$D$5:$D$44,MATCH(B4050,Harytlar!$A$5:$A$44,0)),""))</f>
        <v/>
      </c>
    </row>
    <row r="4051" spans="1:7" x14ac:dyDescent="0.3">
      <c r="A4051" s="17"/>
      <c r="B4051" s="18"/>
      <c r="C4051" s="18"/>
      <c r="D4051" s="18"/>
      <c r="E4051" s="10" t="str">
        <f>IF(B4051="","",IFERROR(INDEX(Harytlar!$C$5:$C$44,MATCH(B4051,Harytlar!$A$5:$A$44,0)),""))</f>
        <v/>
      </c>
      <c r="F4051" s="10" t="str">
        <f t="shared" si="63"/>
        <v/>
      </c>
      <c r="G4051" s="10" t="str">
        <f>IF(OR(C4051="",B4051=""),"",IFERROR(C4051*INDEX(Harytlar!$D$5:$D$44,MATCH(B4051,Harytlar!$A$5:$A$44,0)),""))</f>
        <v/>
      </c>
    </row>
    <row r="4052" spans="1:7" x14ac:dyDescent="0.3">
      <c r="A4052" s="17"/>
      <c r="B4052" s="18"/>
      <c r="C4052" s="18"/>
      <c r="D4052" s="18"/>
      <c r="E4052" s="10" t="str">
        <f>IF(B4052="","",IFERROR(INDEX(Harytlar!$C$5:$C$44,MATCH(B4052,Harytlar!$A$5:$A$44,0)),""))</f>
        <v/>
      </c>
      <c r="F4052" s="10" t="str">
        <f t="shared" si="63"/>
        <v/>
      </c>
      <c r="G4052" s="10" t="str">
        <f>IF(OR(C4052="",B4052=""),"",IFERROR(C4052*INDEX(Harytlar!$D$5:$D$44,MATCH(B4052,Harytlar!$A$5:$A$44,0)),""))</f>
        <v/>
      </c>
    </row>
    <row r="4053" spans="1:7" x14ac:dyDescent="0.3">
      <c r="A4053" s="17"/>
      <c r="B4053" s="18"/>
      <c r="C4053" s="18"/>
      <c r="D4053" s="18"/>
      <c r="E4053" s="10" t="str">
        <f>IF(B4053="","",IFERROR(INDEX(Harytlar!$C$5:$C$44,MATCH(B4053,Harytlar!$A$5:$A$44,0)),""))</f>
        <v/>
      </c>
      <c r="F4053" s="10" t="str">
        <f t="shared" si="63"/>
        <v/>
      </c>
      <c r="G4053" s="10" t="str">
        <f>IF(OR(C4053="",B4053=""),"",IFERROR(C4053*INDEX(Harytlar!$D$5:$D$44,MATCH(B4053,Harytlar!$A$5:$A$44,0)),""))</f>
        <v/>
      </c>
    </row>
    <row r="4054" spans="1:7" x14ac:dyDescent="0.3">
      <c r="A4054" s="17"/>
      <c r="B4054" s="18"/>
      <c r="C4054" s="18"/>
      <c r="D4054" s="18"/>
      <c r="E4054" s="10" t="str">
        <f>IF(B4054="","",IFERROR(INDEX(Harytlar!$C$5:$C$44,MATCH(B4054,Harytlar!$A$5:$A$44,0)),""))</f>
        <v/>
      </c>
      <c r="F4054" s="10" t="str">
        <f t="shared" si="63"/>
        <v/>
      </c>
      <c r="G4054" s="10" t="str">
        <f>IF(OR(C4054="",B4054=""),"",IFERROR(C4054*INDEX(Harytlar!$D$5:$D$44,MATCH(B4054,Harytlar!$A$5:$A$44,0)),""))</f>
        <v/>
      </c>
    </row>
    <row r="4055" spans="1:7" x14ac:dyDescent="0.3">
      <c r="A4055" s="17"/>
      <c r="B4055" s="18"/>
      <c r="C4055" s="18"/>
      <c r="D4055" s="18"/>
      <c r="E4055" s="10" t="str">
        <f>IF(B4055="","",IFERROR(INDEX(Harytlar!$C$5:$C$44,MATCH(B4055,Harytlar!$A$5:$A$44,0)),""))</f>
        <v/>
      </c>
      <c r="F4055" s="10" t="str">
        <f t="shared" si="63"/>
        <v/>
      </c>
      <c r="G4055" s="10" t="str">
        <f>IF(OR(C4055="",B4055=""),"",IFERROR(C4055*INDEX(Harytlar!$D$5:$D$44,MATCH(B4055,Harytlar!$A$5:$A$44,0)),""))</f>
        <v/>
      </c>
    </row>
    <row r="4056" spans="1:7" x14ac:dyDescent="0.3">
      <c r="A4056" s="17"/>
      <c r="B4056" s="18"/>
      <c r="C4056" s="18"/>
      <c r="D4056" s="18"/>
      <c r="E4056" s="10" t="str">
        <f>IF(B4056="","",IFERROR(INDEX(Harytlar!$C$5:$C$44,MATCH(B4056,Harytlar!$A$5:$A$44,0)),""))</f>
        <v/>
      </c>
      <c r="F4056" s="10" t="str">
        <f t="shared" si="63"/>
        <v/>
      </c>
      <c r="G4056" s="10" t="str">
        <f>IF(OR(C4056="",B4056=""),"",IFERROR(C4056*INDEX(Harytlar!$D$5:$D$44,MATCH(B4056,Harytlar!$A$5:$A$44,0)),""))</f>
        <v/>
      </c>
    </row>
    <row r="4057" spans="1:7" x14ac:dyDescent="0.3">
      <c r="A4057" s="17"/>
      <c r="B4057" s="18"/>
      <c r="C4057" s="18"/>
      <c r="D4057" s="18"/>
      <c r="E4057" s="10" t="str">
        <f>IF(B4057="","",IFERROR(INDEX(Harytlar!$C$5:$C$44,MATCH(B4057,Harytlar!$A$5:$A$44,0)),""))</f>
        <v/>
      </c>
      <c r="F4057" s="10" t="str">
        <f t="shared" si="63"/>
        <v/>
      </c>
      <c r="G4057" s="10" t="str">
        <f>IF(OR(C4057="",B4057=""),"",IFERROR(C4057*INDEX(Harytlar!$D$5:$D$44,MATCH(B4057,Harytlar!$A$5:$A$44,0)),""))</f>
        <v/>
      </c>
    </row>
    <row r="4058" spans="1:7" x14ac:dyDescent="0.3">
      <c r="A4058" s="17"/>
      <c r="B4058" s="18"/>
      <c r="C4058" s="18"/>
      <c r="D4058" s="18"/>
      <c r="E4058" s="10" t="str">
        <f>IF(B4058="","",IFERROR(INDEX(Harytlar!$C$5:$C$44,MATCH(B4058,Harytlar!$A$5:$A$44,0)),""))</f>
        <v/>
      </c>
      <c r="F4058" s="10" t="str">
        <f t="shared" si="63"/>
        <v/>
      </c>
      <c r="G4058" s="10" t="str">
        <f>IF(OR(C4058="",B4058=""),"",IFERROR(C4058*INDEX(Harytlar!$D$5:$D$44,MATCH(B4058,Harytlar!$A$5:$A$44,0)),""))</f>
        <v/>
      </c>
    </row>
    <row r="4059" spans="1:7" x14ac:dyDescent="0.3">
      <c r="A4059" s="17"/>
      <c r="B4059" s="18"/>
      <c r="C4059" s="18"/>
      <c r="D4059" s="18"/>
      <c r="E4059" s="10" t="str">
        <f>IF(B4059="","",IFERROR(INDEX(Harytlar!$C$5:$C$44,MATCH(B4059,Harytlar!$A$5:$A$44,0)),""))</f>
        <v/>
      </c>
      <c r="F4059" s="10" t="str">
        <f t="shared" si="63"/>
        <v/>
      </c>
      <c r="G4059" s="10" t="str">
        <f>IF(OR(C4059="",B4059=""),"",IFERROR(C4059*INDEX(Harytlar!$D$5:$D$44,MATCH(B4059,Harytlar!$A$5:$A$44,0)),""))</f>
        <v/>
      </c>
    </row>
    <row r="4060" spans="1:7" x14ac:dyDescent="0.3">
      <c r="A4060" s="17"/>
      <c r="B4060" s="18"/>
      <c r="C4060" s="18"/>
      <c r="D4060" s="18"/>
      <c r="E4060" s="10" t="str">
        <f>IF(B4060="","",IFERROR(INDEX(Harytlar!$C$5:$C$44,MATCH(B4060,Harytlar!$A$5:$A$44,0)),""))</f>
        <v/>
      </c>
      <c r="F4060" s="10" t="str">
        <f t="shared" si="63"/>
        <v/>
      </c>
      <c r="G4060" s="10" t="str">
        <f>IF(OR(C4060="",B4060=""),"",IFERROR(C4060*INDEX(Harytlar!$D$5:$D$44,MATCH(B4060,Harytlar!$A$5:$A$44,0)),""))</f>
        <v/>
      </c>
    </row>
    <row r="4061" spans="1:7" x14ac:dyDescent="0.3">
      <c r="A4061" s="17"/>
      <c r="B4061" s="18"/>
      <c r="C4061" s="18"/>
      <c r="D4061" s="18"/>
      <c r="E4061" s="10" t="str">
        <f>IF(B4061="","",IFERROR(INDEX(Harytlar!$C$5:$C$44,MATCH(B4061,Harytlar!$A$5:$A$44,0)),""))</f>
        <v/>
      </c>
      <c r="F4061" s="10" t="str">
        <f t="shared" si="63"/>
        <v/>
      </c>
      <c r="G4061" s="10" t="str">
        <f>IF(OR(C4061="",B4061=""),"",IFERROR(C4061*INDEX(Harytlar!$D$5:$D$44,MATCH(B4061,Harytlar!$A$5:$A$44,0)),""))</f>
        <v/>
      </c>
    </row>
    <row r="4062" spans="1:7" x14ac:dyDescent="0.3">
      <c r="A4062" s="17"/>
      <c r="B4062" s="18"/>
      <c r="C4062" s="18"/>
      <c r="D4062" s="18"/>
      <c r="E4062" s="10" t="str">
        <f>IF(B4062="","",IFERROR(INDEX(Harytlar!$C$5:$C$44,MATCH(B4062,Harytlar!$A$5:$A$44,0)),""))</f>
        <v/>
      </c>
      <c r="F4062" s="10" t="str">
        <f t="shared" si="63"/>
        <v/>
      </c>
      <c r="G4062" s="10" t="str">
        <f>IF(OR(C4062="",B4062=""),"",IFERROR(C4062*INDEX(Harytlar!$D$5:$D$44,MATCH(B4062,Harytlar!$A$5:$A$44,0)),""))</f>
        <v/>
      </c>
    </row>
    <row r="4063" spans="1:7" x14ac:dyDescent="0.3">
      <c r="A4063" s="17"/>
      <c r="B4063" s="18"/>
      <c r="C4063" s="18"/>
      <c r="D4063" s="18"/>
      <c r="E4063" s="10" t="str">
        <f>IF(B4063="","",IFERROR(INDEX(Harytlar!$C$5:$C$44,MATCH(B4063,Harytlar!$A$5:$A$44,0)),""))</f>
        <v/>
      </c>
      <c r="F4063" s="10" t="str">
        <f t="shared" si="63"/>
        <v/>
      </c>
      <c r="G4063" s="10" t="str">
        <f>IF(OR(C4063="",B4063=""),"",IFERROR(C4063*INDEX(Harytlar!$D$5:$D$44,MATCH(B4063,Harytlar!$A$5:$A$44,0)),""))</f>
        <v/>
      </c>
    </row>
    <row r="4064" spans="1:7" x14ac:dyDescent="0.3">
      <c r="A4064" s="17"/>
      <c r="B4064" s="18"/>
      <c r="C4064" s="18"/>
      <c r="D4064" s="18"/>
      <c r="E4064" s="10" t="str">
        <f>IF(B4064="","",IFERROR(INDEX(Harytlar!$C$5:$C$44,MATCH(B4064,Harytlar!$A$5:$A$44,0)),""))</f>
        <v/>
      </c>
      <c r="F4064" s="10" t="str">
        <f t="shared" si="63"/>
        <v/>
      </c>
      <c r="G4064" s="10" t="str">
        <f>IF(OR(C4064="",B4064=""),"",IFERROR(C4064*INDEX(Harytlar!$D$5:$D$44,MATCH(B4064,Harytlar!$A$5:$A$44,0)),""))</f>
        <v/>
      </c>
    </row>
    <row r="4065" spans="1:7" x14ac:dyDescent="0.3">
      <c r="A4065" s="17"/>
      <c r="B4065" s="18"/>
      <c r="C4065" s="18"/>
      <c r="D4065" s="18"/>
      <c r="E4065" s="10" t="str">
        <f>IF(B4065="","",IFERROR(INDEX(Harytlar!$C$5:$C$44,MATCH(B4065,Harytlar!$A$5:$A$44,0)),""))</f>
        <v/>
      </c>
      <c r="F4065" s="10" t="str">
        <f t="shared" si="63"/>
        <v/>
      </c>
      <c r="G4065" s="10" t="str">
        <f>IF(OR(C4065="",B4065=""),"",IFERROR(C4065*INDEX(Harytlar!$D$5:$D$44,MATCH(B4065,Harytlar!$A$5:$A$44,0)),""))</f>
        <v/>
      </c>
    </row>
    <row r="4066" spans="1:7" x14ac:dyDescent="0.3">
      <c r="A4066" s="17"/>
      <c r="B4066" s="18"/>
      <c r="C4066" s="18"/>
      <c r="D4066" s="18"/>
      <c r="E4066" s="10" t="str">
        <f>IF(B4066="","",IFERROR(INDEX(Harytlar!$C$5:$C$44,MATCH(B4066,Harytlar!$A$5:$A$44,0)),""))</f>
        <v/>
      </c>
      <c r="F4066" s="10" t="str">
        <f t="shared" si="63"/>
        <v/>
      </c>
      <c r="G4066" s="10" t="str">
        <f>IF(OR(C4066="",B4066=""),"",IFERROR(C4066*INDEX(Harytlar!$D$5:$D$44,MATCH(B4066,Harytlar!$A$5:$A$44,0)),""))</f>
        <v/>
      </c>
    </row>
    <row r="4067" spans="1:7" x14ac:dyDescent="0.3">
      <c r="A4067" s="17"/>
      <c r="B4067" s="18"/>
      <c r="C4067" s="18"/>
      <c r="D4067" s="18"/>
      <c r="E4067" s="10" t="str">
        <f>IF(B4067="","",IFERROR(INDEX(Harytlar!$C$5:$C$44,MATCH(B4067,Harytlar!$A$5:$A$44,0)),""))</f>
        <v/>
      </c>
      <c r="F4067" s="10" t="str">
        <f t="shared" si="63"/>
        <v/>
      </c>
      <c r="G4067" s="10" t="str">
        <f>IF(OR(C4067="",B4067=""),"",IFERROR(C4067*INDEX(Harytlar!$D$5:$D$44,MATCH(B4067,Harytlar!$A$5:$A$44,0)),""))</f>
        <v/>
      </c>
    </row>
    <row r="4068" spans="1:7" x14ac:dyDescent="0.3">
      <c r="A4068" s="17"/>
      <c r="B4068" s="18"/>
      <c r="C4068" s="18"/>
      <c r="D4068" s="18"/>
      <c r="E4068" s="10" t="str">
        <f>IF(B4068="","",IFERROR(INDEX(Harytlar!$C$5:$C$44,MATCH(B4068,Harytlar!$A$5:$A$44,0)),""))</f>
        <v/>
      </c>
      <c r="F4068" s="10" t="str">
        <f t="shared" si="63"/>
        <v/>
      </c>
      <c r="G4068" s="10" t="str">
        <f>IF(OR(C4068="",B4068=""),"",IFERROR(C4068*INDEX(Harytlar!$D$5:$D$44,MATCH(B4068,Harytlar!$A$5:$A$44,0)),""))</f>
        <v/>
      </c>
    </row>
    <row r="4069" spans="1:7" x14ac:dyDescent="0.3">
      <c r="A4069" s="17"/>
      <c r="B4069" s="18"/>
      <c r="C4069" s="18"/>
      <c r="D4069" s="18"/>
      <c r="E4069" s="10" t="str">
        <f>IF(B4069="","",IFERROR(INDEX(Harytlar!$C$5:$C$44,MATCH(B4069,Harytlar!$A$5:$A$44,0)),""))</f>
        <v/>
      </c>
      <c r="F4069" s="10" t="str">
        <f t="shared" si="63"/>
        <v/>
      </c>
      <c r="G4069" s="10" t="str">
        <f>IF(OR(C4069="",B4069=""),"",IFERROR(C4069*INDEX(Harytlar!$D$5:$D$44,MATCH(B4069,Harytlar!$A$5:$A$44,0)),""))</f>
        <v/>
      </c>
    </row>
    <row r="4070" spans="1:7" x14ac:dyDescent="0.3">
      <c r="A4070" s="17"/>
      <c r="B4070" s="18"/>
      <c r="C4070" s="18"/>
      <c r="D4070" s="18"/>
      <c r="E4070" s="10" t="str">
        <f>IF(B4070="","",IFERROR(INDEX(Harytlar!$C$5:$C$44,MATCH(B4070,Harytlar!$A$5:$A$44,0)),""))</f>
        <v/>
      </c>
      <c r="F4070" s="10" t="str">
        <f t="shared" si="63"/>
        <v/>
      </c>
      <c r="G4070" s="10" t="str">
        <f>IF(OR(C4070="",B4070=""),"",IFERROR(C4070*INDEX(Harytlar!$D$5:$D$44,MATCH(B4070,Harytlar!$A$5:$A$44,0)),""))</f>
        <v/>
      </c>
    </row>
    <row r="4071" spans="1:7" x14ac:dyDescent="0.3">
      <c r="A4071" s="17"/>
      <c r="B4071" s="18"/>
      <c r="C4071" s="18"/>
      <c r="D4071" s="18"/>
      <c r="E4071" s="10" t="str">
        <f>IF(B4071="","",IFERROR(INDEX(Harytlar!$C$5:$C$44,MATCH(B4071,Harytlar!$A$5:$A$44,0)),""))</f>
        <v/>
      </c>
      <c r="F4071" s="10" t="str">
        <f t="shared" si="63"/>
        <v/>
      </c>
      <c r="G4071" s="10" t="str">
        <f>IF(OR(C4071="",B4071=""),"",IFERROR(C4071*INDEX(Harytlar!$D$5:$D$44,MATCH(B4071,Harytlar!$A$5:$A$44,0)),""))</f>
        <v/>
      </c>
    </row>
    <row r="4072" spans="1:7" x14ac:dyDescent="0.3">
      <c r="A4072" s="17"/>
      <c r="B4072" s="18"/>
      <c r="C4072" s="18"/>
      <c r="D4072" s="18"/>
      <c r="E4072" s="10" t="str">
        <f>IF(B4072="","",IFERROR(INDEX(Harytlar!$C$5:$C$44,MATCH(B4072,Harytlar!$A$5:$A$44,0)),""))</f>
        <v/>
      </c>
      <c r="F4072" s="10" t="str">
        <f t="shared" si="63"/>
        <v/>
      </c>
      <c r="G4072" s="10" t="str">
        <f>IF(OR(C4072="",B4072=""),"",IFERROR(C4072*INDEX(Harytlar!$D$5:$D$44,MATCH(B4072,Harytlar!$A$5:$A$44,0)),""))</f>
        <v/>
      </c>
    </row>
    <row r="4073" spans="1:7" x14ac:dyDescent="0.3">
      <c r="A4073" s="17"/>
      <c r="B4073" s="18"/>
      <c r="C4073" s="18"/>
      <c r="D4073" s="18"/>
      <c r="E4073" s="10" t="str">
        <f>IF(B4073="","",IFERROR(INDEX(Harytlar!$C$5:$C$44,MATCH(B4073,Harytlar!$A$5:$A$44,0)),""))</f>
        <v/>
      </c>
      <c r="F4073" s="10" t="str">
        <f t="shared" si="63"/>
        <v/>
      </c>
      <c r="G4073" s="10" t="str">
        <f>IF(OR(C4073="",B4073=""),"",IFERROR(C4073*INDEX(Harytlar!$D$5:$D$44,MATCH(B4073,Harytlar!$A$5:$A$44,0)),""))</f>
        <v/>
      </c>
    </row>
    <row r="4074" spans="1:7" x14ac:dyDescent="0.3">
      <c r="A4074" s="17"/>
      <c r="B4074" s="18"/>
      <c r="C4074" s="18"/>
      <c r="D4074" s="18"/>
      <c r="E4074" s="10" t="str">
        <f>IF(B4074="","",IFERROR(INDEX(Harytlar!$C$5:$C$44,MATCH(B4074,Harytlar!$A$5:$A$44,0)),""))</f>
        <v/>
      </c>
      <c r="F4074" s="10" t="str">
        <f t="shared" si="63"/>
        <v/>
      </c>
      <c r="G4074" s="10" t="str">
        <f>IF(OR(C4074="",B4074=""),"",IFERROR(C4074*INDEX(Harytlar!$D$5:$D$44,MATCH(B4074,Harytlar!$A$5:$A$44,0)),""))</f>
        <v/>
      </c>
    </row>
    <row r="4075" spans="1:7" x14ac:dyDescent="0.3">
      <c r="A4075" s="17"/>
      <c r="B4075" s="18"/>
      <c r="C4075" s="18"/>
      <c r="D4075" s="18"/>
      <c r="E4075" s="10" t="str">
        <f>IF(B4075="","",IFERROR(INDEX(Harytlar!$C$5:$C$44,MATCH(B4075,Harytlar!$A$5:$A$44,0)),""))</f>
        <v/>
      </c>
      <c r="F4075" s="10" t="str">
        <f t="shared" si="63"/>
        <v/>
      </c>
      <c r="G4075" s="10" t="str">
        <f>IF(OR(C4075="",B4075=""),"",IFERROR(C4075*INDEX(Harytlar!$D$5:$D$44,MATCH(B4075,Harytlar!$A$5:$A$44,0)),""))</f>
        <v/>
      </c>
    </row>
    <row r="4076" spans="1:7" x14ac:dyDescent="0.3">
      <c r="A4076" s="17"/>
      <c r="B4076" s="18"/>
      <c r="C4076" s="18"/>
      <c r="D4076" s="18"/>
      <c r="E4076" s="10" t="str">
        <f>IF(B4076="","",IFERROR(INDEX(Harytlar!$C$5:$C$44,MATCH(B4076,Harytlar!$A$5:$A$44,0)),""))</f>
        <v/>
      </c>
      <c r="F4076" s="10" t="str">
        <f t="shared" si="63"/>
        <v/>
      </c>
      <c r="G4076" s="10" t="str">
        <f>IF(OR(C4076="",B4076=""),"",IFERROR(C4076*INDEX(Harytlar!$D$5:$D$44,MATCH(B4076,Harytlar!$A$5:$A$44,0)),""))</f>
        <v/>
      </c>
    </row>
    <row r="4077" spans="1:7" x14ac:dyDescent="0.3">
      <c r="A4077" s="17"/>
      <c r="B4077" s="18"/>
      <c r="C4077" s="18"/>
      <c r="D4077" s="18"/>
      <c r="E4077" s="10" t="str">
        <f>IF(B4077="","",IFERROR(INDEX(Harytlar!$C$5:$C$44,MATCH(B4077,Harytlar!$A$5:$A$44,0)),""))</f>
        <v/>
      </c>
      <c r="F4077" s="10" t="str">
        <f t="shared" si="63"/>
        <v/>
      </c>
      <c r="G4077" s="10" t="str">
        <f>IF(OR(C4077="",B4077=""),"",IFERROR(C4077*INDEX(Harytlar!$D$5:$D$44,MATCH(B4077,Harytlar!$A$5:$A$44,0)),""))</f>
        <v/>
      </c>
    </row>
    <row r="4078" spans="1:7" x14ac:dyDescent="0.3">
      <c r="A4078" s="17"/>
      <c r="B4078" s="18"/>
      <c r="C4078" s="18"/>
      <c r="D4078" s="18"/>
      <c r="E4078" s="10" t="str">
        <f>IF(B4078="","",IFERROR(INDEX(Harytlar!$C$5:$C$44,MATCH(B4078,Harytlar!$A$5:$A$44,0)),""))</f>
        <v/>
      </c>
      <c r="F4078" s="10" t="str">
        <f t="shared" si="63"/>
        <v/>
      </c>
      <c r="G4078" s="10" t="str">
        <f>IF(OR(C4078="",B4078=""),"",IFERROR(C4078*INDEX(Harytlar!$D$5:$D$44,MATCH(B4078,Harytlar!$A$5:$A$44,0)),""))</f>
        <v/>
      </c>
    </row>
    <row r="4079" spans="1:7" x14ac:dyDescent="0.3">
      <c r="A4079" s="17"/>
      <c r="B4079" s="18"/>
      <c r="C4079" s="18"/>
      <c r="D4079" s="18"/>
      <c r="E4079" s="10" t="str">
        <f>IF(B4079="","",IFERROR(INDEX(Harytlar!$C$5:$C$44,MATCH(B4079,Harytlar!$A$5:$A$44,0)),""))</f>
        <v/>
      </c>
      <c r="F4079" s="10" t="str">
        <f t="shared" si="63"/>
        <v/>
      </c>
      <c r="G4079" s="10" t="str">
        <f>IF(OR(C4079="",B4079=""),"",IFERROR(C4079*INDEX(Harytlar!$D$5:$D$44,MATCH(B4079,Harytlar!$A$5:$A$44,0)),""))</f>
        <v/>
      </c>
    </row>
    <row r="4080" spans="1:7" x14ac:dyDescent="0.3">
      <c r="A4080" s="17"/>
      <c r="B4080" s="18"/>
      <c r="C4080" s="18"/>
      <c r="D4080" s="18"/>
      <c r="E4080" s="10" t="str">
        <f>IF(B4080="","",IFERROR(INDEX(Harytlar!$C$5:$C$44,MATCH(B4080,Harytlar!$A$5:$A$44,0)),""))</f>
        <v/>
      </c>
      <c r="F4080" s="10" t="str">
        <f t="shared" si="63"/>
        <v/>
      </c>
      <c r="G4080" s="10" t="str">
        <f>IF(OR(C4080="",B4080=""),"",IFERROR(C4080*INDEX(Harytlar!$D$5:$D$44,MATCH(B4080,Harytlar!$A$5:$A$44,0)),""))</f>
        <v/>
      </c>
    </row>
    <row r="4081" spans="1:7" x14ac:dyDescent="0.3">
      <c r="A4081" s="17"/>
      <c r="B4081" s="18"/>
      <c r="C4081" s="18"/>
      <c r="D4081" s="18"/>
      <c r="E4081" s="10" t="str">
        <f>IF(B4081="","",IFERROR(INDEX(Harytlar!$C$5:$C$44,MATCH(B4081,Harytlar!$A$5:$A$44,0)),""))</f>
        <v/>
      </c>
      <c r="F4081" s="10" t="str">
        <f t="shared" si="63"/>
        <v/>
      </c>
      <c r="G4081" s="10" t="str">
        <f>IF(OR(C4081="",B4081=""),"",IFERROR(C4081*INDEX(Harytlar!$D$5:$D$44,MATCH(B4081,Harytlar!$A$5:$A$44,0)),""))</f>
        <v/>
      </c>
    </row>
    <row r="4082" spans="1:7" x14ac:dyDescent="0.3">
      <c r="A4082" s="17"/>
      <c r="B4082" s="18"/>
      <c r="C4082" s="18"/>
      <c r="D4082" s="18"/>
      <c r="E4082" s="10" t="str">
        <f>IF(B4082="","",IFERROR(INDEX(Harytlar!$C$5:$C$44,MATCH(B4082,Harytlar!$A$5:$A$44,0)),""))</f>
        <v/>
      </c>
      <c r="F4082" s="10" t="str">
        <f t="shared" si="63"/>
        <v/>
      </c>
      <c r="G4082" s="10" t="str">
        <f>IF(OR(C4082="",B4082=""),"",IFERROR(C4082*INDEX(Harytlar!$D$5:$D$44,MATCH(B4082,Harytlar!$A$5:$A$44,0)),""))</f>
        <v/>
      </c>
    </row>
    <row r="4083" spans="1:7" x14ac:dyDescent="0.3">
      <c r="A4083" s="17"/>
      <c r="B4083" s="18"/>
      <c r="C4083" s="18"/>
      <c r="D4083" s="18"/>
      <c r="E4083" s="10" t="str">
        <f>IF(B4083="","",IFERROR(INDEX(Harytlar!$C$5:$C$44,MATCH(B4083,Harytlar!$A$5:$A$44,0)),""))</f>
        <v/>
      </c>
      <c r="F4083" s="10" t="str">
        <f t="shared" si="63"/>
        <v/>
      </c>
      <c r="G4083" s="10" t="str">
        <f>IF(OR(C4083="",B4083=""),"",IFERROR(C4083*INDEX(Harytlar!$D$5:$D$44,MATCH(B4083,Harytlar!$A$5:$A$44,0)),""))</f>
        <v/>
      </c>
    </row>
    <row r="4084" spans="1:7" x14ac:dyDescent="0.3">
      <c r="A4084" s="17"/>
      <c r="B4084" s="18"/>
      <c r="C4084" s="18"/>
      <c r="D4084" s="18"/>
      <c r="E4084" s="10" t="str">
        <f>IF(B4084="","",IFERROR(INDEX(Harytlar!$C$5:$C$44,MATCH(B4084,Harytlar!$A$5:$A$44,0)),""))</f>
        <v/>
      </c>
      <c r="F4084" s="10" t="str">
        <f t="shared" si="63"/>
        <v/>
      </c>
      <c r="G4084" s="10" t="str">
        <f>IF(OR(C4084="",B4084=""),"",IFERROR(C4084*INDEX(Harytlar!$D$5:$D$44,MATCH(B4084,Harytlar!$A$5:$A$44,0)),""))</f>
        <v/>
      </c>
    </row>
    <row r="4085" spans="1:7" x14ac:dyDescent="0.3">
      <c r="A4085" s="17"/>
      <c r="B4085" s="18"/>
      <c r="C4085" s="18"/>
      <c r="D4085" s="18"/>
      <c r="E4085" s="10" t="str">
        <f>IF(B4085="","",IFERROR(INDEX(Harytlar!$C$5:$C$44,MATCH(B4085,Harytlar!$A$5:$A$44,0)),""))</f>
        <v/>
      </c>
      <c r="F4085" s="10" t="str">
        <f t="shared" si="63"/>
        <v/>
      </c>
      <c r="G4085" s="10" t="str">
        <f>IF(OR(C4085="",B4085=""),"",IFERROR(C4085*INDEX(Harytlar!$D$5:$D$44,MATCH(B4085,Harytlar!$A$5:$A$44,0)),""))</f>
        <v/>
      </c>
    </row>
    <row r="4086" spans="1:7" x14ac:dyDescent="0.3">
      <c r="A4086" s="17"/>
      <c r="B4086" s="18"/>
      <c r="C4086" s="18"/>
      <c r="D4086" s="18"/>
      <c r="E4086" s="10" t="str">
        <f>IF(B4086="","",IFERROR(INDEX(Harytlar!$C$5:$C$44,MATCH(B4086,Harytlar!$A$5:$A$44,0)),""))</f>
        <v/>
      </c>
      <c r="F4086" s="10" t="str">
        <f t="shared" si="63"/>
        <v/>
      </c>
      <c r="G4086" s="10" t="str">
        <f>IF(OR(C4086="",B4086=""),"",IFERROR(C4086*INDEX(Harytlar!$D$5:$D$44,MATCH(B4086,Harytlar!$A$5:$A$44,0)),""))</f>
        <v/>
      </c>
    </row>
    <row r="4087" spans="1:7" x14ac:dyDescent="0.3">
      <c r="A4087" s="17"/>
      <c r="B4087" s="18"/>
      <c r="C4087" s="18"/>
      <c r="D4087" s="18"/>
      <c r="E4087" s="10" t="str">
        <f>IF(B4087="","",IFERROR(INDEX(Harytlar!$C$5:$C$44,MATCH(B4087,Harytlar!$A$5:$A$44,0)),""))</f>
        <v/>
      </c>
      <c r="F4087" s="10" t="str">
        <f t="shared" si="63"/>
        <v/>
      </c>
      <c r="G4087" s="10" t="str">
        <f>IF(OR(C4087="",B4087=""),"",IFERROR(C4087*INDEX(Harytlar!$D$5:$D$44,MATCH(B4087,Harytlar!$A$5:$A$44,0)),""))</f>
        <v/>
      </c>
    </row>
    <row r="4088" spans="1:7" x14ac:dyDescent="0.3">
      <c r="A4088" s="17"/>
      <c r="B4088" s="18"/>
      <c r="C4088" s="18"/>
      <c r="D4088" s="18"/>
      <c r="E4088" s="10" t="str">
        <f>IF(B4088="","",IFERROR(INDEX(Harytlar!$C$5:$C$44,MATCH(B4088,Harytlar!$A$5:$A$44,0)),""))</f>
        <v/>
      </c>
      <c r="F4088" s="10" t="str">
        <f t="shared" si="63"/>
        <v/>
      </c>
      <c r="G4088" s="10" t="str">
        <f>IF(OR(C4088="",B4088=""),"",IFERROR(C4088*INDEX(Harytlar!$D$5:$D$44,MATCH(B4088,Harytlar!$A$5:$A$44,0)),""))</f>
        <v/>
      </c>
    </row>
    <row r="4089" spans="1:7" x14ac:dyDescent="0.3">
      <c r="A4089" s="17"/>
      <c r="B4089" s="18"/>
      <c r="C4089" s="18"/>
      <c r="D4089" s="18"/>
      <c r="E4089" s="10" t="str">
        <f>IF(B4089="","",IFERROR(INDEX(Harytlar!$C$5:$C$44,MATCH(B4089,Harytlar!$A$5:$A$44,0)),""))</f>
        <v/>
      </c>
      <c r="F4089" s="10" t="str">
        <f t="shared" si="63"/>
        <v/>
      </c>
      <c r="G4089" s="10" t="str">
        <f>IF(OR(C4089="",B4089=""),"",IFERROR(C4089*INDEX(Harytlar!$D$5:$D$44,MATCH(B4089,Harytlar!$A$5:$A$44,0)),""))</f>
        <v/>
      </c>
    </row>
    <row r="4090" spans="1:7" x14ac:dyDescent="0.3">
      <c r="A4090" s="17"/>
      <c r="B4090" s="18"/>
      <c r="C4090" s="18"/>
      <c r="D4090" s="18"/>
      <c r="E4090" s="10" t="str">
        <f>IF(B4090="","",IFERROR(INDEX(Harytlar!$C$5:$C$44,MATCH(B4090,Harytlar!$A$5:$A$44,0)),""))</f>
        <v/>
      </c>
      <c r="F4090" s="10" t="str">
        <f t="shared" si="63"/>
        <v/>
      </c>
      <c r="G4090" s="10" t="str">
        <f>IF(OR(C4090="",B4090=""),"",IFERROR(C4090*INDEX(Harytlar!$D$5:$D$44,MATCH(B4090,Harytlar!$A$5:$A$44,0)),""))</f>
        <v/>
      </c>
    </row>
    <row r="4091" spans="1:7" x14ac:dyDescent="0.3">
      <c r="A4091" s="17"/>
      <c r="B4091" s="18"/>
      <c r="C4091" s="18"/>
      <c r="D4091" s="18"/>
      <c r="E4091" s="10" t="str">
        <f>IF(B4091="","",IFERROR(INDEX(Harytlar!$C$5:$C$44,MATCH(B4091,Harytlar!$A$5:$A$44,0)),""))</f>
        <v/>
      </c>
      <c r="F4091" s="10" t="str">
        <f t="shared" si="63"/>
        <v/>
      </c>
      <c r="G4091" s="10" t="str">
        <f>IF(OR(C4091="",B4091=""),"",IFERROR(C4091*INDEX(Harytlar!$D$5:$D$44,MATCH(B4091,Harytlar!$A$5:$A$44,0)),""))</f>
        <v/>
      </c>
    </row>
    <row r="4092" spans="1:7" x14ac:dyDescent="0.3">
      <c r="A4092" s="17"/>
      <c r="B4092" s="18"/>
      <c r="C4092" s="18"/>
      <c r="D4092" s="18"/>
      <c r="E4092" s="10" t="str">
        <f>IF(B4092="","",IFERROR(INDEX(Harytlar!$C$5:$C$44,MATCH(B4092,Harytlar!$A$5:$A$44,0)),""))</f>
        <v/>
      </c>
      <c r="F4092" s="10" t="str">
        <f t="shared" si="63"/>
        <v/>
      </c>
      <c r="G4092" s="10" t="str">
        <f>IF(OR(C4092="",B4092=""),"",IFERROR(C4092*INDEX(Harytlar!$D$5:$D$44,MATCH(B4092,Harytlar!$A$5:$A$44,0)),""))</f>
        <v/>
      </c>
    </row>
    <row r="4093" spans="1:7" x14ac:dyDescent="0.3">
      <c r="A4093" s="17"/>
      <c r="B4093" s="18"/>
      <c r="C4093" s="18"/>
      <c r="D4093" s="18"/>
      <c r="E4093" s="10" t="str">
        <f>IF(B4093="","",IFERROR(INDEX(Harytlar!$C$5:$C$44,MATCH(B4093,Harytlar!$A$5:$A$44,0)),""))</f>
        <v/>
      </c>
      <c r="F4093" s="10" t="str">
        <f t="shared" si="63"/>
        <v/>
      </c>
      <c r="G4093" s="10" t="str">
        <f>IF(OR(C4093="",B4093=""),"",IFERROR(C4093*INDEX(Harytlar!$D$5:$D$44,MATCH(B4093,Harytlar!$A$5:$A$44,0)),""))</f>
        <v/>
      </c>
    </row>
    <row r="4094" spans="1:7" x14ac:dyDescent="0.3">
      <c r="A4094" s="17"/>
      <c r="B4094" s="18"/>
      <c r="C4094" s="18"/>
      <c r="D4094" s="18"/>
      <c r="E4094" s="10" t="str">
        <f>IF(B4094="","",IFERROR(INDEX(Harytlar!$C$5:$C$44,MATCH(B4094,Harytlar!$A$5:$A$44,0)),""))</f>
        <v/>
      </c>
      <c r="F4094" s="10" t="str">
        <f t="shared" si="63"/>
        <v/>
      </c>
      <c r="G4094" s="10" t="str">
        <f>IF(OR(C4094="",B4094=""),"",IFERROR(C4094*INDEX(Harytlar!$D$5:$D$44,MATCH(B4094,Harytlar!$A$5:$A$44,0)),""))</f>
        <v/>
      </c>
    </row>
    <row r="4095" spans="1:7" x14ac:dyDescent="0.3">
      <c r="A4095" s="17"/>
      <c r="B4095" s="18"/>
      <c r="C4095" s="18"/>
      <c r="D4095" s="18"/>
      <c r="E4095" s="10" t="str">
        <f>IF(B4095="","",IFERROR(INDEX(Harytlar!$C$5:$C$44,MATCH(B4095,Harytlar!$A$5:$A$44,0)),""))</f>
        <v/>
      </c>
      <c r="F4095" s="10" t="str">
        <f t="shared" si="63"/>
        <v/>
      </c>
      <c r="G4095" s="10" t="str">
        <f>IF(OR(C4095="",B4095=""),"",IFERROR(C4095*INDEX(Harytlar!$D$5:$D$44,MATCH(B4095,Harytlar!$A$5:$A$44,0)),""))</f>
        <v/>
      </c>
    </row>
    <row r="4096" spans="1:7" x14ac:dyDescent="0.3">
      <c r="A4096" s="17"/>
      <c r="B4096" s="18"/>
      <c r="C4096" s="18"/>
      <c r="D4096" s="18"/>
      <c r="E4096" s="10" t="str">
        <f>IF(B4096="","",IFERROR(INDEX(Harytlar!$C$5:$C$44,MATCH(B4096,Harytlar!$A$5:$A$44,0)),""))</f>
        <v/>
      </c>
      <c r="F4096" s="10" t="str">
        <f t="shared" si="63"/>
        <v/>
      </c>
      <c r="G4096" s="10" t="str">
        <f>IF(OR(C4096="",B4096=""),"",IFERROR(C4096*INDEX(Harytlar!$D$5:$D$44,MATCH(B4096,Harytlar!$A$5:$A$44,0)),""))</f>
        <v/>
      </c>
    </row>
    <row r="4097" spans="1:7" x14ac:dyDescent="0.3">
      <c r="A4097" s="17"/>
      <c r="B4097" s="18"/>
      <c r="C4097" s="18"/>
      <c r="D4097" s="18"/>
      <c r="E4097" s="10" t="str">
        <f>IF(B4097="","",IFERROR(INDEX(Harytlar!$C$5:$C$44,MATCH(B4097,Harytlar!$A$5:$A$44,0)),""))</f>
        <v/>
      </c>
      <c r="F4097" s="10" t="str">
        <f t="shared" si="63"/>
        <v/>
      </c>
      <c r="G4097" s="10" t="str">
        <f>IF(OR(C4097="",B4097=""),"",IFERROR(C4097*INDEX(Harytlar!$D$5:$D$44,MATCH(B4097,Harytlar!$A$5:$A$44,0)),""))</f>
        <v/>
      </c>
    </row>
    <row r="4098" spans="1:7" x14ac:dyDescent="0.3">
      <c r="A4098" s="17"/>
      <c r="B4098" s="18"/>
      <c r="C4098" s="18"/>
      <c r="D4098" s="18"/>
      <c r="E4098" s="10" t="str">
        <f>IF(B4098="","",IFERROR(INDEX(Harytlar!$C$5:$C$44,MATCH(B4098,Harytlar!$A$5:$A$44,0)),""))</f>
        <v/>
      </c>
      <c r="F4098" s="10" t="str">
        <f t="shared" si="63"/>
        <v/>
      </c>
      <c r="G4098" s="10" t="str">
        <f>IF(OR(C4098="",B4098=""),"",IFERROR(C4098*INDEX(Harytlar!$D$5:$D$44,MATCH(B4098,Harytlar!$A$5:$A$44,0)),""))</f>
        <v/>
      </c>
    </row>
    <row r="4099" spans="1:7" x14ac:dyDescent="0.3">
      <c r="A4099" s="17"/>
      <c r="B4099" s="18"/>
      <c r="C4099" s="18"/>
      <c r="D4099" s="18"/>
      <c r="E4099" s="10" t="str">
        <f>IF(B4099="","",IFERROR(INDEX(Harytlar!$C$5:$C$44,MATCH(B4099,Harytlar!$A$5:$A$44,0)),""))</f>
        <v/>
      </c>
      <c r="F4099" s="10" t="str">
        <f t="shared" si="63"/>
        <v/>
      </c>
      <c r="G4099" s="10" t="str">
        <f>IF(OR(C4099="",B4099=""),"",IFERROR(C4099*INDEX(Harytlar!$D$5:$D$44,MATCH(B4099,Harytlar!$A$5:$A$44,0)),""))</f>
        <v/>
      </c>
    </row>
    <row r="4100" spans="1:7" x14ac:dyDescent="0.3">
      <c r="A4100" s="17"/>
      <c r="B4100" s="18"/>
      <c r="C4100" s="18"/>
      <c r="D4100" s="18"/>
      <c r="E4100" s="10" t="str">
        <f>IF(B4100="","",IFERROR(INDEX(Harytlar!$C$5:$C$44,MATCH(B4100,Harytlar!$A$5:$A$44,0)),""))</f>
        <v/>
      </c>
      <c r="F4100" s="10" t="str">
        <f t="shared" si="63"/>
        <v/>
      </c>
      <c r="G4100" s="10" t="str">
        <f>IF(OR(C4100="",B4100=""),"",IFERROR(C4100*INDEX(Harytlar!$D$5:$D$44,MATCH(B4100,Harytlar!$A$5:$A$44,0)),""))</f>
        <v/>
      </c>
    </row>
    <row r="4101" spans="1:7" x14ac:dyDescent="0.3">
      <c r="A4101" s="17"/>
      <c r="B4101" s="18"/>
      <c r="C4101" s="18"/>
      <c r="D4101" s="18"/>
      <c r="E4101" s="10" t="str">
        <f>IF(B4101="","",IFERROR(INDEX(Harytlar!$C$5:$C$44,MATCH(B4101,Harytlar!$A$5:$A$44,0)),""))</f>
        <v/>
      </c>
      <c r="F4101" s="10" t="str">
        <f t="shared" si="63"/>
        <v/>
      </c>
      <c r="G4101" s="10" t="str">
        <f>IF(OR(C4101="",B4101=""),"",IFERROR(C4101*INDEX(Harytlar!$D$5:$D$44,MATCH(B4101,Harytlar!$A$5:$A$44,0)),""))</f>
        <v/>
      </c>
    </row>
    <row r="4102" spans="1:7" x14ac:dyDescent="0.3">
      <c r="A4102" s="17"/>
      <c r="B4102" s="18"/>
      <c r="C4102" s="18"/>
      <c r="D4102" s="18"/>
      <c r="E4102" s="10" t="str">
        <f>IF(B4102="","",IFERROR(INDEX(Harytlar!$C$5:$C$44,MATCH(B4102,Harytlar!$A$5:$A$44,0)),""))</f>
        <v/>
      </c>
      <c r="F4102" s="10" t="str">
        <f t="shared" ref="F4102:F4165" si="64">IF(OR(C4102="",E4102=""),"",C4102*E4102)</f>
        <v/>
      </c>
      <c r="G4102" s="10" t="str">
        <f>IF(OR(C4102="",B4102=""),"",IFERROR(C4102*INDEX(Harytlar!$D$5:$D$44,MATCH(B4102,Harytlar!$A$5:$A$44,0)),""))</f>
        <v/>
      </c>
    </row>
    <row r="4103" spans="1:7" x14ac:dyDescent="0.3">
      <c r="A4103" s="17"/>
      <c r="B4103" s="18"/>
      <c r="C4103" s="18"/>
      <c r="D4103" s="18"/>
      <c r="E4103" s="10" t="str">
        <f>IF(B4103="","",IFERROR(INDEX(Harytlar!$C$5:$C$44,MATCH(B4103,Harytlar!$A$5:$A$44,0)),""))</f>
        <v/>
      </c>
      <c r="F4103" s="10" t="str">
        <f t="shared" si="64"/>
        <v/>
      </c>
      <c r="G4103" s="10" t="str">
        <f>IF(OR(C4103="",B4103=""),"",IFERROR(C4103*INDEX(Harytlar!$D$5:$D$44,MATCH(B4103,Harytlar!$A$5:$A$44,0)),""))</f>
        <v/>
      </c>
    </row>
    <row r="4104" spans="1:7" x14ac:dyDescent="0.3">
      <c r="A4104" s="17"/>
      <c r="B4104" s="18"/>
      <c r="C4104" s="18"/>
      <c r="D4104" s="18"/>
      <c r="E4104" s="10" t="str">
        <f>IF(B4104="","",IFERROR(INDEX(Harytlar!$C$5:$C$44,MATCH(B4104,Harytlar!$A$5:$A$44,0)),""))</f>
        <v/>
      </c>
      <c r="F4104" s="10" t="str">
        <f t="shared" si="64"/>
        <v/>
      </c>
      <c r="G4104" s="10" t="str">
        <f>IF(OR(C4104="",B4104=""),"",IFERROR(C4104*INDEX(Harytlar!$D$5:$D$44,MATCH(B4104,Harytlar!$A$5:$A$44,0)),""))</f>
        <v/>
      </c>
    </row>
    <row r="4105" spans="1:7" x14ac:dyDescent="0.3">
      <c r="A4105" s="17"/>
      <c r="B4105" s="18"/>
      <c r="C4105" s="18"/>
      <c r="D4105" s="18"/>
      <c r="E4105" s="10" t="str">
        <f>IF(B4105="","",IFERROR(INDEX(Harytlar!$C$5:$C$44,MATCH(B4105,Harytlar!$A$5:$A$44,0)),""))</f>
        <v/>
      </c>
      <c r="F4105" s="10" t="str">
        <f t="shared" si="64"/>
        <v/>
      </c>
      <c r="G4105" s="10" t="str">
        <f>IF(OR(C4105="",B4105=""),"",IFERROR(C4105*INDEX(Harytlar!$D$5:$D$44,MATCH(B4105,Harytlar!$A$5:$A$44,0)),""))</f>
        <v/>
      </c>
    </row>
    <row r="4106" spans="1:7" x14ac:dyDescent="0.3">
      <c r="A4106" s="17"/>
      <c r="B4106" s="18"/>
      <c r="C4106" s="18"/>
      <c r="D4106" s="18"/>
      <c r="E4106" s="10" t="str">
        <f>IF(B4106="","",IFERROR(INDEX(Harytlar!$C$5:$C$44,MATCH(B4106,Harytlar!$A$5:$A$44,0)),""))</f>
        <v/>
      </c>
      <c r="F4106" s="10" t="str">
        <f t="shared" si="64"/>
        <v/>
      </c>
      <c r="G4106" s="10" t="str">
        <f>IF(OR(C4106="",B4106=""),"",IFERROR(C4106*INDEX(Harytlar!$D$5:$D$44,MATCH(B4106,Harytlar!$A$5:$A$44,0)),""))</f>
        <v/>
      </c>
    </row>
    <row r="4107" spans="1:7" x14ac:dyDescent="0.3">
      <c r="A4107" s="17"/>
      <c r="B4107" s="18"/>
      <c r="C4107" s="18"/>
      <c r="D4107" s="18"/>
      <c r="E4107" s="10" t="str">
        <f>IF(B4107="","",IFERROR(INDEX(Harytlar!$C$5:$C$44,MATCH(B4107,Harytlar!$A$5:$A$44,0)),""))</f>
        <v/>
      </c>
      <c r="F4107" s="10" t="str">
        <f t="shared" si="64"/>
        <v/>
      </c>
      <c r="G4107" s="10" t="str">
        <f>IF(OR(C4107="",B4107=""),"",IFERROR(C4107*INDEX(Harytlar!$D$5:$D$44,MATCH(B4107,Harytlar!$A$5:$A$44,0)),""))</f>
        <v/>
      </c>
    </row>
    <row r="4108" spans="1:7" x14ac:dyDescent="0.3">
      <c r="A4108" s="17"/>
      <c r="B4108" s="18"/>
      <c r="C4108" s="18"/>
      <c r="D4108" s="18"/>
      <c r="E4108" s="10" t="str">
        <f>IF(B4108="","",IFERROR(INDEX(Harytlar!$C$5:$C$44,MATCH(B4108,Harytlar!$A$5:$A$44,0)),""))</f>
        <v/>
      </c>
      <c r="F4108" s="10" t="str">
        <f t="shared" si="64"/>
        <v/>
      </c>
      <c r="G4108" s="10" t="str">
        <f>IF(OR(C4108="",B4108=""),"",IFERROR(C4108*INDEX(Harytlar!$D$5:$D$44,MATCH(B4108,Harytlar!$A$5:$A$44,0)),""))</f>
        <v/>
      </c>
    </row>
    <row r="4109" spans="1:7" x14ac:dyDescent="0.3">
      <c r="A4109" s="17"/>
      <c r="B4109" s="18"/>
      <c r="C4109" s="18"/>
      <c r="D4109" s="18"/>
      <c r="E4109" s="10" t="str">
        <f>IF(B4109="","",IFERROR(INDEX(Harytlar!$C$5:$C$44,MATCH(B4109,Harytlar!$A$5:$A$44,0)),""))</f>
        <v/>
      </c>
      <c r="F4109" s="10" t="str">
        <f t="shared" si="64"/>
        <v/>
      </c>
      <c r="G4109" s="10" t="str">
        <f>IF(OR(C4109="",B4109=""),"",IFERROR(C4109*INDEX(Harytlar!$D$5:$D$44,MATCH(B4109,Harytlar!$A$5:$A$44,0)),""))</f>
        <v/>
      </c>
    </row>
    <row r="4110" spans="1:7" x14ac:dyDescent="0.3">
      <c r="A4110" s="17"/>
      <c r="B4110" s="18"/>
      <c r="C4110" s="18"/>
      <c r="D4110" s="18"/>
      <c r="E4110" s="10" t="str">
        <f>IF(B4110="","",IFERROR(INDEX(Harytlar!$C$5:$C$44,MATCH(B4110,Harytlar!$A$5:$A$44,0)),""))</f>
        <v/>
      </c>
      <c r="F4110" s="10" t="str">
        <f t="shared" si="64"/>
        <v/>
      </c>
      <c r="G4110" s="10" t="str">
        <f>IF(OR(C4110="",B4110=""),"",IFERROR(C4110*INDEX(Harytlar!$D$5:$D$44,MATCH(B4110,Harytlar!$A$5:$A$44,0)),""))</f>
        <v/>
      </c>
    </row>
    <row r="4111" spans="1:7" x14ac:dyDescent="0.3">
      <c r="A4111" s="17"/>
      <c r="B4111" s="18"/>
      <c r="C4111" s="18"/>
      <c r="D4111" s="18"/>
      <c r="E4111" s="10" t="str">
        <f>IF(B4111="","",IFERROR(INDEX(Harytlar!$C$5:$C$44,MATCH(B4111,Harytlar!$A$5:$A$44,0)),""))</f>
        <v/>
      </c>
      <c r="F4111" s="10" t="str">
        <f t="shared" si="64"/>
        <v/>
      </c>
      <c r="G4111" s="10" t="str">
        <f>IF(OR(C4111="",B4111=""),"",IFERROR(C4111*INDEX(Harytlar!$D$5:$D$44,MATCH(B4111,Harytlar!$A$5:$A$44,0)),""))</f>
        <v/>
      </c>
    </row>
    <row r="4112" spans="1:7" x14ac:dyDescent="0.3">
      <c r="A4112" s="17"/>
      <c r="B4112" s="18"/>
      <c r="C4112" s="18"/>
      <c r="D4112" s="18"/>
      <c r="E4112" s="10" t="str">
        <f>IF(B4112="","",IFERROR(INDEX(Harytlar!$C$5:$C$44,MATCH(B4112,Harytlar!$A$5:$A$44,0)),""))</f>
        <v/>
      </c>
      <c r="F4112" s="10" t="str">
        <f t="shared" si="64"/>
        <v/>
      </c>
      <c r="G4112" s="10" t="str">
        <f>IF(OR(C4112="",B4112=""),"",IFERROR(C4112*INDEX(Harytlar!$D$5:$D$44,MATCH(B4112,Harytlar!$A$5:$A$44,0)),""))</f>
        <v/>
      </c>
    </row>
    <row r="4113" spans="1:7" x14ac:dyDescent="0.3">
      <c r="A4113" s="17"/>
      <c r="B4113" s="18"/>
      <c r="C4113" s="18"/>
      <c r="D4113" s="18"/>
      <c r="E4113" s="10" t="str">
        <f>IF(B4113="","",IFERROR(INDEX(Harytlar!$C$5:$C$44,MATCH(B4113,Harytlar!$A$5:$A$44,0)),""))</f>
        <v/>
      </c>
      <c r="F4113" s="10" t="str">
        <f t="shared" si="64"/>
        <v/>
      </c>
      <c r="G4113" s="10" t="str">
        <f>IF(OR(C4113="",B4113=""),"",IFERROR(C4113*INDEX(Harytlar!$D$5:$D$44,MATCH(B4113,Harytlar!$A$5:$A$44,0)),""))</f>
        <v/>
      </c>
    </row>
    <row r="4114" spans="1:7" x14ac:dyDescent="0.3">
      <c r="A4114" s="17"/>
      <c r="B4114" s="18"/>
      <c r="C4114" s="18"/>
      <c r="D4114" s="18"/>
      <c r="E4114" s="10" t="str">
        <f>IF(B4114="","",IFERROR(INDEX(Harytlar!$C$5:$C$44,MATCH(B4114,Harytlar!$A$5:$A$44,0)),""))</f>
        <v/>
      </c>
      <c r="F4114" s="10" t="str">
        <f t="shared" si="64"/>
        <v/>
      </c>
      <c r="G4114" s="10" t="str">
        <f>IF(OR(C4114="",B4114=""),"",IFERROR(C4114*INDEX(Harytlar!$D$5:$D$44,MATCH(B4114,Harytlar!$A$5:$A$44,0)),""))</f>
        <v/>
      </c>
    </row>
    <row r="4115" spans="1:7" x14ac:dyDescent="0.3">
      <c r="A4115" s="17"/>
      <c r="B4115" s="18"/>
      <c r="C4115" s="18"/>
      <c r="D4115" s="18"/>
      <c r="E4115" s="10" t="str">
        <f>IF(B4115="","",IFERROR(INDEX(Harytlar!$C$5:$C$44,MATCH(B4115,Harytlar!$A$5:$A$44,0)),""))</f>
        <v/>
      </c>
      <c r="F4115" s="10" t="str">
        <f t="shared" si="64"/>
        <v/>
      </c>
      <c r="G4115" s="10" t="str">
        <f>IF(OR(C4115="",B4115=""),"",IFERROR(C4115*INDEX(Harytlar!$D$5:$D$44,MATCH(B4115,Harytlar!$A$5:$A$44,0)),""))</f>
        <v/>
      </c>
    </row>
    <row r="4116" spans="1:7" x14ac:dyDescent="0.3">
      <c r="A4116" s="17"/>
      <c r="B4116" s="18"/>
      <c r="C4116" s="18"/>
      <c r="D4116" s="18"/>
      <c r="E4116" s="10" t="str">
        <f>IF(B4116="","",IFERROR(INDEX(Harytlar!$C$5:$C$44,MATCH(B4116,Harytlar!$A$5:$A$44,0)),""))</f>
        <v/>
      </c>
      <c r="F4116" s="10" t="str">
        <f t="shared" si="64"/>
        <v/>
      </c>
      <c r="G4116" s="10" t="str">
        <f>IF(OR(C4116="",B4116=""),"",IFERROR(C4116*INDEX(Harytlar!$D$5:$D$44,MATCH(B4116,Harytlar!$A$5:$A$44,0)),""))</f>
        <v/>
      </c>
    </row>
    <row r="4117" spans="1:7" x14ac:dyDescent="0.3">
      <c r="A4117" s="17"/>
      <c r="B4117" s="18"/>
      <c r="C4117" s="18"/>
      <c r="D4117" s="18"/>
      <c r="E4117" s="10" t="str">
        <f>IF(B4117="","",IFERROR(INDEX(Harytlar!$C$5:$C$44,MATCH(B4117,Harytlar!$A$5:$A$44,0)),""))</f>
        <v/>
      </c>
      <c r="F4117" s="10" t="str">
        <f t="shared" si="64"/>
        <v/>
      </c>
      <c r="G4117" s="10" t="str">
        <f>IF(OR(C4117="",B4117=""),"",IFERROR(C4117*INDEX(Harytlar!$D$5:$D$44,MATCH(B4117,Harytlar!$A$5:$A$44,0)),""))</f>
        <v/>
      </c>
    </row>
    <row r="4118" spans="1:7" x14ac:dyDescent="0.3">
      <c r="A4118" s="17"/>
      <c r="B4118" s="18"/>
      <c r="C4118" s="18"/>
      <c r="D4118" s="18"/>
      <c r="E4118" s="10" t="str">
        <f>IF(B4118="","",IFERROR(INDEX(Harytlar!$C$5:$C$44,MATCH(B4118,Harytlar!$A$5:$A$44,0)),""))</f>
        <v/>
      </c>
      <c r="F4118" s="10" t="str">
        <f t="shared" si="64"/>
        <v/>
      </c>
      <c r="G4118" s="10" t="str">
        <f>IF(OR(C4118="",B4118=""),"",IFERROR(C4118*INDEX(Harytlar!$D$5:$D$44,MATCH(B4118,Harytlar!$A$5:$A$44,0)),""))</f>
        <v/>
      </c>
    </row>
    <row r="4119" spans="1:7" x14ac:dyDescent="0.3">
      <c r="A4119" s="17"/>
      <c r="B4119" s="18"/>
      <c r="C4119" s="18"/>
      <c r="D4119" s="18"/>
      <c r="E4119" s="10" t="str">
        <f>IF(B4119="","",IFERROR(INDEX(Harytlar!$C$5:$C$44,MATCH(B4119,Harytlar!$A$5:$A$44,0)),""))</f>
        <v/>
      </c>
      <c r="F4119" s="10" t="str">
        <f t="shared" si="64"/>
        <v/>
      </c>
      <c r="G4119" s="10" t="str">
        <f>IF(OR(C4119="",B4119=""),"",IFERROR(C4119*INDEX(Harytlar!$D$5:$D$44,MATCH(B4119,Harytlar!$A$5:$A$44,0)),""))</f>
        <v/>
      </c>
    </row>
    <row r="4120" spans="1:7" x14ac:dyDescent="0.3">
      <c r="A4120" s="17"/>
      <c r="B4120" s="18"/>
      <c r="C4120" s="18"/>
      <c r="D4120" s="18"/>
      <c r="E4120" s="10" t="str">
        <f>IF(B4120="","",IFERROR(INDEX(Harytlar!$C$5:$C$44,MATCH(B4120,Harytlar!$A$5:$A$44,0)),""))</f>
        <v/>
      </c>
      <c r="F4120" s="10" t="str">
        <f t="shared" si="64"/>
        <v/>
      </c>
      <c r="G4120" s="10" t="str">
        <f>IF(OR(C4120="",B4120=""),"",IFERROR(C4120*INDEX(Harytlar!$D$5:$D$44,MATCH(B4120,Harytlar!$A$5:$A$44,0)),""))</f>
        <v/>
      </c>
    </row>
    <row r="4121" spans="1:7" x14ac:dyDescent="0.3">
      <c r="A4121" s="17"/>
      <c r="B4121" s="18"/>
      <c r="C4121" s="18"/>
      <c r="D4121" s="18"/>
      <c r="E4121" s="10" t="str">
        <f>IF(B4121="","",IFERROR(INDEX(Harytlar!$C$5:$C$44,MATCH(B4121,Harytlar!$A$5:$A$44,0)),""))</f>
        <v/>
      </c>
      <c r="F4121" s="10" t="str">
        <f t="shared" si="64"/>
        <v/>
      </c>
      <c r="G4121" s="10" t="str">
        <f>IF(OR(C4121="",B4121=""),"",IFERROR(C4121*INDEX(Harytlar!$D$5:$D$44,MATCH(B4121,Harytlar!$A$5:$A$44,0)),""))</f>
        <v/>
      </c>
    </row>
    <row r="4122" spans="1:7" x14ac:dyDescent="0.3">
      <c r="A4122" s="17"/>
      <c r="B4122" s="18"/>
      <c r="C4122" s="18"/>
      <c r="D4122" s="18"/>
      <c r="E4122" s="10" t="str">
        <f>IF(B4122="","",IFERROR(INDEX(Harytlar!$C$5:$C$44,MATCH(B4122,Harytlar!$A$5:$A$44,0)),""))</f>
        <v/>
      </c>
      <c r="F4122" s="10" t="str">
        <f t="shared" si="64"/>
        <v/>
      </c>
      <c r="G4122" s="10" t="str">
        <f>IF(OR(C4122="",B4122=""),"",IFERROR(C4122*INDEX(Harytlar!$D$5:$D$44,MATCH(B4122,Harytlar!$A$5:$A$44,0)),""))</f>
        <v/>
      </c>
    </row>
    <row r="4123" spans="1:7" x14ac:dyDescent="0.3">
      <c r="A4123" s="17"/>
      <c r="B4123" s="18"/>
      <c r="C4123" s="18"/>
      <c r="D4123" s="18"/>
      <c r="E4123" s="10" t="str">
        <f>IF(B4123="","",IFERROR(INDEX(Harytlar!$C$5:$C$44,MATCH(B4123,Harytlar!$A$5:$A$44,0)),""))</f>
        <v/>
      </c>
      <c r="F4123" s="10" t="str">
        <f t="shared" si="64"/>
        <v/>
      </c>
      <c r="G4123" s="10" t="str">
        <f>IF(OR(C4123="",B4123=""),"",IFERROR(C4123*INDEX(Harytlar!$D$5:$D$44,MATCH(B4123,Harytlar!$A$5:$A$44,0)),""))</f>
        <v/>
      </c>
    </row>
    <row r="4124" spans="1:7" x14ac:dyDescent="0.3">
      <c r="A4124" s="17"/>
      <c r="B4124" s="18"/>
      <c r="C4124" s="18"/>
      <c r="D4124" s="18"/>
      <c r="E4124" s="10" t="str">
        <f>IF(B4124="","",IFERROR(INDEX(Harytlar!$C$5:$C$44,MATCH(B4124,Harytlar!$A$5:$A$44,0)),""))</f>
        <v/>
      </c>
      <c r="F4124" s="10" t="str">
        <f t="shared" si="64"/>
        <v/>
      </c>
      <c r="G4124" s="10" t="str">
        <f>IF(OR(C4124="",B4124=""),"",IFERROR(C4124*INDEX(Harytlar!$D$5:$D$44,MATCH(B4124,Harytlar!$A$5:$A$44,0)),""))</f>
        <v/>
      </c>
    </row>
    <row r="4125" spans="1:7" x14ac:dyDescent="0.3">
      <c r="A4125" s="17"/>
      <c r="B4125" s="18"/>
      <c r="C4125" s="18"/>
      <c r="D4125" s="18"/>
      <c r="E4125" s="10" t="str">
        <f>IF(B4125="","",IFERROR(INDEX(Harytlar!$C$5:$C$44,MATCH(B4125,Harytlar!$A$5:$A$44,0)),""))</f>
        <v/>
      </c>
      <c r="F4125" s="10" t="str">
        <f t="shared" si="64"/>
        <v/>
      </c>
      <c r="G4125" s="10" t="str">
        <f>IF(OR(C4125="",B4125=""),"",IFERROR(C4125*INDEX(Harytlar!$D$5:$D$44,MATCH(B4125,Harytlar!$A$5:$A$44,0)),""))</f>
        <v/>
      </c>
    </row>
    <row r="4126" spans="1:7" x14ac:dyDescent="0.3">
      <c r="A4126" s="17"/>
      <c r="B4126" s="18"/>
      <c r="C4126" s="18"/>
      <c r="D4126" s="18"/>
      <c r="E4126" s="10" t="str">
        <f>IF(B4126="","",IFERROR(INDEX(Harytlar!$C$5:$C$44,MATCH(B4126,Harytlar!$A$5:$A$44,0)),""))</f>
        <v/>
      </c>
      <c r="F4126" s="10" t="str">
        <f t="shared" si="64"/>
        <v/>
      </c>
      <c r="G4126" s="10" t="str">
        <f>IF(OR(C4126="",B4126=""),"",IFERROR(C4126*INDEX(Harytlar!$D$5:$D$44,MATCH(B4126,Harytlar!$A$5:$A$44,0)),""))</f>
        <v/>
      </c>
    </row>
    <row r="4127" spans="1:7" x14ac:dyDescent="0.3">
      <c r="A4127" s="17"/>
      <c r="B4127" s="18"/>
      <c r="C4127" s="18"/>
      <c r="D4127" s="18"/>
      <c r="E4127" s="10" t="str">
        <f>IF(B4127="","",IFERROR(INDEX(Harytlar!$C$5:$C$44,MATCH(B4127,Harytlar!$A$5:$A$44,0)),""))</f>
        <v/>
      </c>
      <c r="F4127" s="10" t="str">
        <f t="shared" si="64"/>
        <v/>
      </c>
      <c r="G4127" s="10" t="str">
        <f>IF(OR(C4127="",B4127=""),"",IFERROR(C4127*INDEX(Harytlar!$D$5:$D$44,MATCH(B4127,Harytlar!$A$5:$A$44,0)),""))</f>
        <v/>
      </c>
    </row>
    <row r="4128" spans="1:7" x14ac:dyDescent="0.3">
      <c r="A4128" s="17"/>
      <c r="B4128" s="18"/>
      <c r="C4128" s="18"/>
      <c r="D4128" s="18"/>
      <c r="E4128" s="10" t="str">
        <f>IF(B4128="","",IFERROR(INDEX(Harytlar!$C$5:$C$44,MATCH(B4128,Harytlar!$A$5:$A$44,0)),""))</f>
        <v/>
      </c>
      <c r="F4128" s="10" t="str">
        <f t="shared" si="64"/>
        <v/>
      </c>
      <c r="G4128" s="10" t="str">
        <f>IF(OR(C4128="",B4128=""),"",IFERROR(C4128*INDEX(Harytlar!$D$5:$D$44,MATCH(B4128,Harytlar!$A$5:$A$44,0)),""))</f>
        <v/>
      </c>
    </row>
    <row r="4129" spans="1:7" x14ac:dyDescent="0.3">
      <c r="A4129" s="17"/>
      <c r="B4129" s="18"/>
      <c r="C4129" s="18"/>
      <c r="D4129" s="18"/>
      <c r="E4129" s="10" t="str">
        <f>IF(B4129="","",IFERROR(INDEX(Harytlar!$C$5:$C$44,MATCH(B4129,Harytlar!$A$5:$A$44,0)),""))</f>
        <v/>
      </c>
      <c r="F4129" s="10" t="str">
        <f t="shared" si="64"/>
        <v/>
      </c>
      <c r="G4129" s="10" t="str">
        <f>IF(OR(C4129="",B4129=""),"",IFERROR(C4129*INDEX(Harytlar!$D$5:$D$44,MATCH(B4129,Harytlar!$A$5:$A$44,0)),""))</f>
        <v/>
      </c>
    </row>
    <row r="4130" spans="1:7" x14ac:dyDescent="0.3">
      <c r="A4130" s="17"/>
      <c r="B4130" s="18"/>
      <c r="C4130" s="18"/>
      <c r="D4130" s="18"/>
      <c r="E4130" s="10" t="str">
        <f>IF(B4130="","",IFERROR(INDEX(Harytlar!$C$5:$C$44,MATCH(B4130,Harytlar!$A$5:$A$44,0)),""))</f>
        <v/>
      </c>
      <c r="F4130" s="10" t="str">
        <f t="shared" si="64"/>
        <v/>
      </c>
      <c r="G4130" s="10" t="str">
        <f>IF(OR(C4130="",B4130=""),"",IFERROR(C4130*INDEX(Harytlar!$D$5:$D$44,MATCH(B4130,Harytlar!$A$5:$A$44,0)),""))</f>
        <v/>
      </c>
    </row>
    <row r="4131" spans="1:7" x14ac:dyDescent="0.3">
      <c r="A4131" s="17"/>
      <c r="B4131" s="18"/>
      <c r="C4131" s="18"/>
      <c r="D4131" s="18"/>
      <c r="E4131" s="10" t="str">
        <f>IF(B4131="","",IFERROR(INDEX(Harytlar!$C$5:$C$44,MATCH(B4131,Harytlar!$A$5:$A$44,0)),""))</f>
        <v/>
      </c>
      <c r="F4131" s="10" t="str">
        <f t="shared" si="64"/>
        <v/>
      </c>
      <c r="G4131" s="10" t="str">
        <f>IF(OR(C4131="",B4131=""),"",IFERROR(C4131*INDEX(Harytlar!$D$5:$D$44,MATCH(B4131,Harytlar!$A$5:$A$44,0)),""))</f>
        <v/>
      </c>
    </row>
    <row r="4132" spans="1:7" x14ac:dyDescent="0.3">
      <c r="A4132" s="17"/>
      <c r="B4132" s="18"/>
      <c r="C4132" s="18"/>
      <c r="D4132" s="18"/>
      <c r="E4132" s="10" t="str">
        <f>IF(B4132="","",IFERROR(INDEX(Harytlar!$C$5:$C$44,MATCH(B4132,Harytlar!$A$5:$A$44,0)),""))</f>
        <v/>
      </c>
      <c r="F4132" s="10" t="str">
        <f t="shared" si="64"/>
        <v/>
      </c>
      <c r="G4132" s="10" t="str">
        <f>IF(OR(C4132="",B4132=""),"",IFERROR(C4132*INDEX(Harytlar!$D$5:$D$44,MATCH(B4132,Harytlar!$A$5:$A$44,0)),""))</f>
        <v/>
      </c>
    </row>
    <row r="4133" spans="1:7" x14ac:dyDescent="0.3">
      <c r="A4133" s="17"/>
      <c r="B4133" s="18"/>
      <c r="C4133" s="18"/>
      <c r="D4133" s="18"/>
      <c r="E4133" s="10" t="str">
        <f>IF(B4133="","",IFERROR(INDEX(Harytlar!$C$5:$C$44,MATCH(B4133,Harytlar!$A$5:$A$44,0)),""))</f>
        <v/>
      </c>
      <c r="F4133" s="10" t="str">
        <f t="shared" si="64"/>
        <v/>
      </c>
      <c r="G4133" s="10" t="str">
        <f>IF(OR(C4133="",B4133=""),"",IFERROR(C4133*INDEX(Harytlar!$D$5:$D$44,MATCH(B4133,Harytlar!$A$5:$A$44,0)),""))</f>
        <v/>
      </c>
    </row>
    <row r="4134" spans="1:7" x14ac:dyDescent="0.3">
      <c r="A4134" s="17"/>
      <c r="B4134" s="18"/>
      <c r="C4134" s="18"/>
      <c r="D4134" s="18"/>
      <c r="E4134" s="10" t="str">
        <f>IF(B4134="","",IFERROR(INDEX(Harytlar!$C$5:$C$44,MATCH(B4134,Harytlar!$A$5:$A$44,0)),""))</f>
        <v/>
      </c>
      <c r="F4134" s="10" t="str">
        <f t="shared" si="64"/>
        <v/>
      </c>
      <c r="G4134" s="10" t="str">
        <f>IF(OR(C4134="",B4134=""),"",IFERROR(C4134*INDEX(Harytlar!$D$5:$D$44,MATCH(B4134,Harytlar!$A$5:$A$44,0)),""))</f>
        <v/>
      </c>
    </row>
    <row r="4135" spans="1:7" x14ac:dyDescent="0.3">
      <c r="A4135" s="17"/>
      <c r="B4135" s="18"/>
      <c r="C4135" s="18"/>
      <c r="D4135" s="18"/>
      <c r="E4135" s="10" t="str">
        <f>IF(B4135="","",IFERROR(INDEX(Harytlar!$C$5:$C$44,MATCH(B4135,Harytlar!$A$5:$A$44,0)),""))</f>
        <v/>
      </c>
      <c r="F4135" s="10" t="str">
        <f t="shared" si="64"/>
        <v/>
      </c>
      <c r="G4135" s="10" t="str">
        <f>IF(OR(C4135="",B4135=""),"",IFERROR(C4135*INDEX(Harytlar!$D$5:$D$44,MATCH(B4135,Harytlar!$A$5:$A$44,0)),""))</f>
        <v/>
      </c>
    </row>
    <row r="4136" spans="1:7" x14ac:dyDescent="0.3">
      <c r="A4136" s="17"/>
      <c r="B4136" s="18"/>
      <c r="C4136" s="18"/>
      <c r="D4136" s="18"/>
      <c r="E4136" s="10" t="str">
        <f>IF(B4136="","",IFERROR(INDEX(Harytlar!$C$5:$C$44,MATCH(B4136,Harytlar!$A$5:$A$44,0)),""))</f>
        <v/>
      </c>
      <c r="F4136" s="10" t="str">
        <f t="shared" si="64"/>
        <v/>
      </c>
      <c r="G4136" s="10" t="str">
        <f>IF(OR(C4136="",B4136=""),"",IFERROR(C4136*INDEX(Harytlar!$D$5:$D$44,MATCH(B4136,Harytlar!$A$5:$A$44,0)),""))</f>
        <v/>
      </c>
    </row>
    <row r="4137" spans="1:7" x14ac:dyDescent="0.3">
      <c r="A4137" s="17"/>
      <c r="B4137" s="18"/>
      <c r="C4137" s="18"/>
      <c r="D4137" s="18"/>
      <c r="E4137" s="10" t="str">
        <f>IF(B4137="","",IFERROR(INDEX(Harytlar!$C$5:$C$44,MATCH(B4137,Harytlar!$A$5:$A$44,0)),""))</f>
        <v/>
      </c>
      <c r="F4137" s="10" t="str">
        <f t="shared" si="64"/>
        <v/>
      </c>
      <c r="G4137" s="10" t="str">
        <f>IF(OR(C4137="",B4137=""),"",IFERROR(C4137*INDEX(Harytlar!$D$5:$D$44,MATCH(B4137,Harytlar!$A$5:$A$44,0)),""))</f>
        <v/>
      </c>
    </row>
    <row r="4138" spans="1:7" x14ac:dyDescent="0.3">
      <c r="A4138" s="17"/>
      <c r="B4138" s="18"/>
      <c r="C4138" s="18"/>
      <c r="D4138" s="18"/>
      <c r="E4138" s="10" t="str">
        <f>IF(B4138="","",IFERROR(INDEX(Harytlar!$C$5:$C$44,MATCH(B4138,Harytlar!$A$5:$A$44,0)),""))</f>
        <v/>
      </c>
      <c r="F4138" s="10" t="str">
        <f t="shared" si="64"/>
        <v/>
      </c>
      <c r="G4138" s="10" t="str">
        <f>IF(OR(C4138="",B4138=""),"",IFERROR(C4138*INDEX(Harytlar!$D$5:$D$44,MATCH(B4138,Harytlar!$A$5:$A$44,0)),""))</f>
        <v/>
      </c>
    </row>
    <row r="4139" spans="1:7" x14ac:dyDescent="0.3">
      <c r="A4139" s="17"/>
      <c r="B4139" s="18"/>
      <c r="C4139" s="18"/>
      <c r="D4139" s="18"/>
      <c r="E4139" s="10" t="str">
        <f>IF(B4139="","",IFERROR(INDEX(Harytlar!$C$5:$C$44,MATCH(B4139,Harytlar!$A$5:$A$44,0)),""))</f>
        <v/>
      </c>
      <c r="F4139" s="10" t="str">
        <f t="shared" si="64"/>
        <v/>
      </c>
      <c r="G4139" s="10" t="str">
        <f>IF(OR(C4139="",B4139=""),"",IFERROR(C4139*INDEX(Harytlar!$D$5:$D$44,MATCH(B4139,Harytlar!$A$5:$A$44,0)),""))</f>
        <v/>
      </c>
    </row>
    <row r="4140" spans="1:7" x14ac:dyDescent="0.3">
      <c r="A4140" s="17"/>
      <c r="B4140" s="18"/>
      <c r="C4140" s="18"/>
      <c r="D4140" s="18"/>
      <c r="E4140" s="10" t="str">
        <f>IF(B4140="","",IFERROR(INDEX(Harytlar!$C$5:$C$44,MATCH(B4140,Harytlar!$A$5:$A$44,0)),""))</f>
        <v/>
      </c>
      <c r="F4140" s="10" t="str">
        <f t="shared" si="64"/>
        <v/>
      </c>
      <c r="G4140" s="10" t="str">
        <f>IF(OR(C4140="",B4140=""),"",IFERROR(C4140*INDEX(Harytlar!$D$5:$D$44,MATCH(B4140,Harytlar!$A$5:$A$44,0)),""))</f>
        <v/>
      </c>
    </row>
    <row r="4141" spans="1:7" x14ac:dyDescent="0.3">
      <c r="A4141" s="17"/>
      <c r="B4141" s="18"/>
      <c r="C4141" s="18"/>
      <c r="D4141" s="18"/>
      <c r="E4141" s="10" t="str">
        <f>IF(B4141="","",IFERROR(INDEX(Harytlar!$C$5:$C$44,MATCH(B4141,Harytlar!$A$5:$A$44,0)),""))</f>
        <v/>
      </c>
      <c r="F4141" s="10" t="str">
        <f t="shared" si="64"/>
        <v/>
      </c>
      <c r="G4141" s="10" t="str">
        <f>IF(OR(C4141="",B4141=""),"",IFERROR(C4141*INDEX(Harytlar!$D$5:$D$44,MATCH(B4141,Harytlar!$A$5:$A$44,0)),""))</f>
        <v/>
      </c>
    </row>
    <row r="4142" spans="1:7" x14ac:dyDescent="0.3">
      <c r="A4142" s="17"/>
      <c r="B4142" s="18"/>
      <c r="C4142" s="18"/>
      <c r="D4142" s="18"/>
      <c r="E4142" s="10" t="str">
        <f>IF(B4142="","",IFERROR(INDEX(Harytlar!$C$5:$C$44,MATCH(B4142,Harytlar!$A$5:$A$44,0)),""))</f>
        <v/>
      </c>
      <c r="F4142" s="10" t="str">
        <f t="shared" si="64"/>
        <v/>
      </c>
      <c r="G4142" s="10" t="str">
        <f>IF(OR(C4142="",B4142=""),"",IFERROR(C4142*INDEX(Harytlar!$D$5:$D$44,MATCH(B4142,Harytlar!$A$5:$A$44,0)),""))</f>
        <v/>
      </c>
    </row>
    <row r="4143" spans="1:7" x14ac:dyDescent="0.3">
      <c r="A4143" s="17"/>
      <c r="B4143" s="18"/>
      <c r="C4143" s="18"/>
      <c r="D4143" s="18"/>
      <c r="E4143" s="10" t="str">
        <f>IF(B4143="","",IFERROR(INDEX(Harytlar!$C$5:$C$44,MATCH(B4143,Harytlar!$A$5:$A$44,0)),""))</f>
        <v/>
      </c>
      <c r="F4143" s="10" t="str">
        <f t="shared" si="64"/>
        <v/>
      </c>
      <c r="G4143" s="10" t="str">
        <f>IF(OR(C4143="",B4143=""),"",IFERROR(C4143*INDEX(Harytlar!$D$5:$D$44,MATCH(B4143,Harytlar!$A$5:$A$44,0)),""))</f>
        <v/>
      </c>
    </row>
    <row r="4144" spans="1:7" x14ac:dyDescent="0.3">
      <c r="A4144" s="17"/>
      <c r="B4144" s="18"/>
      <c r="C4144" s="18"/>
      <c r="D4144" s="18"/>
      <c r="E4144" s="10" t="str">
        <f>IF(B4144="","",IFERROR(INDEX(Harytlar!$C$5:$C$44,MATCH(B4144,Harytlar!$A$5:$A$44,0)),""))</f>
        <v/>
      </c>
      <c r="F4144" s="10" t="str">
        <f t="shared" si="64"/>
        <v/>
      </c>
      <c r="G4144" s="10" t="str">
        <f>IF(OR(C4144="",B4144=""),"",IFERROR(C4144*INDEX(Harytlar!$D$5:$D$44,MATCH(B4144,Harytlar!$A$5:$A$44,0)),""))</f>
        <v/>
      </c>
    </row>
    <row r="4145" spans="1:7" x14ac:dyDescent="0.3">
      <c r="A4145" s="17"/>
      <c r="B4145" s="18"/>
      <c r="C4145" s="18"/>
      <c r="D4145" s="18"/>
      <c r="E4145" s="10" t="str">
        <f>IF(B4145="","",IFERROR(INDEX(Harytlar!$C$5:$C$44,MATCH(B4145,Harytlar!$A$5:$A$44,0)),""))</f>
        <v/>
      </c>
      <c r="F4145" s="10" t="str">
        <f t="shared" si="64"/>
        <v/>
      </c>
      <c r="G4145" s="10" t="str">
        <f>IF(OR(C4145="",B4145=""),"",IFERROR(C4145*INDEX(Harytlar!$D$5:$D$44,MATCH(B4145,Harytlar!$A$5:$A$44,0)),""))</f>
        <v/>
      </c>
    </row>
    <row r="4146" spans="1:7" x14ac:dyDescent="0.3">
      <c r="A4146" s="17"/>
      <c r="B4146" s="18"/>
      <c r="C4146" s="18"/>
      <c r="D4146" s="18"/>
      <c r="E4146" s="10" t="str">
        <f>IF(B4146="","",IFERROR(INDEX(Harytlar!$C$5:$C$44,MATCH(B4146,Harytlar!$A$5:$A$44,0)),""))</f>
        <v/>
      </c>
      <c r="F4146" s="10" t="str">
        <f t="shared" si="64"/>
        <v/>
      </c>
      <c r="G4146" s="10" t="str">
        <f>IF(OR(C4146="",B4146=""),"",IFERROR(C4146*INDEX(Harytlar!$D$5:$D$44,MATCH(B4146,Harytlar!$A$5:$A$44,0)),""))</f>
        <v/>
      </c>
    </row>
    <row r="4147" spans="1:7" x14ac:dyDescent="0.3">
      <c r="A4147" s="17"/>
      <c r="B4147" s="18"/>
      <c r="C4147" s="18"/>
      <c r="D4147" s="18"/>
      <c r="E4147" s="10" t="str">
        <f>IF(B4147="","",IFERROR(INDEX(Harytlar!$C$5:$C$44,MATCH(B4147,Harytlar!$A$5:$A$44,0)),""))</f>
        <v/>
      </c>
      <c r="F4147" s="10" t="str">
        <f t="shared" si="64"/>
        <v/>
      </c>
      <c r="G4147" s="10" t="str">
        <f>IF(OR(C4147="",B4147=""),"",IFERROR(C4147*INDEX(Harytlar!$D$5:$D$44,MATCH(B4147,Harytlar!$A$5:$A$44,0)),""))</f>
        <v/>
      </c>
    </row>
    <row r="4148" spans="1:7" x14ac:dyDescent="0.3">
      <c r="A4148" s="17"/>
      <c r="B4148" s="18"/>
      <c r="C4148" s="18"/>
      <c r="D4148" s="18"/>
      <c r="E4148" s="10" t="str">
        <f>IF(B4148="","",IFERROR(INDEX(Harytlar!$C$5:$C$44,MATCH(B4148,Harytlar!$A$5:$A$44,0)),""))</f>
        <v/>
      </c>
      <c r="F4148" s="10" t="str">
        <f t="shared" si="64"/>
        <v/>
      </c>
      <c r="G4148" s="10" t="str">
        <f>IF(OR(C4148="",B4148=""),"",IFERROR(C4148*INDEX(Harytlar!$D$5:$D$44,MATCH(B4148,Harytlar!$A$5:$A$44,0)),""))</f>
        <v/>
      </c>
    </row>
    <row r="4149" spans="1:7" x14ac:dyDescent="0.3">
      <c r="A4149" s="17"/>
      <c r="B4149" s="18"/>
      <c r="C4149" s="18"/>
      <c r="D4149" s="18"/>
      <c r="E4149" s="10" t="str">
        <f>IF(B4149="","",IFERROR(INDEX(Harytlar!$C$5:$C$44,MATCH(B4149,Harytlar!$A$5:$A$44,0)),""))</f>
        <v/>
      </c>
      <c r="F4149" s="10" t="str">
        <f t="shared" si="64"/>
        <v/>
      </c>
      <c r="G4149" s="10" t="str">
        <f>IF(OR(C4149="",B4149=""),"",IFERROR(C4149*INDEX(Harytlar!$D$5:$D$44,MATCH(B4149,Harytlar!$A$5:$A$44,0)),""))</f>
        <v/>
      </c>
    </row>
    <row r="4150" spans="1:7" x14ac:dyDescent="0.3">
      <c r="A4150" s="17"/>
      <c r="B4150" s="18"/>
      <c r="C4150" s="18"/>
      <c r="D4150" s="18"/>
      <c r="E4150" s="10" t="str">
        <f>IF(B4150="","",IFERROR(INDEX(Harytlar!$C$5:$C$44,MATCH(B4150,Harytlar!$A$5:$A$44,0)),""))</f>
        <v/>
      </c>
      <c r="F4150" s="10" t="str">
        <f t="shared" si="64"/>
        <v/>
      </c>
      <c r="G4150" s="10" t="str">
        <f>IF(OR(C4150="",B4150=""),"",IFERROR(C4150*INDEX(Harytlar!$D$5:$D$44,MATCH(B4150,Harytlar!$A$5:$A$44,0)),""))</f>
        <v/>
      </c>
    </row>
    <row r="4151" spans="1:7" x14ac:dyDescent="0.3">
      <c r="A4151" s="17"/>
      <c r="B4151" s="18"/>
      <c r="C4151" s="18"/>
      <c r="D4151" s="18"/>
      <c r="E4151" s="10" t="str">
        <f>IF(B4151="","",IFERROR(INDEX(Harytlar!$C$5:$C$44,MATCH(B4151,Harytlar!$A$5:$A$44,0)),""))</f>
        <v/>
      </c>
      <c r="F4151" s="10" t="str">
        <f t="shared" si="64"/>
        <v/>
      </c>
      <c r="G4151" s="10" t="str">
        <f>IF(OR(C4151="",B4151=""),"",IFERROR(C4151*INDEX(Harytlar!$D$5:$D$44,MATCH(B4151,Harytlar!$A$5:$A$44,0)),""))</f>
        <v/>
      </c>
    </row>
    <row r="4152" spans="1:7" x14ac:dyDescent="0.3">
      <c r="A4152" s="17"/>
      <c r="B4152" s="18"/>
      <c r="C4152" s="18"/>
      <c r="D4152" s="18"/>
      <c r="E4152" s="10" t="str">
        <f>IF(B4152="","",IFERROR(INDEX(Harytlar!$C$5:$C$44,MATCH(B4152,Harytlar!$A$5:$A$44,0)),""))</f>
        <v/>
      </c>
      <c r="F4152" s="10" t="str">
        <f t="shared" si="64"/>
        <v/>
      </c>
      <c r="G4152" s="10" t="str">
        <f>IF(OR(C4152="",B4152=""),"",IFERROR(C4152*INDEX(Harytlar!$D$5:$D$44,MATCH(B4152,Harytlar!$A$5:$A$44,0)),""))</f>
        <v/>
      </c>
    </row>
    <row r="4153" spans="1:7" x14ac:dyDescent="0.3">
      <c r="A4153" s="17"/>
      <c r="B4153" s="18"/>
      <c r="C4153" s="18"/>
      <c r="D4153" s="18"/>
      <c r="E4153" s="10" t="str">
        <f>IF(B4153="","",IFERROR(INDEX(Harytlar!$C$5:$C$44,MATCH(B4153,Harytlar!$A$5:$A$44,0)),""))</f>
        <v/>
      </c>
      <c r="F4153" s="10" t="str">
        <f t="shared" si="64"/>
        <v/>
      </c>
      <c r="G4153" s="10" t="str">
        <f>IF(OR(C4153="",B4153=""),"",IFERROR(C4153*INDEX(Harytlar!$D$5:$D$44,MATCH(B4153,Harytlar!$A$5:$A$44,0)),""))</f>
        <v/>
      </c>
    </row>
    <row r="4154" spans="1:7" x14ac:dyDescent="0.3">
      <c r="A4154" s="17"/>
      <c r="B4154" s="18"/>
      <c r="C4154" s="18"/>
      <c r="D4154" s="18"/>
      <c r="E4154" s="10" t="str">
        <f>IF(B4154="","",IFERROR(INDEX(Harytlar!$C$5:$C$44,MATCH(B4154,Harytlar!$A$5:$A$44,0)),""))</f>
        <v/>
      </c>
      <c r="F4154" s="10" t="str">
        <f t="shared" si="64"/>
        <v/>
      </c>
      <c r="G4154" s="10" t="str">
        <f>IF(OR(C4154="",B4154=""),"",IFERROR(C4154*INDEX(Harytlar!$D$5:$D$44,MATCH(B4154,Harytlar!$A$5:$A$44,0)),""))</f>
        <v/>
      </c>
    </row>
    <row r="4155" spans="1:7" x14ac:dyDescent="0.3">
      <c r="A4155" s="17"/>
      <c r="B4155" s="18"/>
      <c r="C4155" s="18"/>
      <c r="D4155" s="18"/>
      <c r="E4155" s="10" t="str">
        <f>IF(B4155="","",IFERROR(INDEX(Harytlar!$C$5:$C$44,MATCH(B4155,Harytlar!$A$5:$A$44,0)),""))</f>
        <v/>
      </c>
      <c r="F4155" s="10" t="str">
        <f t="shared" si="64"/>
        <v/>
      </c>
      <c r="G4155" s="10" t="str">
        <f>IF(OR(C4155="",B4155=""),"",IFERROR(C4155*INDEX(Harytlar!$D$5:$D$44,MATCH(B4155,Harytlar!$A$5:$A$44,0)),""))</f>
        <v/>
      </c>
    </row>
    <row r="4156" spans="1:7" x14ac:dyDescent="0.3">
      <c r="A4156" s="17"/>
      <c r="B4156" s="18"/>
      <c r="C4156" s="18"/>
      <c r="D4156" s="18"/>
      <c r="E4156" s="10" t="str">
        <f>IF(B4156="","",IFERROR(INDEX(Harytlar!$C$5:$C$44,MATCH(B4156,Harytlar!$A$5:$A$44,0)),""))</f>
        <v/>
      </c>
      <c r="F4156" s="10" t="str">
        <f t="shared" si="64"/>
        <v/>
      </c>
      <c r="G4156" s="10" t="str">
        <f>IF(OR(C4156="",B4156=""),"",IFERROR(C4156*INDEX(Harytlar!$D$5:$D$44,MATCH(B4156,Harytlar!$A$5:$A$44,0)),""))</f>
        <v/>
      </c>
    </row>
    <row r="4157" spans="1:7" x14ac:dyDescent="0.3">
      <c r="A4157" s="17"/>
      <c r="B4157" s="18"/>
      <c r="C4157" s="18"/>
      <c r="D4157" s="18"/>
      <c r="E4157" s="10" t="str">
        <f>IF(B4157="","",IFERROR(INDEX(Harytlar!$C$5:$C$44,MATCH(B4157,Harytlar!$A$5:$A$44,0)),""))</f>
        <v/>
      </c>
      <c r="F4157" s="10" t="str">
        <f t="shared" si="64"/>
        <v/>
      </c>
      <c r="G4157" s="10" t="str">
        <f>IF(OR(C4157="",B4157=""),"",IFERROR(C4157*INDEX(Harytlar!$D$5:$D$44,MATCH(B4157,Harytlar!$A$5:$A$44,0)),""))</f>
        <v/>
      </c>
    </row>
    <row r="4158" spans="1:7" x14ac:dyDescent="0.3">
      <c r="A4158" s="17"/>
      <c r="B4158" s="18"/>
      <c r="C4158" s="18"/>
      <c r="D4158" s="18"/>
      <c r="E4158" s="10" t="str">
        <f>IF(B4158="","",IFERROR(INDEX(Harytlar!$C$5:$C$44,MATCH(B4158,Harytlar!$A$5:$A$44,0)),""))</f>
        <v/>
      </c>
      <c r="F4158" s="10" t="str">
        <f t="shared" si="64"/>
        <v/>
      </c>
      <c r="G4158" s="10" t="str">
        <f>IF(OR(C4158="",B4158=""),"",IFERROR(C4158*INDEX(Harytlar!$D$5:$D$44,MATCH(B4158,Harytlar!$A$5:$A$44,0)),""))</f>
        <v/>
      </c>
    </row>
    <row r="4159" spans="1:7" x14ac:dyDescent="0.3">
      <c r="A4159" s="17"/>
      <c r="B4159" s="18"/>
      <c r="C4159" s="18"/>
      <c r="D4159" s="18"/>
      <c r="E4159" s="10" t="str">
        <f>IF(B4159="","",IFERROR(INDEX(Harytlar!$C$5:$C$44,MATCH(B4159,Harytlar!$A$5:$A$44,0)),""))</f>
        <v/>
      </c>
      <c r="F4159" s="10" t="str">
        <f t="shared" si="64"/>
        <v/>
      </c>
      <c r="G4159" s="10" t="str">
        <f>IF(OR(C4159="",B4159=""),"",IFERROR(C4159*INDEX(Harytlar!$D$5:$D$44,MATCH(B4159,Harytlar!$A$5:$A$44,0)),""))</f>
        <v/>
      </c>
    </row>
    <row r="4160" spans="1:7" x14ac:dyDescent="0.3">
      <c r="A4160" s="17"/>
      <c r="B4160" s="18"/>
      <c r="C4160" s="18"/>
      <c r="D4160" s="18"/>
      <c r="E4160" s="10" t="str">
        <f>IF(B4160="","",IFERROR(INDEX(Harytlar!$C$5:$C$44,MATCH(B4160,Harytlar!$A$5:$A$44,0)),""))</f>
        <v/>
      </c>
      <c r="F4160" s="10" t="str">
        <f t="shared" si="64"/>
        <v/>
      </c>
      <c r="G4160" s="10" t="str">
        <f>IF(OR(C4160="",B4160=""),"",IFERROR(C4160*INDEX(Harytlar!$D$5:$D$44,MATCH(B4160,Harytlar!$A$5:$A$44,0)),""))</f>
        <v/>
      </c>
    </row>
    <row r="4161" spans="1:7" x14ac:dyDescent="0.3">
      <c r="A4161" s="17"/>
      <c r="B4161" s="18"/>
      <c r="C4161" s="18"/>
      <c r="D4161" s="18"/>
      <c r="E4161" s="10" t="str">
        <f>IF(B4161="","",IFERROR(INDEX(Harytlar!$C$5:$C$44,MATCH(B4161,Harytlar!$A$5:$A$44,0)),""))</f>
        <v/>
      </c>
      <c r="F4161" s="10" t="str">
        <f t="shared" si="64"/>
        <v/>
      </c>
      <c r="G4161" s="10" t="str">
        <f>IF(OR(C4161="",B4161=""),"",IFERROR(C4161*INDEX(Harytlar!$D$5:$D$44,MATCH(B4161,Harytlar!$A$5:$A$44,0)),""))</f>
        <v/>
      </c>
    </row>
    <row r="4162" spans="1:7" x14ac:dyDescent="0.3">
      <c r="A4162" s="17"/>
      <c r="B4162" s="18"/>
      <c r="C4162" s="18"/>
      <c r="D4162" s="18"/>
      <c r="E4162" s="10" t="str">
        <f>IF(B4162="","",IFERROR(INDEX(Harytlar!$C$5:$C$44,MATCH(B4162,Harytlar!$A$5:$A$44,0)),""))</f>
        <v/>
      </c>
      <c r="F4162" s="10" t="str">
        <f t="shared" si="64"/>
        <v/>
      </c>
      <c r="G4162" s="10" t="str">
        <f>IF(OR(C4162="",B4162=""),"",IFERROR(C4162*INDEX(Harytlar!$D$5:$D$44,MATCH(B4162,Harytlar!$A$5:$A$44,0)),""))</f>
        <v/>
      </c>
    </row>
    <row r="4163" spans="1:7" x14ac:dyDescent="0.3">
      <c r="A4163" s="17"/>
      <c r="B4163" s="18"/>
      <c r="C4163" s="18"/>
      <c r="D4163" s="18"/>
      <c r="E4163" s="10" t="str">
        <f>IF(B4163="","",IFERROR(INDEX(Harytlar!$C$5:$C$44,MATCH(B4163,Harytlar!$A$5:$A$44,0)),""))</f>
        <v/>
      </c>
      <c r="F4163" s="10" t="str">
        <f t="shared" si="64"/>
        <v/>
      </c>
      <c r="G4163" s="10" t="str">
        <f>IF(OR(C4163="",B4163=""),"",IFERROR(C4163*INDEX(Harytlar!$D$5:$D$44,MATCH(B4163,Harytlar!$A$5:$A$44,0)),""))</f>
        <v/>
      </c>
    </row>
    <row r="4164" spans="1:7" x14ac:dyDescent="0.3">
      <c r="A4164" s="17"/>
      <c r="B4164" s="18"/>
      <c r="C4164" s="18"/>
      <c r="D4164" s="18"/>
      <c r="E4164" s="10" t="str">
        <f>IF(B4164="","",IFERROR(INDEX(Harytlar!$C$5:$C$44,MATCH(B4164,Harytlar!$A$5:$A$44,0)),""))</f>
        <v/>
      </c>
      <c r="F4164" s="10" t="str">
        <f t="shared" si="64"/>
        <v/>
      </c>
      <c r="G4164" s="10" t="str">
        <f>IF(OR(C4164="",B4164=""),"",IFERROR(C4164*INDEX(Harytlar!$D$5:$D$44,MATCH(B4164,Harytlar!$A$5:$A$44,0)),""))</f>
        <v/>
      </c>
    </row>
    <row r="4165" spans="1:7" x14ac:dyDescent="0.3">
      <c r="A4165" s="17"/>
      <c r="B4165" s="18"/>
      <c r="C4165" s="18"/>
      <c r="D4165" s="18"/>
      <c r="E4165" s="10" t="str">
        <f>IF(B4165="","",IFERROR(INDEX(Harytlar!$C$5:$C$44,MATCH(B4165,Harytlar!$A$5:$A$44,0)),""))</f>
        <v/>
      </c>
      <c r="F4165" s="10" t="str">
        <f t="shared" si="64"/>
        <v/>
      </c>
      <c r="G4165" s="10" t="str">
        <f>IF(OR(C4165="",B4165=""),"",IFERROR(C4165*INDEX(Harytlar!$D$5:$D$44,MATCH(B4165,Harytlar!$A$5:$A$44,0)),""))</f>
        <v/>
      </c>
    </row>
    <row r="4166" spans="1:7" x14ac:dyDescent="0.3">
      <c r="A4166" s="17"/>
      <c r="B4166" s="18"/>
      <c r="C4166" s="18"/>
      <c r="D4166" s="18"/>
      <c r="E4166" s="10" t="str">
        <f>IF(B4166="","",IFERROR(INDEX(Harytlar!$C$5:$C$44,MATCH(B4166,Harytlar!$A$5:$A$44,0)),""))</f>
        <v/>
      </c>
      <c r="F4166" s="10" t="str">
        <f t="shared" ref="F4166:F4229" si="65">IF(OR(C4166="",E4166=""),"",C4166*E4166)</f>
        <v/>
      </c>
      <c r="G4166" s="10" t="str">
        <f>IF(OR(C4166="",B4166=""),"",IFERROR(C4166*INDEX(Harytlar!$D$5:$D$44,MATCH(B4166,Harytlar!$A$5:$A$44,0)),""))</f>
        <v/>
      </c>
    </row>
    <row r="4167" spans="1:7" x14ac:dyDescent="0.3">
      <c r="A4167" s="17"/>
      <c r="B4167" s="18"/>
      <c r="C4167" s="18"/>
      <c r="D4167" s="18"/>
      <c r="E4167" s="10" t="str">
        <f>IF(B4167="","",IFERROR(INDEX(Harytlar!$C$5:$C$44,MATCH(B4167,Harytlar!$A$5:$A$44,0)),""))</f>
        <v/>
      </c>
      <c r="F4167" s="10" t="str">
        <f t="shared" si="65"/>
        <v/>
      </c>
      <c r="G4167" s="10" t="str">
        <f>IF(OR(C4167="",B4167=""),"",IFERROR(C4167*INDEX(Harytlar!$D$5:$D$44,MATCH(B4167,Harytlar!$A$5:$A$44,0)),""))</f>
        <v/>
      </c>
    </row>
    <row r="4168" spans="1:7" x14ac:dyDescent="0.3">
      <c r="A4168" s="17"/>
      <c r="B4168" s="18"/>
      <c r="C4168" s="18"/>
      <c r="D4168" s="18"/>
      <c r="E4168" s="10" t="str">
        <f>IF(B4168="","",IFERROR(INDEX(Harytlar!$C$5:$C$44,MATCH(B4168,Harytlar!$A$5:$A$44,0)),""))</f>
        <v/>
      </c>
      <c r="F4168" s="10" t="str">
        <f t="shared" si="65"/>
        <v/>
      </c>
      <c r="G4168" s="10" t="str">
        <f>IF(OR(C4168="",B4168=""),"",IFERROR(C4168*INDEX(Harytlar!$D$5:$D$44,MATCH(B4168,Harytlar!$A$5:$A$44,0)),""))</f>
        <v/>
      </c>
    </row>
    <row r="4169" spans="1:7" x14ac:dyDescent="0.3">
      <c r="A4169" s="17"/>
      <c r="B4169" s="18"/>
      <c r="C4169" s="18"/>
      <c r="D4169" s="18"/>
      <c r="E4169" s="10" t="str">
        <f>IF(B4169="","",IFERROR(INDEX(Harytlar!$C$5:$C$44,MATCH(B4169,Harytlar!$A$5:$A$44,0)),""))</f>
        <v/>
      </c>
      <c r="F4169" s="10" t="str">
        <f t="shared" si="65"/>
        <v/>
      </c>
      <c r="G4169" s="10" t="str">
        <f>IF(OR(C4169="",B4169=""),"",IFERROR(C4169*INDEX(Harytlar!$D$5:$D$44,MATCH(B4169,Harytlar!$A$5:$A$44,0)),""))</f>
        <v/>
      </c>
    </row>
    <row r="4170" spans="1:7" x14ac:dyDescent="0.3">
      <c r="A4170" s="17"/>
      <c r="B4170" s="18"/>
      <c r="C4170" s="18"/>
      <c r="D4170" s="18"/>
      <c r="E4170" s="10" t="str">
        <f>IF(B4170="","",IFERROR(INDEX(Harytlar!$C$5:$C$44,MATCH(B4170,Harytlar!$A$5:$A$44,0)),""))</f>
        <v/>
      </c>
      <c r="F4170" s="10" t="str">
        <f t="shared" si="65"/>
        <v/>
      </c>
      <c r="G4170" s="10" t="str">
        <f>IF(OR(C4170="",B4170=""),"",IFERROR(C4170*INDEX(Harytlar!$D$5:$D$44,MATCH(B4170,Harytlar!$A$5:$A$44,0)),""))</f>
        <v/>
      </c>
    </row>
    <row r="4171" spans="1:7" x14ac:dyDescent="0.3">
      <c r="A4171" s="17"/>
      <c r="B4171" s="18"/>
      <c r="C4171" s="18"/>
      <c r="D4171" s="18"/>
      <c r="E4171" s="10" t="str">
        <f>IF(B4171="","",IFERROR(INDEX(Harytlar!$C$5:$C$44,MATCH(B4171,Harytlar!$A$5:$A$44,0)),""))</f>
        <v/>
      </c>
      <c r="F4171" s="10" t="str">
        <f t="shared" si="65"/>
        <v/>
      </c>
      <c r="G4171" s="10" t="str">
        <f>IF(OR(C4171="",B4171=""),"",IFERROR(C4171*INDEX(Harytlar!$D$5:$D$44,MATCH(B4171,Harytlar!$A$5:$A$44,0)),""))</f>
        <v/>
      </c>
    </row>
    <row r="4172" spans="1:7" x14ac:dyDescent="0.3">
      <c r="A4172" s="17"/>
      <c r="B4172" s="18"/>
      <c r="C4172" s="18"/>
      <c r="D4172" s="18"/>
      <c r="E4172" s="10" t="str">
        <f>IF(B4172="","",IFERROR(INDEX(Harytlar!$C$5:$C$44,MATCH(B4172,Harytlar!$A$5:$A$44,0)),""))</f>
        <v/>
      </c>
      <c r="F4172" s="10" t="str">
        <f t="shared" si="65"/>
        <v/>
      </c>
      <c r="G4172" s="10" t="str">
        <f>IF(OR(C4172="",B4172=""),"",IFERROR(C4172*INDEX(Harytlar!$D$5:$D$44,MATCH(B4172,Harytlar!$A$5:$A$44,0)),""))</f>
        <v/>
      </c>
    </row>
    <row r="4173" spans="1:7" x14ac:dyDescent="0.3">
      <c r="A4173" s="17"/>
      <c r="B4173" s="18"/>
      <c r="C4173" s="18"/>
      <c r="D4173" s="18"/>
      <c r="E4173" s="10" t="str">
        <f>IF(B4173="","",IFERROR(INDEX(Harytlar!$C$5:$C$44,MATCH(B4173,Harytlar!$A$5:$A$44,0)),""))</f>
        <v/>
      </c>
      <c r="F4173" s="10" t="str">
        <f t="shared" si="65"/>
        <v/>
      </c>
      <c r="G4173" s="10" t="str">
        <f>IF(OR(C4173="",B4173=""),"",IFERROR(C4173*INDEX(Harytlar!$D$5:$D$44,MATCH(B4173,Harytlar!$A$5:$A$44,0)),""))</f>
        <v/>
      </c>
    </row>
    <row r="4174" spans="1:7" x14ac:dyDescent="0.3">
      <c r="A4174" s="17"/>
      <c r="B4174" s="18"/>
      <c r="C4174" s="18"/>
      <c r="D4174" s="18"/>
      <c r="E4174" s="10" t="str">
        <f>IF(B4174="","",IFERROR(INDEX(Harytlar!$C$5:$C$44,MATCH(B4174,Harytlar!$A$5:$A$44,0)),""))</f>
        <v/>
      </c>
      <c r="F4174" s="10" t="str">
        <f t="shared" si="65"/>
        <v/>
      </c>
      <c r="G4174" s="10" t="str">
        <f>IF(OR(C4174="",B4174=""),"",IFERROR(C4174*INDEX(Harytlar!$D$5:$D$44,MATCH(B4174,Harytlar!$A$5:$A$44,0)),""))</f>
        <v/>
      </c>
    </row>
    <row r="4175" spans="1:7" x14ac:dyDescent="0.3">
      <c r="A4175" s="17"/>
      <c r="B4175" s="18"/>
      <c r="C4175" s="18"/>
      <c r="D4175" s="18"/>
      <c r="E4175" s="10" t="str">
        <f>IF(B4175="","",IFERROR(INDEX(Harytlar!$C$5:$C$44,MATCH(B4175,Harytlar!$A$5:$A$44,0)),""))</f>
        <v/>
      </c>
      <c r="F4175" s="10" t="str">
        <f t="shared" si="65"/>
        <v/>
      </c>
      <c r="G4175" s="10" t="str">
        <f>IF(OR(C4175="",B4175=""),"",IFERROR(C4175*INDEX(Harytlar!$D$5:$D$44,MATCH(B4175,Harytlar!$A$5:$A$44,0)),""))</f>
        <v/>
      </c>
    </row>
    <row r="4176" spans="1:7" x14ac:dyDescent="0.3">
      <c r="A4176" s="17"/>
      <c r="B4176" s="18"/>
      <c r="C4176" s="18"/>
      <c r="D4176" s="18"/>
      <c r="E4176" s="10" t="str">
        <f>IF(B4176="","",IFERROR(INDEX(Harytlar!$C$5:$C$44,MATCH(B4176,Harytlar!$A$5:$A$44,0)),""))</f>
        <v/>
      </c>
      <c r="F4176" s="10" t="str">
        <f t="shared" si="65"/>
        <v/>
      </c>
      <c r="G4176" s="10" t="str">
        <f>IF(OR(C4176="",B4176=""),"",IFERROR(C4176*INDEX(Harytlar!$D$5:$D$44,MATCH(B4176,Harytlar!$A$5:$A$44,0)),""))</f>
        <v/>
      </c>
    </row>
    <row r="4177" spans="1:7" x14ac:dyDescent="0.3">
      <c r="A4177" s="17"/>
      <c r="B4177" s="18"/>
      <c r="C4177" s="18"/>
      <c r="D4177" s="18"/>
      <c r="E4177" s="10" t="str">
        <f>IF(B4177="","",IFERROR(INDEX(Harytlar!$C$5:$C$44,MATCH(B4177,Harytlar!$A$5:$A$44,0)),""))</f>
        <v/>
      </c>
      <c r="F4177" s="10" t="str">
        <f t="shared" si="65"/>
        <v/>
      </c>
      <c r="G4177" s="10" t="str">
        <f>IF(OR(C4177="",B4177=""),"",IFERROR(C4177*INDEX(Harytlar!$D$5:$D$44,MATCH(B4177,Harytlar!$A$5:$A$44,0)),""))</f>
        <v/>
      </c>
    </row>
    <row r="4178" spans="1:7" x14ac:dyDescent="0.3">
      <c r="A4178" s="17"/>
      <c r="B4178" s="18"/>
      <c r="C4178" s="18"/>
      <c r="D4178" s="18"/>
      <c r="E4178" s="10" t="str">
        <f>IF(B4178="","",IFERROR(INDEX(Harytlar!$C$5:$C$44,MATCH(B4178,Harytlar!$A$5:$A$44,0)),""))</f>
        <v/>
      </c>
      <c r="F4178" s="10" t="str">
        <f t="shared" si="65"/>
        <v/>
      </c>
      <c r="G4178" s="10" t="str">
        <f>IF(OR(C4178="",B4178=""),"",IFERROR(C4178*INDEX(Harytlar!$D$5:$D$44,MATCH(B4178,Harytlar!$A$5:$A$44,0)),""))</f>
        <v/>
      </c>
    </row>
    <row r="4179" spans="1:7" x14ac:dyDescent="0.3">
      <c r="A4179" s="17"/>
      <c r="B4179" s="18"/>
      <c r="C4179" s="18"/>
      <c r="D4179" s="18"/>
      <c r="E4179" s="10" t="str">
        <f>IF(B4179="","",IFERROR(INDEX(Harytlar!$C$5:$C$44,MATCH(B4179,Harytlar!$A$5:$A$44,0)),""))</f>
        <v/>
      </c>
      <c r="F4179" s="10" t="str">
        <f t="shared" si="65"/>
        <v/>
      </c>
      <c r="G4179" s="10" t="str">
        <f>IF(OR(C4179="",B4179=""),"",IFERROR(C4179*INDEX(Harytlar!$D$5:$D$44,MATCH(B4179,Harytlar!$A$5:$A$44,0)),""))</f>
        <v/>
      </c>
    </row>
    <row r="4180" spans="1:7" x14ac:dyDescent="0.3">
      <c r="A4180" s="17"/>
      <c r="B4180" s="18"/>
      <c r="C4180" s="18"/>
      <c r="D4180" s="18"/>
      <c r="E4180" s="10" t="str">
        <f>IF(B4180="","",IFERROR(INDEX(Harytlar!$C$5:$C$44,MATCH(B4180,Harytlar!$A$5:$A$44,0)),""))</f>
        <v/>
      </c>
      <c r="F4180" s="10" t="str">
        <f t="shared" si="65"/>
        <v/>
      </c>
      <c r="G4180" s="10" t="str">
        <f>IF(OR(C4180="",B4180=""),"",IFERROR(C4180*INDEX(Harytlar!$D$5:$D$44,MATCH(B4180,Harytlar!$A$5:$A$44,0)),""))</f>
        <v/>
      </c>
    </row>
    <row r="4181" spans="1:7" x14ac:dyDescent="0.3">
      <c r="A4181" s="17"/>
      <c r="B4181" s="18"/>
      <c r="C4181" s="18"/>
      <c r="D4181" s="18"/>
      <c r="E4181" s="10" t="str">
        <f>IF(B4181="","",IFERROR(INDEX(Harytlar!$C$5:$C$44,MATCH(B4181,Harytlar!$A$5:$A$44,0)),""))</f>
        <v/>
      </c>
      <c r="F4181" s="10" t="str">
        <f t="shared" si="65"/>
        <v/>
      </c>
      <c r="G4181" s="10" t="str">
        <f>IF(OR(C4181="",B4181=""),"",IFERROR(C4181*INDEX(Harytlar!$D$5:$D$44,MATCH(B4181,Harytlar!$A$5:$A$44,0)),""))</f>
        <v/>
      </c>
    </row>
    <row r="4182" spans="1:7" x14ac:dyDescent="0.3">
      <c r="A4182" s="17"/>
      <c r="B4182" s="18"/>
      <c r="C4182" s="18"/>
      <c r="D4182" s="18"/>
      <c r="E4182" s="10" t="str">
        <f>IF(B4182="","",IFERROR(INDEX(Harytlar!$C$5:$C$44,MATCH(B4182,Harytlar!$A$5:$A$44,0)),""))</f>
        <v/>
      </c>
      <c r="F4182" s="10" t="str">
        <f t="shared" si="65"/>
        <v/>
      </c>
      <c r="G4182" s="10" t="str">
        <f>IF(OR(C4182="",B4182=""),"",IFERROR(C4182*INDEX(Harytlar!$D$5:$D$44,MATCH(B4182,Harytlar!$A$5:$A$44,0)),""))</f>
        <v/>
      </c>
    </row>
    <row r="4183" spans="1:7" x14ac:dyDescent="0.3">
      <c r="A4183" s="17"/>
      <c r="B4183" s="18"/>
      <c r="C4183" s="18"/>
      <c r="D4183" s="18"/>
      <c r="E4183" s="10" t="str">
        <f>IF(B4183="","",IFERROR(INDEX(Harytlar!$C$5:$C$44,MATCH(B4183,Harytlar!$A$5:$A$44,0)),""))</f>
        <v/>
      </c>
      <c r="F4183" s="10" t="str">
        <f t="shared" si="65"/>
        <v/>
      </c>
      <c r="G4183" s="10" t="str">
        <f>IF(OR(C4183="",B4183=""),"",IFERROR(C4183*INDEX(Harytlar!$D$5:$D$44,MATCH(B4183,Harytlar!$A$5:$A$44,0)),""))</f>
        <v/>
      </c>
    </row>
    <row r="4184" spans="1:7" x14ac:dyDescent="0.3">
      <c r="A4184" s="17"/>
      <c r="B4184" s="18"/>
      <c r="C4184" s="18"/>
      <c r="D4184" s="18"/>
      <c r="E4184" s="10" t="str">
        <f>IF(B4184="","",IFERROR(INDEX(Harytlar!$C$5:$C$44,MATCH(B4184,Harytlar!$A$5:$A$44,0)),""))</f>
        <v/>
      </c>
      <c r="F4184" s="10" t="str">
        <f t="shared" si="65"/>
        <v/>
      </c>
      <c r="G4184" s="10" t="str">
        <f>IF(OR(C4184="",B4184=""),"",IFERROR(C4184*INDEX(Harytlar!$D$5:$D$44,MATCH(B4184,Harytlar!$A$5:$A$44,0)),""))</f>
        <v/>
      </c>
    </row>
    <row r="4185" spans="1:7" x14ac:dyDescent="0.3">
      <c r="A4185" s="17"/>
      <c r="B4185" s="18"/>
      <c r="C4185" s="18"/>
      <c r="D4185" s="18"/>
      <c r="E4185" s="10" t="str">
        <f>IF(B4185="","",IFERROR(INDEX(Harytlar!$C$5:$C$44,MATCH(B4185,Harytlar!$A$5:$A$44,0)),""))</f>
        <v/>
      </c>
      <c r="F4185" s="10" t="str">
        <f t="shared" si="65"/>
        <v/>
      </c>
      <c r="G4185" s="10" t="str">
        <f>IF(OR(C4185="",B4185=""),"",IFERROR(C4185*INDEX(Harytlar!$D$5:$D$44,MATCH(B4185,Harytlar!$A$5:$A$44,0)),""))</f>
        <v/>
      </c>
    </row>
    <row r="4186" spans="1:7" x14ac:dyDescent="0.3">
      <c r="A4186" s="17"/>
      <c r="B4186" s="18"/>
      <c r="C4186" s="18"/>
      <c r="D4186" s="18"/>
      <c r="E4186" s="10" t="str">
        <f>IF(B4186="","",IFERROR(INDEX(Harytlar!$C$5:$C$44,MATCH(B4186,Harytlar!$A$5:$A$44,0)),""))</f>
        <v/>
      </c>
      <c r="F4186" s="10" t="str">
        <f t="shared" si="65"/>
        <v/>
      </c>
      <c r="G4186" s="10" t="str">
        <f>IF(OR(C4186="",B4186=""),"",IFERROR(C4186*INDEX(Harytlar!$D$5:$D$44,MATCH(B4186,Harytlar!$A$5:$A$44,0)),""))</f>
        <v/>
      </c>
    </row>
    <row r="4187" spans="1:7" x14ac:dyDescent="0.3">
      <c r="A4187" s="17"/>
      <c r="B4187" s="18"/>
      <c r="C4187" s="18"/>
      <c r="D4187" s="18"/>
      <c r="E4187" s="10" t="str">
        <f>IF(B4187="","",IFERROR(INDEX(Harytlar!$C$5:$C$44,MATCH(B4187,Harytlar!$A$5:$A$44,0)),""))</f>
        <v/>
      </c>
      <c r="F4187" s="10" t="str">
        <f t="shared" si="65"/>
        <v/>
      </c>
      <c r="G4187" s="10" t="str">
        <f>IF(OR(C4187="",B4187=""),"",IFERROR(C4187*INDEX(Harytlar!$D$5:$D$44,MATCH(B4187,Harytlar!$A$5:$A$44,0)),""))</f>
        <v/>
      </c>
    </row>
    <row r="4188" spans="1:7" x14ac:dyDescent="0.3">
      <c r="A4188" s="17"/>
      <c r="B4188" s="18"/>
      <c r="C4188" s="18"/>
      <c r="D4188" s="18"/>
      <c r="E4188" s="10" t="str">
        <f>IF(B4188="","",IFERROR(INDEX(Harytlar!$C$5:$C$44,MATCH(B4188,Harytlar!$A$5:$A$44,0)),""))</f>
        <v/>
      </c>
      <c r="F4188" s="10" t="str">
        <f t="shared" si="65"/>
        <v/>
      </c>
      <c r="G4188" s="10" t="str">
        <f>IF(OR(C4188="",B4188=""),"",IFERROR(C4188*INDEX(Harytlar!$D$5:$D$44,MATCH(B4188,Harytlar!$A$5:$A$44,0)),""))</f>
        <v/>
      </c>
    </row>
    <row r="4189" spans="1:7" x14ac:dyDescent="0.3">
      <c r="A4189" s="17"/>
      <c r="B4189" s="18"/>
      <c r="C4189" s="18"/>
      <c r="D4189" s="18"/>
      <c r="E4189" s="10" t="str">
        <f>IF(B4189="","",IFERROR(INDEX(Harytlar!$C$5:$C$44,MATCH(B4189,Harytlar!$A$5:$A$44,0)),""))</f>
        <v/>
      </c>
      <c r="F4189" s="10" t="str">
        <f t="shared" si="65"/>
        <v/>
      </c>
      <c r="G4189" s="10" t="str">
        <f>IF(OR(C4189="",B4189=""),"",IFERROR(C4189*INDEX(Harytlar!$D$5:$D$44,MATCH(B4189,Harytlar!$A$5:$A$44,0)),""))</f>
        <v/>
      </c>
    </row>
    <row r="4190" spans="1:7" x14ac:dyDescent="0.3">
      <c r="A4190" s="17"/>
      <c r="B4190" s="18"/>
      <c r="C4190" s="18"/>
      <c r="D4190" s="18"/>
      <c r="E4190" s="10" t="str">
        <f>IF(B4190="","",IFERROR(INDEX(Harytlar!$C$5:$C$44,MATCH(B4190,Harytlar!$A$5:$A$44,0)),""))</f>
        <v/>
      </c>
      <c r="F4190" s="10" t="str">
        <f t="shared" si="65"/>
        <v/>
      </c>
      <c r="G4190" s="10" t="str">
        <f>IF(OR(C4190="",B4190=""),"",IFERROR(C4190*INDEX(Harytlar!$D$5:$D$44,MATCH(B4190,Harytlar!$A$5:$A$44,0)),""))</f>
        <v/>
      </c>
    </row>
    <row r="4191" spans="1:7" x14ac:dyDescent="0.3">
      <c r="A4191" s="17"/>
      <c r="B4191" s="18"/>
      <c r="C4191" s="18"/>
      <c r="D4191" s="18"/>
      <c r="E4191" s="10" t="str">
        <f>IF(B4191="","",IFERROR(INDEX(Harytlar!$C$5:$C$44,MATCH(B4191,Harytlar!$A$5:$A$44,0)),""))</f>
        <v/>
      </c>
      <c r="F4191" s="10" t="str">
        <f t="shared" si="65"/>
        <v/>
      </c>
      <c r="G4191" s="10" t="str">
        <f>IF(OR(C4191="",B4191=""),"",IFERROR(C4191*INDEX(Harytlar!$D$5:$D$44,MATCH(B4191,Harytlar!$A$5:$A$44,0)),""))</f>
        <v/>
      </c>
    </row>
    <row r="4192" spans="1:7" x14ac:dyDescent="0.3">
      <c r="A4192" s="17"/>
      <c r="B4192" s="18"/>
      <c r="C4192" s="18"/>
      <c r="D4192" s="18"/>
      <c r="E4192" s="10" t="str">
        <f>IF(B4192="","",IFERROR(INDEX(Harytlar!$C$5:$C$44,MATCH(B4192,Harytlar!$A$5:$A$44,0)),""))</f>
        <v/>
      </c>
      <c r="F4192" s="10" t="str">
        <f t="shared" si="65"/>
        <v/>
      </c>
      <c r="G4192" s="10" t="str">
        <f>IF(OR(C4192="",B4192=""),"",IFERROR(C4192*INDEX(Harytlar!$D$5:$D$44,MATCH(B4192,Harytlar!$A$5:$A$44,0)),""))</f>
        <v/>
      </c>
    </row>
    <row r="4193" spans="1:7" x14ac:dyDescent="0.3">
      <c r="A4193" s="17"/>
      <c r="B4193" s="18"/>
      <c r="C4193" s="18"/>
      <c r="D4193" s="18"/>
      <c r="E4193" s="10" t="str">
        <f>IF(B4193="","",IFERROR(INDEX(Harytlar!$C$5:$C$44,MATCH(B4193,Harytlar!$A$5:$A$44,0)),""))</f>
        <v/>
      </c>
      <c r="F4193" s="10" t="str">
        <f t="shared" si="65"/>
        <v/>
      </c>
      <c r="G4193" s="10" t="str">
        <f>IF(OR(C4193="",B4193=""),"",IFERROR(C4193*INDEX(Harytlar!$D$5:$D$44,MATCH(B4193,Harytlar!$A$5:$A$44,0)),""))</f>
        <v/>
      </c>
    </row>
    <row r="4194" spans="1:7" x14ac:dyDescent="0.3">
      <c r="A4194" s="17"/>
      <c r="B4194" s="18"/>
      <c r="C4194" s="18"/>
      <c r="D4194" s="18"/>
      <c r="E4194" s="10" t="str">
        <f>IF(B4194="","",IFERROR(INDEX(Harytlar!$C$5:$C$44,MATCH(B4194,Harytlar!$A$5:$A$44,0)),""))</f>
        <v/>
      </c>
      <c r="F4194" s="10" t="str">
        <f t="shared" si="65"/>
        <v/>
      </c>
      <c r="G4194" s="10" t="str">
        <f>IF(OR(C4194="",B4194=""),"",IFERROR(C4194*INDEX(Harytlar!$D$5:$D$44,MATCH(B4194,Harytlar!$A$5:$A$44,0)),""))</f>
        <v/>
      </c>
    </row>
    <row r="4195" spans="1:7" x14ac:dyDescent="0.3">
      <c r="A4195" s="17"/>
      <c r="B4195" s="18"/>
      <c r="C4195" s="18"/>
      <c r="D4195" s="18"/>
      <c r="E4195" s="10" t="str">
        <f>IF(B4195="","",IFERROR(INDEX(Harytlar!$C$5:$C$44,MATCH(B4195,Harytlar!$A$5:$A$44,0)),""))</f>
        <v/>
      </c>
      <c r="F4195" s="10" t="str">
        <f t="shared" si="65"/>
        <v/>
      </c>
      <c r="G4195" s="10" t="str">
        <f>IF(OR(C4195="",B4195=""),"",IFERROR(C4195*INDEX(Harytlar!$D$5:$D$44,MATCH(B4195,Harytlar!$A$5:$A$44,0)),""))</f>
        <v/>
      </c>
    </row>
    <row r="4196" spans="1:7" x14ac:dyDescent="0.3">
      <c r="A4196" s="17"/>
      <c r="B4196" s="18"/>
      <c r="C4196" s="18"/>
      <c r="D4196" s="18"/>
      <c r="E4196" s="10" t="str">
        <f>IF(B4196="","",IFERROR(INDEX(Harytlar!$C$5:$C$44,MATCH(B4196,Harytlar!$A$5:$A$44,0)),""))</f>
        <v/>
      </c>
      <c r="F4196" s="10" t="str">
        <f t="shared" si="65"/>
        <v/>
      </c>
      <c r="G4196" s="10" t="str">
        <f>IF(OR(C4196="",B4196=""),"",IFERROR(C4196*INDEX(Harytlar!$D$5:$D$44,MATCH(B4196,Harytlar!$A$5:$A$44,0)),""))</f>
        <v/>
      </c>
    </row>
    <row r="4197" spans="1:7" x14ac:dyDescent="0.3">
      <c r="A4197" s="17"/>
      <c r="B4197" s="18"/>
      <c r="C4197" s="18"/>
      <c r="D4197" s="18"/>
      <c r="E4197" s="10" t="str">
        <f>IF(B4197="","",IFERROR(INDEX(Harytlar!$C$5:$C$44,MATCH(B4197,Harytlar!$A$5:$A$44,0)),""))</f>
        <v/>
      </c>
      <c r="F4197" s="10" t="str">
        <f t="shared" si="65"/>
        <v/>
      </c>
      <c r="G4197" s="10" t="str">
        <f>IF(OR(C4197="",B4197=""),"",IFERROR(C4197*INDEX(Harytlar!$D$5:$D$44,MATCH(B4197,Harytlar!$A$5:$A$44,0)),""))</f>
        <v/>
      </c>
    </row>
    <row r="4198" spans="1:7" x14ac:dyDescent="0.3">
      <c r="A4198" s="17"/>
      <c r="B4198" s="18"/>
      <c r="C4198" s="18"/>
      <c r="D4198" s="18"/>
      <c r="E4198" s="10" t="str">
        <f>IF(B4198="","",IFERROR(INDEX(Harytlar!$C$5:$C$44,MATCH(B4198,Harytlar!$A$5:$A$44,0)),""))</f>
        <v/>
      </c>
      <c r="F4198" s="10" t="str">
        <f t="shared" si="65"/>
        <v/>
      </c>
      <c r="G4198" s="10" t="str">
        <f>IF(OR(C4198="",B4198=""),"",IFERROR(C4198*INDEX(Harytlar!$D$5:$D$44,MATCH(B4198,Harytlar!$A$5:$A$44,0)),""))</f>
        <v/>
      </c>
    </row>
    <row r="4199" spans="1:7" x14ac:dyDescent="0.3">
      <c r="A4199" s="17"/>
      <c r="B4199" s="18"/>
      <c r="C4199" s="18"/>
      <c r="D4199" s="18"/>
      <c r="E4199" s="10" t="str">
        <f>IF(B4199="","",IFERROR(INDEX(Harytlar!$C$5:$C$44,MATCH(B4199,Harytlar!$A$5:$A$44,0)),""))</f>
        <v/>
      </c>
      <c r="F4199" s="10" t="str">
        <f t="shared" si="65"/>
        <v/>
      </c>
      <c r="G4199" s="10" t="str">
        <f>IF(OR(C4199="",B4199=""),"",IFERROR(C4199*INDEX(Harytlar!$D$5:$D$44,MATCH(B4199,Harytlar!$A$5:$A$44,0)),""))</f>
        <v/>
      </c>
    </row>
    <row r="4200" spans="1:7" x14ac:dyDescent="0.3">
      <c r="A4200" s="17"/>
      <c r="B4200" s="18"/>
      <c r="C4200" s="18"/>
      <c r="D4200" s="18"/>
      <c r="E4200" s="10" t="str">
        <f>IF(B4200="","",IFERROR(INDEX(Harytlar!$C$5:$C$44,MATCH(B4200,Harytlar!$A$5:$A$44,0)),""))</f>
        <v/>
      </c>
      <c r="F4200" s="10" t="str">
        <f t="shared" si="65"/>
        <v/>
      </c>
      <c r="G4200" s="10" t="str">
        <f>IF(OR(C4200="",B4200=""),"",IFERROR(C4200*INDEX(Harytlar!$D$5:$D$44,MATCH(B4200,Harytlar!$A$5:$A$44,0)),""))</f>
        <v/>
      </c>
    </row>
    <row r="4201" spans="1:7" x14ac:dyDescent="0.3">
      <c r="A4201" s="17"/>
      <c r="B4201" s="18"/>
      <c r="C4201" s="18"/>
      <c r="D4201" s="18"/>
      <c r="E4201" s="10" t="str">
        <f>IF(B4201="","",IFERROR(INDEX(Harytlar!$C$5:$C$44,MATCH(B4201,Harytlar!$A$5:$A$44,0)),""))</f>
        <v/>
      </c>
      <c r="F4201" s="10" t="str">
        <f t="shared" si="65"/>
        <v/>
      </c>
      <c r="G4201" s="10" t="str">
        <f>IF(OR(C4201="",B4201=""),"",IFERROR(C4201*INDEX(Harytlar!$D$5:$D$44,MATCH(B4201,Harytlar!$A$5:$A$44,0)),""))</f>
        <v/>
      </c>
    </row>
    <row r="4202" spans="1:7" x14ac:dyDescent="0.3">
      <c r="A4202" s="17"/>
      <c r="B4202" s="18"/>
      <c r="C4202" s="18"/>
      <c r="D4202" s="18"/>
      <c r="E4202" s="10" t="str">
        <f>IF(B4202="","",IFERROR(INDEX(Harytlar!$C$5:$C$44,MATCH(B4202,Harytlar!$A$5:$A$44,0)),""))</f>
        <v/>
      </c>
      <c r="F4202" s="10" t="str">
        <f t="shared" si="65"/>
        <v/>
      </c>
      <c r="G4202" s="10" t="str">
        <f>IF(OR(C4202="",B4202=""),"",IFERROR(C4202*INDEX(Harytlar!$D$5:$D$44,MATCH(B4202,Harytlar!$A$5:$A$44,0)),""))</f>
        <v/>
      </c>
    </row>
    <row r="4203" spans="1:7" x14ac:dyDescent="0.3">
      <c r="A4203" s="17"/>
      <c r="B4203" s="18"/>
      <c r="C4203" s="18"/>
      <c r="D4203" s="18"/>
      <c r="E4203" s="10" t="str">
        <f>IF(B4203="","",IFERROR(INDEX(Harytlar!$C$5:$C$44,MATCH(B4203,Harytlar!$A$5:$A$44,0)),""))</f>
        <v/>
      </c>
      <c r="F4203" s="10" t="str">
        <f t="shared" si="65"/>
        <v/>
      </c>
      <c r="G4203" s="10" t="str">
        <f>IF(OR(C4203="",B4203=""),"",IFERROR(C4203*INDEX(Harytlar!$D$5:$D$44,MATCH(B4203,Harytlar!$A$5:$A$44,0)),""))</f>
        <v/>
      </c>
    </row>
    <row r="4204" spans="1:7" x14ac:dyDescent="0.3">
      <c r="A4204" s="17"/>
      <c r="B4204" s="18"/>
      <c r="C4204" s="18"/>
      <c r="D4204" s="18"/>
      <c r="E4204" s="10" t="str">
        <f>IF(B4204="","",IFERROR(INDEX(Harytlar!$C$5:$C$44,MATCH(B4204,Harytlar!$A$5:$A$44,0)),""))</f>
        <v/>
      </c>
      <c r="F4204" s="10" t="str">
        <f t="shared" si="65"/>
        <v/>
      </c>
      <c r="G4204" s="10" t="str">
        <f>IF(OR(C4204="",B4204=""),"",IFERROR(C4204*INDEX(Harytlar!$D$5:$D$44,MATCH(B4204,Harytlar!$A$5:$A$44,0)),""))</f>
        <v/>
      </c>
    </row>
    <row r="4205" spans="1:7" x14ac:dyDescent="0.3">
      <c r="A4205" s="17"/>
      <c r="B4205" s="18"/>
      <c r="C4205" s="18"/>
      <c r="D4205" s="18"/>
      <c r="E4205" s="10" t="str">
        <f>IF(B4205="","",IFERROR(INDEX(Harytlar!$C$5:$C$44,MATCH(B4205,Harytlar!$A$5:$A$44,0)),""))</f>
        <v/>
      </c>
      <c r="F4205" s="10" t="str">
        <f t="shared" si="65"/>
        <v/>
      </c>
      <c r="G4205" s="10" t="str">
        <f>IF(OR(C4205="",B4205=""),"",IFERROR(C4205*INDEX(Harytlar!$D$5:$D$44,MATCH(B4205,Harytlar!$A$5:$A$44,0)),""))</f>
        <v/>
      </c>
    </row>
    <row r="4206" spans="1:7" x14ac:dyDescent="0.3">
      <c r="A4206" s="17"/>
      <c r="B4206" s="18"/>
      <c r="C4206" s="18"/>
      <c r="D4206" s="18"/>
      <c r="E4206" s="10" t="str">
        <f>IF(B4206="","",IFERROR(INDEX(Harytlar!$C$5:$C$44,MATCH(B4206,Harytlar!$A$5:$A$44,0)),""))</f>
        <v/>
      </c>
      <c r="F4206" s="10" t="str">
        <f t="shared" si="65"/>
        <v/>
      </c>
      <c r="G4206" s="10" t="str">
        <f>IF(OR(C4206="",B4206=""),"",IFERROR(C4206*INDEX(Harytlar!$D$5:$D$44,MATCH(B4206,Harytlar!$A$5:$A$44,0)),""))</f>
        <v/>
      </c>
    </row>
    <row r="4207" spans="1:7" x14ac:dyDescent="0.3">
      <c r="A4207" s="17"/>
      <c r="B4207" s="18"/>
      <c r="C4207" s="18"/>
      <c r="D4207" s="18"/>
      <c r="E4207" s="10" t="str">
        <f>IF(B4207="","",IFERROR(INDEX(Harytlar!$C$5:$C$44,MATCH(B4207,Harytlar!$A$5:$A$44,0)),""))</f>
        <v/>
      </c>
      <c r="F4207" s="10" t="str">
        <f t="shared" si="65"/>
        <v/>
      </c>
      <c r="G4207" s="10" t="str">
        <f>IF(OR(C4207="",B4207=""),"",IFERROR(C4207*INDEX(Harytlar!$D$5:$D$44,MATCH(B4207,Harytlar!$A$5:$A$44,0)),""))</f>
        <v/>
      </c>
    </row>
    <row r="4208" spans="1:7" x14ac:dyDescent="0.3">
      <c r="A4208" s="17"/>
      <c r="B4208" s="18"/>
      <c r="C4208" s="18"/>
      <c r="D4208" s="18"/>
      <c r="E4208" s="10" t="str">
        <f>IF(B4208="","",IFERROR(INDEX(Harytlar!$C$5:$C$44,MATCH(B4208,Harytlar!$A$5:$A$44,0)),""))</f>
        <v/>
      </c>
      <c r="F4208" s="10" t="str">
        <f t="shared" si="65"/>
        <v/>
      </c>
      <c r="G4208" s="10" t="str">
        <f>IF(OR(C4208="",B4208=""),"",IFERROR(C4208*INDEX(Harytlar!$D$5:$D$44,MATCH(B4208,Harytlar!$A$5:$A$44,0)),""))</f>
        <v/>
      </c>
    </row>
    <row r="4209" spans="1:7" x14ac:dyDescent="0.3">
      <c r="A4209" s="17"/>
      <c r="B4209" s="18"/>
      <c r="C4209" s="18"/>
      <c r="D4209" s="18"/>
      <c r="E4209" s="10" t="str">
        <f>IF(B4209="","",IFERROR(INDEX(Harytlar!$C$5:$C$44,MATCH(B4209,Harytlar!$A$5:$A$44,0)),""))</f>
        <v/>
      </c>
      <c r="F4209" s="10" t="str">
        <f t="shared" si="65"/>
        <v/>
      </c>
      <c r="G4209" s="10" t="str">
        <f>IF(OR(C4209="",B4209=""),"",IFERROR(C4209*INDEX(Harytlar!$D$5:$D$44,MATCH(B4209,Harytlar!$A$5:$A$44,0)),""))</f>
        <v/>
      </c>
    </row>
    <row r="4210" spans="1:7" x14ac:dyDescent="0.3">
      <c r="A4210" s="17"/>
      <c r="B4210" s="18"/>
      <c r="C4210" s="18"/>
      <c r="D4210" s="18"/>
      <c r="E4210" s="10" t="str">
        <f>IF(B4210="","",IFERROR(INDEX(Harytlar!$C$5:$C$44,MATCH(B4210,Harytlar!$A$5:$A$44,0)),""))</f>
        <v/>
      </c>
      <c r="F4210" s="10" t="str">
        <f t="shared" si="65"/>
        <v/>
      </c>
      <c r="G4210" s="10" t="str">
        <f>IF(OR(C4210="",B4210=""),"",IFERROR(C4210*INDEX(Harytlar!$D$5:$D$44,MATCH(B4210,Harytlar!$A$5:$A$44,0)),""))</f>
        <v/>
      </c>
    </row>
    <row r="4211" spans="1:7" x14ac:dyDescent="0.3">
      <c r="A4211" s="17"/>
      <c r="B4211" s="18"/>
      <c r="C4211" s="18"/>
      <c r="D4211" s="18"/>
      <c r="E4211" s="10" t="str">
        <f>IF(B4211="","",IFERROR(INDEX(Harytlar!$C$5:$C$44,MATCH(B4211,Harytlar!$A$5:$A$44,0)),""))</f>
        <v/>
      </c>
      <c r="F4211" s="10" t="str">
        <f t="shared" si="65"/>
        <v/>
      </c>
      <c r="G4211" s="10" t="str">
        <f>IF(OR(C4211="",B4211=""),"",IFERROR(C4211*INDEX(Harytlar!$D$5:$D$44,MATCH(B4211,Harytlar!$A$5:$A$44,0)),""))</f>
        <v/>
      </c>
    </row>
    <row r="4212" spans="1:7" x14ac:dyDescent="0.3">
      <c r="A4212" s="17"/>
      <c r="B4212" s="18"/>
      <c r="C4212" s="18"/>
      <c r="D4212" s="18"/>
      <c r="E4212" s="10" t="str">
        <f>IF(B4212="","",IFERROR(INDEX(Harytlar!$C$5:$C$44,MATCH(B4212,Harytlar!$A$5:$A$44,0)),""))</f>
        <v/>
      </c>
      <c r="F4212" s="10" t="str">
        <f t="shared" si="65"/>
        <v/>
      </c>
      <c r="G4212" s="10" t="str">
        <f>IF(OR(C4212="",B4212=""),"",IFERROR(C4212*INDEX(Harytlar!$D$5:$D$44,MATCH(B4212,Harytlar!$A$5:$A$44,0)),""))</f>
        <v/>
      </c>
    </row>
    <row r="4213" spans="1:7" x14ac:dyDescent="0.3">
      <c r="A4213" s="17"/>
      <c r="B4213" s="18"/>
      <c r="C4213" s="18"/>
      <c r="D4213" s="18"/>
      <c r="E4213" s="10" t="str">
        <f>IF(B4213="","",IFERROR(INDEX(Harytlar!$C$5:$C$44,MATCH(B4213,Harytlar!$A$5:$A$44,0)),""))</f>
        <v/>
      </c>
      <c r="F4213" s="10" t="str">
        <f t="shared" si="65"/>
        <v/>
      </c>
      <c r="G4213" s="10" t="str">
        <f>IF(OR(C4213="",B4213=""),"",IFERROR(C4213*INDEX(Harytlar!$D$5:$D$44,MATCH(B4213,Harytlar!$A$5:$A$44,0)),""))</f>
        <v/>
      </c>
    </row>
    <row r="4214" spans="1:7" x14ac:dyDescent="0.3">
      <c r="A4214" s="17"/>
      <c r="B4214" s="18"/>
      <c r="C4214" s="18"/>
      <c r="D4214" s="18"/>
      <c r="E4214" s="10" t="str">
        <f>IF(B4214="","",IFERROR(INDEX(Harytlar!$C$5:$C$44,MATCH(B4214,Harytlar!$A$5:$A$44,0)),""))</f>
        <v/>
      </c>
      <c r="F4214" s="10" t="str">
        <f t="shared" si="65"/>
        <v/>
      </c>
      <c r="G4214" s="10" t="str">
        <f>IF(OR(C4214="",B4214=""),"",IFERROR(C4214*INDEX(Harytlar!$D$5:$D$44,MATCH(B4214,Harytlar!$A$5:$A$44,0)),""))</f>
        <v/>
      </c>
    </row>
    <row r="4215" spans="1:7" x14ac:dyDescent="0.3">
      <c r="A4215" s="17"/>
      <c r="B4215" s="18"/>
      <c r="C4215" s="18"/>
      <c r="D4215" s="18"/>
      <c r="E4215" s="10" t="str">
        <f>IF(B4215="","",IFERROR(INDEX(Harytlar!$C$5:$C$44,MATCH(B4215,Harytlar!$A$5:$A$44,0)),""))</f>
        <v/>
      </c>
      <c r="F4215" s="10" t="str">
        <f t="shared" si="65"/>
        <v/>
      </c>
      <c r="G4215" s="10" t="str">
        <f>IF(OR(C4215="",B4215=""),"",IFERROR(C4215*INDEX(Harytlar!$D$5:$D$44,MATCH(B4215,Harytlar!$A$5:$A$44,0)),""))</f>
        <v/>
      </c>
    </row>
    <row r="4216" spans="1:7" x14ac:dyDescent="0.3">
      <c r="A4216" s="17"/>
      <c r="B4216" s="18"/>
      <c r="C4216" s="18"/>
      <c r="D4216" s="18"/>
      <c r="E4216" s="10" t="str">
        <f>IF(B4216="","",IFERROR(INDEX(Harytlar!$C$5:$C$44,MATCH(B4216,Harytlar!$A$5:$A$44,0)),""))</f>
        <v/>
      </c>
      <c r="F4216" s="10" t="str">
        <f t="shared" si="65"/>
        <v/>
      </c>
      <c r="G4216" s="10" t="str">
        <f>IF(OR(C4216="",B4216=""),"",IFERROR(C4216*INDEX(Harytlar!$D$5:$D$44,MATCH(B4216,Harytlar!$A$5:$A$44,0)),""))</f>
        <v/>
      </c>
    </row>
    <row r="4217" spans="1:7" x14ac:dyDescent="0.3">
      <c r="A4217" s="17"/>
      <c r="B4217" s="18"/>
      <c r="C4217" s="18"/>
      <c r="D4217" s="18"/>
      <c r="E4217" s="10" t="str">
        <f>IF(B4217="","",IFERROR(INDEX(Harytlar!$C$5:$C$44,MATCH(B4217,Harytlar!$A$5:$A$44,0)),""))</f>
        <v/>
      </c>
      <c r="F4217" s="10" t="str">
        <f t="shared" si="65"/>
        <v/>
      </c>
      <c r="G4217" s="10" t="str">
        <f>IF(OR(C4217="",B4217=""),"",IFERROR(C4217*INDEX(Harytlar!$D$5:$D$44,MATCH(B4217,Harytlar!$A$5:$A$44,0)),""))</f>
        <v/>
      </c>
    </row>
    <row r="4218" spans="1:7" x14ac:dyDescent="0.3">
      <c r="A4218" s="17"/>
      <c r="B4218" s="18"/>
      <c r="C4218" s="18"/>
      <c r="D4218" s="18"/>
      <c r="E4218" s="10" t="str">
        <f>IF(B4218="","",IFERROR(INDEX(Harytlar!$C$5:$C$44,MATCH(B4218,Harytlar!$A$5:$A$44,0)),""))</f>
        <v/>
      </c>
      <c r="F4218" s="10" t="str">
        <f t="shared" si="65"/>
        <v/>
      </c>
      <c r="G4218" s="10" t="str">
        <f>IF(OR(C4218="",B4218=""),"",IFERROR(C4218*INDEX(Harytlar!$D$5:$D$44,MATCH(B4218,Harytlar!$A$5:$A$44,0)),""))</f>
        <v/>
      </c>
    </row>
    <row r="4219" spans="1:7" x14ac:dyDescent="0.3">
      <c r="A4219" s="17"/>
      <c r="B4219" s="18"/>
      <c r="C4219" s="18"/>
      <c r="D4219" s="18"/>
      <c r="E4219" s="10" t="str">
        <f>IF(B4219="","",IFERROR(INDEX(Harytlar!$C$5:$C$44,MATCH(B4219,Harytlar!$A$5:$A$44,0)),""))</f>
        <v/>
      </c>
      <c r="F4219" s="10" t="str">
        <f t="shared" si="65"/>
        <v/>
      </c>
      <c r="G4219" s="10" t="str">
        <f>IF(OR(C4219="",B4219=""),"",IFERROR(C4219*INDEX(Harytlar!$D$5:$D$44,MATCH(B4219,Harytlar!$A$5:$A$44,0)),""))</f>
        <v/>
      </c>
    </row>
    <row r="4220" spans="1:7" x14ac:dyDescent="0.3">
      <c r="A4220" s="17"/>
      <c r="B4220" s="18"/>
      <c r="C4220" s="18"/>
      <c r="D4220" s="18"/>
      <c r="E4220" s="10" t="str">
        <f>IF(B4220="","",IFERROR(INDEX(Harytlar!$C$5:$C$44,MATCH(B4220,Harytlar!$A$5:$A$44,0)),""))</f>
        <v/>
      </c>
      <c r="F4220" s="10" t="str">
        <f t="shared" si="65"/>
        <v/>
      </c>
      <c r="G4220" s="10" t="str">
        <f>IF(OR(C4220="",B4220=""),"",IFERROR(C4220*INDEX(Harytlar!$D$5:$D$44,MATCH(B4220,Harytlar!$A$5:$A$44,0)),""))</f>
        <v/>
      </c>
    </row>
    <row r="4221" spans="1:7" x14ac:dyDescent="0.3">
      <c r="A4221" s="17"/>
      <c r="B4221" s="18"/>
      <c r="C4221" s="18"/>
      <c r="D4221" s="18"/>
      <c r="E4221" s="10" t="str">
        <f>IF(B4221="","",IFERROR(INDEX(Harytlar!$C$5:$C$44,MATCH(B4221,Harytlar!$A$5:$A$44,0)),""))</f>
        <v/>
      </c>
      <c r="F4221" s="10" t="str">
        <f t="shared" si="65"/>
        <v/>
      </c>
      <c r="G4221" s="10" t="str">
        <f>IF(OR(C4221="",B4221=""),"",IFERROR(C4221*INDEX(Harytlar!$D$5:$D$44,MATCH(B4221,Harytlar!$A$5:$A$44,0)),""))</f>
        <v/>
      </c>
    </row>
    <row r="4222" spans="1:7" x14ac:dyDescent="0.3">
      <c r="A4222" s="17"/>
      <c r="B4222" s="18"/>
      <c r="C4222" s="18"/>
      <c r="D4222" s="18"/>
      <c r="E4222" s="10" t="str">
        <f>IF(B4222="","",IFERROR(INDEX(Harytlar!$C$5:$C$44,MATCH(B4222,Harytlar!$A$5:$A$44,0)),""))</f>
        <v/>
      </c>
      <c r="F4222" s="10" t="str">
        <f t="shared" si="65"/>
        <v/>
      </c>
      <c r="G4222" s="10" t="str">
        <f>IF(OR(C4222="",B4222=""),"",IFERROR(C4222*INDEX(Harytlar!$D$5:$D$44,MATCH(B4222,Harytlar!$A$5:$A$44,0)),""))</f>
        <v/>
      </c>
    </row>
    <row r="4223" spans="1:7" x14ac:dyDescent="0.3">
      <c r="A4223" s="17"/>
      <c r="B4223" s="18"/>
      <c r="C4223" s="18"/>
      <c r="D4223" s="18"/>
      <c r="E4223" s="10" t="str">
        <f>IF(B4223="","",IFERROR(INDEX(Harytlar!$C$5:$C$44,MATCH(B4223,Harytlar!$A$5:$A$44,0)),""))</f>
        <v/>
      </c>
      <c r="F4223" s="10" t="str">
        <f t="shared" si="65"/>
        <v/>
      </c>
      <c r="G4223" s="10" t="str">
        <f>IF(OR(C4223="",B4223=""),"",IFERROR(C4223*INDEX(Harytlar!$D$5:$D$44,MATCH(B4223,Harytlar!$A$5:$A$44,0)),""))</f>
        <v/>
      </c>
    </row>
    <row r="4224" spans="1:7" x14ac:dyDescent="0.3">
      <c r="A4224" s="17"/>
      <c r="B4224" s="18"/>
      <c r="C4224" s="18"/>
      <c r="D4224" s="18"/>
      <c r="E4224" s="10" t="str">
        <f>IF(B4224="","",IFERROR(INDEX(Harytlar!$C$5:$C$44,MATCH(B4224,Harytlar!$A$5:$A$44,0)),""))</f>
        <v/>
      </c>
      <c r="F4224" s="10" t="str">
        <f t="shared" si="65"/>
        <v/>
      </c>
      <c r="G4224" s="10" t="str">
        <f>IF(OR(C4224="",B4224=""),"",IFERROR(C4224*INDEX(Harytlar!$D$5:$D$44,MATCH(B4224,Harytlar!$A$5:$A$44,0)),""))</f>
        <v/>
      </c>
    </row>
    <row r="4225" spans="1:7" x14ac:dyDescent="0.3">
      <c r="A4225" s="17"/>
      <c r="B4225" s="18"/>
      <c r="C4225" s="18"/>
      <c r="D4225" s="18"/>
      <c r="E4225" s="10" t="str">
        <f>IF(B4225="","",IFERROR(INDEX(Harytlar!$C$5:$C$44,MATCH(B4225,Harytlar!$A$5:$A$44,0)),""))</f>
        <v/>
      </c>
      <c r="F4225" s="10" t="str">
        <f t="shared" si="65"/>
        <v/>
      </c>
      <c r="G4225" s="10" t="str">
        <f>IF(OR(C4225="",B4225=""),"",IFERROR(C4225*INDEX(Harytlar!$D$5:$D$44,MATCH(B4225,Harytlar!$A$5:$A$44,0)),""))</f>
        <v/>
      </c>
    </row>
    <row r="4226" spans="1:7" x14ac:dyDescent="0.3">
      <c r="A4226" s="17"/>
      <c r="B4226" s="18"/>
      <c r="C4226" s="18"/>
      <c r="D4226" s="18"/>
      <c r="E4226" s="10" t="str">
        <f>IF(B4226="","",IFERROR(INDEX(Harytlar!$C$5:$C$44,MATCH(B4226,Harytlar!$A$5:$A$44,0)),""))</f>
        <v/>
      </c>
      <c r="F4226" s="10" t="str">
        <f t="shared" si="65"/>
        <v/>
      </c>
      <c r="G4226" s="10" t="str">
        <f>IF(OR(C4226="",B4226=""),"",IFERROR(C4226*INDEX(Harytlar!$D$5:$D$44,MATCH(B4226,Harytlar!$A$5:$A$44,0)),""))</f>
        <v/>
      </c>
    </row>
    <row r="4227" spans="1:7" x14ac:dyDescent="0.3">
      <c r="A4227" s="17"/>
      <c r="B4227" s="18"/>
      <c r="C4227" s="18"/>
      <c r="D4227" s="18"/>
      <c r="E4227" s="10" t="str">
        <f>IF(B4227="","",IFERROR(INDEX(Harytlar!$C$5:$C$44,MATCH(B4227,Harytlar!$A$5:$A$44,0)),""))</f>
        <v/>
      </c>
      <c r="F4227" s="10" t="str">
        <f t="shared" si="65"/>
        <v/>
      </c>
      <c r="G4227" s="10" t="str">
        <f>IF(OR(C4227="",B4227=""),"",IFERROR(C4227*INDEX(Harytlar!$D$5:$D$44,MATCH(B4227,Harytlar!$A$5:$A$44,0)),""))</f>
        <v/>
      </c>
    </row>
    <row r="4228" spans="1:7" x14ac:dyDescent="0.3">
      <c r="A4228" s="17"/>
      <c r="B4228" s="18"/>
      <c r="C4228" s="18"/>
      <c r="D4228" s="18"/>
      <c r="E4228" s="10" t="str">
        <f>IF(B4228="","",IFERROR(INDEX(Harytlar!$C$5:$C$44,MATCH(B4228,Harytlar!$A$5:$A$44,0)),""))</f>
        <v/>
      </c>
      <c r="F4228" s="10" t="str">
        <f t="shared" si="65"/>
        <v/>
      </c>
      <c r="G4228" s="10" t="str">
        <f>IF(OR(C4228="",B4228=""),"",IFERROR(C4228*INDEX(Harytlar!$D$5:$D$44,MATCH(B4228,Harytlar!$A$5:$A$44,0)),""))</f>
        <v/>
      </c>
    </row>
    <row r="4229" spans="1:7" x14ac:dyDescent="0.3">
      <c r="A4229" s="17"/>
      <c r="B4229" s="18"/>
      <c r="C4229" s="18"/>
      <c r="D4229" s="18"/>
      <c r="E4229" s="10" t="str">
        <f>IF(B4229="","",IFERROR(INDEX(Harytlar!$C$5:$C$44,MATCH(B4229,Harytlar!$A$5:$A$44,0)),""))</f>
        <v/>
      </c>
      <c r="F4229" s="10" t="str">
        <f t="shared" si="65"/>
        <v/>
      </c>
      <c r="G4229" s="10" t="str">
        <f>IF(OR(C4229="",B4229=""),"",IFERROR(C4229*INDEX(Harytlar!$D$5:$D$44,MATCH(B4229,Harytlar!$A$5:$A$44,0)),""))</f>
        <v/>
      </c>
    </row>
    <row r="4230" spans="1:7" x14ac:dyDescent="0.3">
      <c r="A4230" s="17"/>
      <c r="B4230" s="18"/>
      <c r="C4230" s="18"/>
      <c r="D4230" s="18"/>
      <c r="E4230" s="10" t="str">
        <f>IF(B4230="","",IFERROR(INDEX(Harytlar!$C$5:$C$44,MATCH(B4230,Harytlar!$A$5:$A$44,0)),""))</f>
        <v/>
      </c>
      <c r="F4230" s="10" t="str">
        <f t="shared" ref="F4230:F4293" si="66">IF(OR(C4230="",E4230=""),"",C4230*E4230)</f>
        <v/>
      </c>
      <c r="G4230" s="10" t="str">
        <f>IF(OR(C4230="",B4230=""),"",IFERROR(C4230*INDEX(Harytlar!$D$5:$D$44,MATCH(B4230,Harytlar!$A$5:$A$44,0)),""))</f>
        <v/>
      </c>
    </row>
    <row r="4231" spans="1:7" x14ac:dyDescent="0.3">
      <c r="A4231" s="17"/>
      <c r="B4231" s="18"/>
      <c r="C4231" s="18"/>
      <c r="D4231" s="18"/>
      <c r="E4231" s="10" t="str">
        <f>IF(B4231="","",IFERROR(INDEX(Harytlar!$C$5:$C$44,MATCH(B4231,Harytlar!$A$5:$A$44,0)),""))</f>
        <v/>
      </c>
      <c r="F4231" s="10" t="str">
        <f t="shared" si="66"/>
        <v/>
      </c>
      <c r="G4231" s="10" t="str">
        <f>IF(OR(C4231="",B4231=""),"",IFERROR(C4231*INDEX(Harytlar!$D$5:$D$44,MATCH(B4231,Harytlar!$A$5:$A$44,0)),""))</f>
        <v/>
      </c>
    </row>
    <row r="4232" spans="1:7" x14ac:dyDescent="0.3">
      <c r="A4232" s="17"/>
      <c r="B4232" s="18"/>
      <c r="C4232" s="18"/>
      <c r="D4232" s="18"/>
      <c r="E4232" s="10" t="str">
        <f>IF(B4232="","",IFERROR(INDEX(Harytlar!$C$5:$C$44,MATCH(B4232,Harytlar!$A$5:$A$44,0)),""))</f>
        <v/>
      </c>
      <c r="F4232" s="10" t="str">
        <f t="shared" si="66"/>
        <v/>
      </c>
      <c r="G4232" s="10" t="str">
        <f>IF(OR(C4232="",B4232=""),"",IFERROR(C4232*INDEX(Harytlar!$D$5:$D$44,MATCH(B4232,Harytlar!$A$5:$A$44,0)),""))</f>
        <v/>
      </c>
    </row>
    <row r="4233" spans="1:7" x14ac:dyDescent="0.3">
      <c r="A4233" s="17"/>
      <c r="B4233" s="18"/>
      <c r="C4233" s="18"/>
      <c r="D4233" s="18"/>
      <c r="E4233" s="10" t="str">
        <f>IF(B4233="","",IFERROR(INDEX(Harytlar!$C$5:$C$44,MATCH(B4233,Harytlar!$A$5:$A$44,0)),""))</f>
        <v/>
      </c>
      <c r="F4233" s="10" t="str">
        <f t="shared" si="66"/>
        <v/>
      </c>
      <c r="G4233" s="10" t="str">
        <f>IF(OR(C4233="",B4233=""),"",IFERROR(C4233*INDEX(Harytlar!$D$5:$D$44,MATCH(B4233,Harytlar!$A$5:$A$44,0)),""))</f>
        <v/>
      </c>
    </row>
    <row r="4234" spans="1:7" x14ac:dyDescent="0.3">
      <c r="A4234" s="17"/>
      <c r="B4234" s="18"/>
      <c r="C4234" s="18"/>
      <c r="D4234" s="18"/>
      <c r="E4234" s="10" t="str">
        <f>IF(B4234="","",IFERROR(INDEX(Harytlar!$C$5:$C$44,MATCH(B4234,Harytlar!$A$5:$A$44,0)),""))</f>
        <v/>
      </c>
      <c r="F4234" s="10" t="str">
        <f t="shared" si="66"/>
        <v/>
      </c>
      <c r="G4234" s="10" t="str">
        <f>IF(OR(C4234="",B4234=""),"",IFERROR(C4234*INDEX(Harytlar!$D$5:$D$44,MATCH(B4234,Harytlar!$A$5:$A$44,0)),""))</f>
        <v/>
      </c>
    </row>
    <row r="4235" spans="1:7" x14ac:dyDescent="0.3">
      <c r="A4235" s="17"/>
      <c r="B4235" s="18"/>
      <c r="C4235" s="18"/>
      <c r="D4235" s="18"/>
      <c r="E4235" s="10" t="str">
        <f>IF(B4235="","",IFERROR(INDEX(Harytlar!$C$5:$C$44,MATCH(B4235,Harytlar!$A$5:$A$44,0)),""))</f>
        <v/>
      </c>
      <c r="F4235" s="10" t="str">
        <f t="shared" si="66"/>
        <v/>
      </c>
      <c r="G4235" s="10" t="str">
        <f>IF(OR(C4235="",B4235=""),"",IFERROR(C4235*INDEX(Harytlar!$D$5:$D$44,MATCH(B4235,Harytlar!$A$5:$A$44,0)),""))</f>
        <v/>
      </c>
    </row>
    <row r="4236" spans="1:7" x14ac:dyDescent="0.3">
      <c r="A4236" s="17"/>
      <c r="B4236" s="18"/>
      <c r="C4236" s="18"/>
      <c r="D4236" s="18"/>
      <c r="E4236" s="10" t="str">
        <f>IF(B4236="","",IFERROR(INDEX(Harytlar!$C$5:$C$44,MATCH(B4236,Harytlar!$A$5:$A$44,0)),""))</f>
        <v/>
      </c>
      <c r="F4236" s="10" t="str">
        <f t="shared" si="66"/>
        <v/>
      </c>
      <c r="G4236" s="10" t="str">
        <f>IF(OR(C4236="",B4236=""),"",IFERROR(C4236*INDEX(Harytlar!$D$5:$D$44,MATCH(B4236,Harytlar!$A$5:$A$44,0)),""))</f>
        <v/>
      </c>
    </row>
    <row r="4237" spans="1:7" x14ac:dyDescent="0.3">
      <c r="A4237" s="17"/>
      <c r="B4237" s="18"/>
      <c r="C4237" s="18"/>
      <c r="D4237" s="18"/>
      <c r="E4237" s="10" t="str">
        <f>IF(B4237="","",IFERROR(INDEX(Harytlar!$C$5:$C$44,MATCH(B4237,Harytlar!$A$5:$A$44,0)),""))</f>
        <v/>
      </c>
      <c r="F4237" s="10" t="str">
        <f t="shared" si="66"/>
        <v/>
      </c>
      <c r="G4237" s="10" t="str">
        <f>IF(OR(C4237="",B4237=""),"",IFERROR(C4237*INDEX(Harytlar!$D$5:$D$44,MATCH(B4237,Harytlar!$A$5:$A$44,0)),""))</f>
        <v/>
      </c>
    </row>
    <row r="4238" spans="1:7" x14ac:dyDescent="0.3">
      <c r="A4238" s="17"/>
      <c r="B4238" s="18"/>
      <c r="C4238" s="18"/>
      <c r="D4238" s="18"/>
      <c r="E4238" s="10" t="str">
        <f>IF(B4238="","",IFERROR(INDEX(Harytlar!$C$5:$C$44,MATCH(B4238,Harytlar!$A$5:$A$44,0)),""))</f>
        <v/>
      </c>
      <c r="F4238" s="10" t="str">
        <f t="shared" si="66"/>
        <v/>
      </c>
      <c r="G4238" s="10" t="str">
        <f>IF(OR(C4238="",B4238=""),"",IFERROR(C4238*INDEX(Harytlar!$D$5:$D$44,MATCH(B4238,Harytlar!$A$5:$A$44,0)),""))</f>
        <v/>
      </c>
    </row>
    <row r="4239" spans="1:7" x14ac:dyDescent="0.3">
      <c r="A4239" s="17"/>
      <c r="B4239" s="18"/>
      <c r="C4239" s="18"/>
      <c r="D4239" s="18"/>
      <c r="E4239" s="10" t="str">
        <f>IF(B4239="","",IFERROR(INDEX(Harytlar!$C$5:$C$44,MATCH(B4239,Harytlar!$A$5:$A$44,0)),""))</f>
        <v/>
      </c>
      <c r="F4239" s="10" t="str">
        <f t="shared" si="66"/>
        <v/>
      </c>
      <c r="G4239" s="10" t="str">
        <f>IF(OR(C4239="",B4239=""),"",IFERROR(C4239*INDEX(Harytlar!$D$5:$D$44,MATCH(B4239,Harytlar!$A$5:$A$44,0)),""))</f>
        <v/>
      </c>
    </row>
    <row r="4240" spans="1:7" x14ac:dyDescent="0.3">
      <c r="A4240" s="17"/>
      <c r="B4240" s="18"/>
      <c r="C4240" s="18"/>
      <c r="D4240" s="18"/>
      <c r="E4240" s="10" t="str">
        <f>IF(B4240="","",IFERROR(INDEX(Harytlar!$C$5:$C$44,MATCH(B4240,Harytlar!$A$5:$A$44,0)),""))</f>
        <v/>
      </c>
      <c r="F4240" s="10" t="str">
        <f t="shared" si="66"/>
        <v/>
      </c>
      <c r="G4240" s="10" t="str">
        <f>IF(OR(C4240="",B4240=""),"",IFERROR(C4240*INDEX(Harytlar!$D$5:$D$44,MATCH(B4240,Harytlar!$A$5:$A$44,0)),""))</f>
        <v/>
      </c>
    </row>
    <row r="4241" spans="1:7" x14ac:dyDescent="0.3">
      <c r="A4241" s="17"/>
      <c r="B4241" s="18"/>
      <c r="C4241" s="18"/>
      <c r="D4241" s="18"/>
      <c r="E4241" s="10" t="str">
        <f>IF(B4241="","",IFERROR(INDEX(Harytlar!$C$5:$C$44,MATCH(B4241,Harytlar!$A$5:$A$44,0)),""))</f>
        <v/>
      </c>
      <c r="F4241" s="10" t="str">
        <f t="shared" si="66"/>
        <v/>
      </c>
      <c r="G4241" s="10" t="str">
        <f>IF(OR(C4241="",B4241=""),"",IFERROR(C4241*INDEX(Harytlar!$D$5:$D$44,MATCH(B4241,Harytlar!$A$5:$A$44,0)),""))</f>
        <v/>
      </c>
    </row>
    <row r="4242" spans="1:7" x14ac:dyDescent="0.3">
      <c r="A4242" s="17"/>
      <c r="B4242" s="18"/>
      <c r="C4242" s="18"/>
      <c r="D4242" s="18"/>
      <c r="E4242" s="10" t="str">
        <f>IF(B4242="","",IFERROR(INDEX(Harytlar!$C$5:$C$44,MATCH(B4242,Harytlar!$A$5:$A$44,0)),""))</f>
        <v/>
      </c>
      <c r="F4242" s="10" t="str">
        <f t="shared" si="66"/>
        <v/>
      </c>
      <c r="G4242" s="10" t="str">
        <f>IF(OR(C4242="",B4242=""),"",IFERROR(C4242*INDEX(Harytlar!$D$5:$D$44,MATCH(B4242,Harytlar!$A$5:$A$44,0)),""))</f>
        <v/>
      </c>
    </row>
    <row r="4243" spans="1:7" x14ac:dyDescent="0.3">
      <c r="A4243" s="17"/>
      <c r="B4243" s="18"/>
      <c r="C4243" s="18"/>
      <c r="D4243" s="18"/>
      <c r="E4243" s="10" t="str">
        <f>IF(B4243="","",IFERROR(INDEX(Harytlar!$C$5:$C$44,MATCH(B4243,Harytlar!$A$5:$A$44,0)),""))</f>
        <v/>
      </c>
      <c r="F4243" s="10" t="str">
        <f t="shared" si="66"/>
        <v/>
      </c>
      <c r="G4243" s="10" t="str">
        <f>IF(OR(C4243="",B4243=""),"",IFERROR(C4243*INDEX(Harytlar!$D$5:$D$44,MATCH(B4243,Harytlar!$A$5:$A$44,0)),""))</f>
        <v/>
      </c>
    </row>
    <row r="4244" spans="1:7" x14ac:dyDescent="0.3">
      <c r="A4244" s="17"/>
      <c r="B4244" s="18"/>
      <c r="C4244" s="18"/>
      <c r="D4244" s="18"/>
      <c r="E4244" s="10" t="str">
        <f>IF(B4244="","",IFERROR(INDEX(Harytlar!$C$5:$C$44,MATCH(B4244,Harytlar!$A$5:$A$44,0)),""))</f>
        <v/>
      </c>
      <c r="F4244" s="10" t="str">
        <f t="shared" si="66"/>
        <v/>
      </c>
      <c r="G4244" s="10" t="str">
        <f>IF(OR(C4244="",B4244=""),"",IFERROR(C4244*INDEX(Harytlar!$D$5:$D$44,MATCH(B4244,Harytlar!$A$5:$A$44,0)),""))</f>
        <v/>
      </c>
    </row>
    <row r="4245" spans="1:7" x14ac:dyDescent="0.3">
      <c r="A4245" s="17"/>
      <c r="B4245" s="18"/>
      <c r="C4245" s="18"/>
      <c r="D4245" s="18"/>
      <c r="E4245" s="10" t="str">
        <f>IF(B4245="","",IFERROR(INDEX(Harytlar!$C$5:$C$44,MATCH(B4245,Harytlar!$A$5:$A$44,0)),""))</f>
        <v/>
      </c>
      <c r="F4245" s="10" t="str">
        <f t="shared" si="66"/>
        <v/>
      </c>
      <c r="G4245" s="10" t="str">
        <f>IF(OR(C4245="",B4245=""),"",IFERROR(C4245*INDEX(Harytlar!$D$5:$D$44,MATCH(B4245,Harytlar!$A$5:$A$44,0)),""))</f>
        <v/>
      </c>
    </row>
    <row r="4246" spans="1:7" x14ac:dyDescent="0.3">
      <c r="A4246" s="17"/>
      <c r="B4246" s="18"/>
      <c r="C4246" s="18"/>
      <c r="D4246" s="18"/>
      <c r="E4246" s="10" t="str">
        <f>IF(B4246="","",IFERROR(INDEX(Harytlar!$C$5:$C$44,MATCH(B4246,Harytlar!$A$5:$A$44,0)),""))</f>
        <v/>
      </c>
      <c r="F4246" s="10" t="str">
        <f t="shared" si="66"/>
        <v/>
      </c>
      <c r="G4246" s="10" t="str">
        <f>IF(OR(C4246="",B4246=""),"",IFERROR(C4246*INDEX(Harytlar!$D$5:$D$44,MATCH(B4246,Harytlar!$A$5:$A$44,0)),""))</f>
        <v/>
      </c>
    </row>
    <row r="4247" spans="1:7" x14ac:dyDescent="0.3">
      <c r="A4247" s="17"/>
      <c r="B4247" s="18"/>
      <c r="C4247" s="18"/>
      <c r="D4247" s="18"/>
      <c r="E4247" s="10" t="str">
        <f>IF(B4247="","",IFERROR(INDEX(Harytlar!$C$5:$C$44,MATCH(B4247,Harytlar!$A$5:$A$44,0)),""))</f>
        <v/>
      </c>
      <c r="F4247" s="10" t="str">
        <f t="shared" si="66"/>
        <v/>
      </c>
      <c r="G4247" s="10" t="str">
        <f>IF(OR(C4247="",B4247=""),"",IFERROR(C4247*INDEX(Harytlar!$D$5:$D$44,MATCH(B4247,Harytlar!$A$5:$A$44,0)),""))</f>
        <v/>
      </c>
    </row>
    <row r="4248" spans="1:7" x14ac:dyDescent="0.3">
      <c r="A4248" s="17"/>
      <c r="B4248" s="18"/>
      <c r="C4248" s="18"/>
      <c r="D4248" s="18"/>
      <c r="E4248" s="10" t="str">
        <f>IF(B4248="","",IFERROR(INDEX(Harytlar!$C$5:$C$44,MATCH(B4248,Harytlar!$A$5:$A$44,0)),""))</f>
        <v/>
      </c>
      <c r="F4248" s="10" t="str">
        <f t="shared" si="66"/>
        <v/>
      </c>
      <c r="G4248" s="10" t="str">
        <f>IF(OR(C4248="",B4248=""),"",IFERROR(C4248*INDEX(Harytlar!$D$5:$D$44,MATCH(B4248,Harytlar!$A$5:$A$44,0)),""))</f>
        <v/>
      </c>
    </row>
    <row r="4249" spans="1:7" x14ac:dyDescent="0.3">
      <c r="A4249" s="17"/>
      <c r="B4249" s="18"/>
      <c r="C4249" s="18"/>
      <c r="D4249" s="18"/>
      <c r="E4249" s="10" t="str">
        <f>IF(B4249="","",IFERROR(INDEX(Harytlar!$C$5:$C$44,MATCH(B4249,Harytlar!$A$5:$A$44,0)),""))</f>
        <v/>
      </c>
      <c r="F4249" s="10" t="str">
        <f t="shared" si="66"/>
        <v/>
      </c>
      <c r="G4249" s="10" t="str">
        <f>IF(OR(C4249="",B4249=""),"",IFERROR(C4249*INDEX(Harytlar!$D$5:$D$44,MATCH(B4249,Harytlar!$A$5:$A$44,0)),""))</f>
        <v/>
      </c>
    </row>
    <row r="4250" spans="1:7" x14ac:dyDescent="0.3">
      <c r="A4250" s="17"/>
      <c r="B4250" s="18"/>
      <c r="C4250" s="18"/>
      <c r="D4250" s="18"/>
      <c r="E4250" s="10" t="str">
        <f>IF(B4250="","",IFERROR(INDEX(Harytlar!$C$5:$C$44,MATCH(B4250,Harytlar!$A$5:$A$44,0)),""))</f>
        <v/>
      </c>
      <c r="F4250" s="10" t="str">
        <f t="shared" si="66"/>
        <v/>
      </c>
      <c r="G4250" s="10" t="str">
        <f>IF(OR(C4250="",B4250=""),"",IFERROR(C4250*INDEX(Harytlar!$D$5:$D$44,MATCH(B4250,Harytlar!$A$5:$A$44,0)),""))</f>
        <v/>
      </c>
    </row>
    <row r="4251" spans="1:7" x14ac:dyDescent="0.3">
      <c r="A4251" s="17"/>
      <c r="B4251" s="18"/>
      <c r="C4251" s="18"/>
      <c r="D4251" s="18"/>
      <c r="E4251" s="10" t="str">
        <f>IF(B4251="","",IFERROR(INDEX(Harytlar!$C$5:$C$44,MATCH(B4251,Harytlar!$A$5:$A$44,0)),""))</f>
        <v/>
      </c>
      <c r="F4251" s="10" t="str">
        <f t="shared" si="66"/>
        <v/>
      </c>
      <c r="G4251" s="10" t="str">
        <f>IF(OR(C4251="",B4251=""),"",IFERROR(C4251*INDEX(Harytlar!$D$5:$D$44,MATCH(B4251,Harytlar!$A$5:$A$44,0)),""))</f>
        <v/>
      </c>
    </row>
    <row r="4252" spans="1:7" x14ac:dyDescent="0.3">
      <c r="A4252" s="17"/>
      <c r="B4252" s="18"/>
      <c r="C4252" s="18"/>
      <c r="D4252" s="18"/>
      <c r="E4252" s="10" t="str">
        <f>IF(B4252="","",IFERROR(INDEX(Harytlar!$C$5:$C$44,MATCH(B4252,Harytlar!$A$5:$A$44,0)),""))</f>
        <v/>
      </c>
      <c r="F4252" s="10" t="str">
        <f t="shared" si="66"/>
        <v/>
      </c>
      <c r="G4252" s="10" t="str">
        <f>IF(OR(C4252="",B4252=""),"",IFERROR(C4252*INDEX(Harytlar!$D$5:$D$44,MATCH(B4252,Harytlar!$A$5:$A$44,0)),""))</f>
        <v/>
      </c>
    </row>
    <row r="4253" spans="1:7" x14ac:dyDescent="0.3">
      <c r="A4253" s="17"/>
      <c r="B4253" s="18"/>
      <c r="C4253" s="18"/>
      <c r="D4253" s="18"/>
      <c r="E4253" s="10" t="str">
        <f>IF(B4253="","",IFERROR(INDEX(Harytlar!$C$5:$C$44,MATCH(B4253,Harytlar!$A$5:$A$44,0)),""))</f>
        <v/>
      </c>
      <c r="F4253" s="10" t="str">
        <f t="shared" si="66"/>
        <v/>
      </c>
      <c r="G4253" s="10" t="str">
        <f>IF(OR(C4253="",B4253=""),"",IFERROR(C4253*INDEX(Harytlar!$D$5:$D$44,MATCH(B4253,Harytlar!$A$5:$A$44,0)),""))</f>
        <v/>
      </c>
    </row>
    <row r="4254" spans="1:7" x14ac:dyDescent="0.3">
      <c r="A4254" s="17"/>
      <c r="B4254" s="18"/>
      <c r="C4254" s="18"/>
      <c r="D4254" s="18"/>
      <c r="E4254" s="10" t="str">
        <f>IF(B4254="","",IFERROR(INDEX(Harytlar!$C$5:$C$44,MATCH(B4254,Harytlar!$A$5:$A$44,0)),""))</f>
        <v/>
      </c>
      <c r="F4254" s="10" t="str">
        <f t="shared" si="66"/>
        <v/>
      </c>
      <c r="G4254" s="10" t="str">
        <f>IF(OR(C4254="",B4254=""),"",IFERROR(C4254*INDEX(Harytlar!$D$5:$D$44,MATCH(B4254,Harytlar!$A$5:$A$44,0)),""))</f>
        <v/>
      </c>
    </row>
    <row r="4255" spans="1:7" x14ac:dyDescent="0.3">
      <c r="A4255" s="17"/>
      <c r="B4255" s="18"/>
      <c r="C4255" s="18"/>
      <c r="D4255" s="18"/>
      <c r="E4255" s="10" t="str">
        <f>IF(B4255="","",IFERROR(INDEX(Harytlar!$C$5:$C$44,MATCH(B4255,Harytlar!$A$5:$A$44,0)),""))</f>
        <v/>
      </c>
      <c r="F4255" s="10" t="str">
        <f t="shared" si="66"/>
        <v/>
      </c>
      <c r="G4255" s="10" t="str">
        <f>IF(OR(C4255="",B4255=""),"",IFERROR(C4255*INDEX(Harytlar!$D$5:$D$44,MATCH(B4255,Harytlar!$A$5:$A$44,0)),""))</f>
        <v/>
      </c>
    </row>
    <row r="4256" spans="1:7" x14ac:dyDescent="0.3">
      <c r="A4256" s="17"/>
      <c r="B4256" s="18"/>
      <c r="C4256" s="18"/>
      <c r="D4256" s="18"/>
      <c r="E4256" s="10" t="str">
        <f>IF(B4256="","",IFERROR(INDEX(Harytlar!$C$5:$C$44,MATCH(B4256,Harytlar!$A$5:$A$44,0)),""))</f>
        <v/>
      </c>
      <c r="F4256" s="10" t="str">
        <f t="shared" si="66"/>
        <v/>
      </c>
      <c r="G4256" s="10" t="str">
        <f>IF(OR(C4256="",B4256=""),"",IFERROR(C4256*INDEX(Harytlar!$D$5:$D$44,MATCH(B4256,Harytlar!$A$5:$A$44,0)),""))</f>
        <v/>
      </c>
    </row>
    <row r="4257" spans="1:7" x14ac:dyDescent="0.3">
      <c r="A4257" s="17"/>
      <c r="B4257" s="18"/>
      <c r="C4257" s="18"/>
      <c r="D4257" s="18"/>
      <c r="E4257" s="10" t="str">
        <f>IF(B4257="","",IFERROR(INDEX(Harytlar!$C$5:$C$44,MATCH(B4257,Harytlar!$A$5:$A$44,0)),""))</f>
        <v/>
      </c>
      <c r="F4257" s="10" t="str">
        <f t="shared" si="66"/>
        <v/>
      </c>
      <c r="G4257" s="10" t="str">
        <f>IF(OR(C4257="",B4257=""),"",IFERROR(C4257*INDEX(Harytlar!$D$5:$D$44,MATCH(B4257,Harytlar!$A$5:$A$44,0)),""))</f>
        <v/>
      </c>
    </row>
    <row r="4258" spans="1:7" x14ac:dyDescent="0.3">
      <c r="A4258" s="17"/>
      <c r="B4258" s="18"/>
      <c r="C4258" s="18"/>
      <c r="D4258" s="18"/>
      <c r="E4258" s="10" t="str">
        <f>IF(B4258="","",IFERROR(INDEX(Harytlar!$C$5:$C$44,MATCH(B4258,Harytlar!$A$5:$A$44,0)),""))</f>
        <v/>
      </c>
      <c r="F4258" s="10" t="str">
        <f t="shared" si="66"/>
        <v/>
      </c>
      <c r="G4258" s="10" t="str">
        <f>IF(OR(C4258="",B4258=""),"",IFERROR(C4258*INDEX(Harytlar!$D$5:$D$44,MATCH(B4258,Harytlar!$A$5:$A$44,0)),""))</f>
        <v/>
      </c>
    </row>
    <row r="4259" spans="1:7" x14ac:dyDescent="0.3">
      <c r="A4259" s="17"/>
      <c r="B4259" s="18"/>
      <c r="C4259" s="18"/>
      <c r="D4259" s="18"/>
      <c r="E4259" s="10" t="str">
        <f>IF(B4259="","",IFERROR(INDEX(Harytlar!$C$5:$C$44,MATCH(B4259,Harytlar!$A$5:$A$44,0)),""))</f>
        <v/>
      </c>
      <c r="F4259" s="10" t="str">
        <f t="shared" si="66"/>
        <v/>
      </c>
      <c r="G4259" s="10" t="str">
        <f>IF(OR(C4259="",B4259=""),"",IFERROR(C4259*INDEX(Harytlar!$D$5:$D$44,MATCH(B4259,Harytlar!$A$5:$A$44,0)),""))</f>
        <v/>
      </c>
    </row>
    <row r="4260" spans="1:7" x14ac:dyDescent="0.3">
      <c r="A4260" s="17"/>
      <c r="B4260" s="18"/>
      <c r="C4260" s="18"/>
      <c r="D4260" s="18"/>
      <c r="E4260" s="10" t="str">
        <f>IF(B4260="","",IFERROR(INDEX(Harytlar!$C$5:$C$44,MATCH(B4260,Harytlar!$A$5:$A$44,0)),""))</f>
        <v/>
      </c>
      <c r="F4260" s="10" t="str">
        <f t="shared" si="66"/>
        <v/>
      </c>
      <c r="G4260" s="10" t="str">
        <f>IF(OR(C4260="",B4260=""),"",IFERROR(C4260*INDEX(Harytlar!$D$5:$D$44,MATCH(B4260,Harytlar!$A$5:$A$44,0)),""))</f>
        <v/>
      </c>
    </row>
    <row r="4261" spans="1:7" x14ac:dyDescent="0.3">
      <c r="A4261" s="17"/>
      <c r="B4261" s="18"/>
      <c r="C4261" s="18"/>
      <c r="D4261" s="18"/>
      <c r="E4261" s="10" t="str">
        <f>IF(B4261="","",IFERROR(INDEX(Harytlar!$C$5:$C$44,MATCH(B4261,Harytlar!$A$5:$A$44,0)),""))</f>
        <v/>
      </c>
      <c r="F4261" s="10" t="str">
        <f t="shared" si="66"/>
        <v/>
      </c>
      <c r="G4261" s="10" t="str">
        <f>IF(OR(C4261="",B4261=""),"",IFERROR(C4261*INDEX(Harytlar!$D$5:$D$44,MATCH(B4261,Harytlar!$A$5:$A$44,0)),""))</f>
        <v/>
      </c>
    </row>
    <row r="4262" spans="1:7" x14ac:dyDescent="0.3">
      <c r="A4262" s="17"/>
      <c r="B4262" s="18"/>
      <c r="C4262" s="18"/>
      <c r="D4262" s="18"/>
      <c r="E4262" s="10" t="str">
        <f>IF(B4262="","",IFERROR(INDEX(Harytlar!$C$5:$C$44,MATCH(B4262,Harytlar!$A$5:$A$44,0)),""))</f>
        <v/>
      </c>
      <c r="F4262" s="10" t="str">
        <f t="shared" si="66"/>
        <v/>
      </c>
      <c r="G4262" s="10" t="str">
        <f>IF(OR(C4262="",B4262=""),"",IFERROR(C4262*INDEX(Harytlar!$D$5:$D$44,MATCH(B4262,Harytlar!$A$5:$A$44,0)),""))</f>
        <v/>
      </c>
    </row>
    <row r="4263" spans="1:7" x14ac:dyDescent="0.3">
      <c r="A4263" s="17"/>
      <c r="B4263" s="18"/>
      <c r="C4263" s="18"/>
      <c r="D4263" s="18"/>
      <c r="E4263" s="10" t="str">
        <f>IF(B4263="","",IFERROR(INDEX(Harytlar!$C$5:$C$44,MATCH(B4263,Harytlar!$A$5:$A$44,0)),""))</f>
        <v/>
      </c>
      <c r="F4263" s="10" t="str">
        <f t="shared" si="66"/>
        <v/>
      </c>
      <c r="G4263" s="10" t="str">
        <f>IF(OR(C4263="",B4263=""),"",IFERROR(C4263*INDEX(Harytlar!$D$5:$D$44,MATCH(B4263,Harytlar!$A$5:$A$44,0)),""))</f>
        <v/>
      </c>
    </row>
    <row r="4264" spans="1:7" x14ac:dyDescent="0.3">
      <c r="A4264" s="17"/>
      <c r="B4264" s="18"/>
      <c r="C4264" s="18"/>
      <c r="D4264" s="18"/>
      <c r="E4264" s="10" t="str">
        <f>IF(B4264="","",IFERROR(INDEX(Harytlar!$C$5:$C$44,MATCH(B4264,Harytlar!$A$5:$A$44,0)),""))</f>
        <v/>
      </c>
      <c r="F4264" s="10" t="str">
        <f t="shared" si="66"/>
        <v/>
      </c>
      <c r="G4264" s="10" t="str">
        <f>IF(OR(C4264="",B4264=""),"",IFERROR(C4264*INDEX(Harytlar!$D$5:$D$44,MATCH(B4264,Harytlar!$A$5:$A$44,0)),""))</f>
        <v/>
      </c>
    </row>
    <row r="4265" spans="1:7" x14ac:dyDescent="0.3">
      <c r="A4265" s="17"/>
      <c r="B4265" s="18"/>
      <c r="C4265" s="18"/>
      <c r="D4265" s="18"/>
      <c r="E4265" s="10" t="str">
        <f>IF(B4265="","",IFERROR(INDEX(Harytlar!$C$5:$C$44,MATCH(B4265,Harytlar!$A$5:$A$44,0)),""))</f>
        <v/>
      </c>
      <c r="F4265" s="10" t="str">
        <f t="shared" si="66"/>
        <v/>
      </c>
      <c r="G4265" s="10" t="str">
        <f>IF(OR(C4265="",B4265=""),"",IFERROR(C4265*INDEX(Harytlar!$D$5:$D$44,MATCH(B4265,Harytlar!$A$5:$A$44,0)),""))</f>
        <v/>
      </c>
    </row>
    <row r="4266" spans="1:7" x14ac:dyDescent="0.3">
      <c r="A4266" s="17"/>
      <c r="B4266" s="18"/>
      <c r="C4266" s="18"/>
      <c r="D4266" s="18"/>
      <c r="E4266" s="10" t="str">
        <f>IF(B4266="","",IFERROR(INDEX(Harytlar!$C$5:$C$44,MATCH(B4266,Harytlar!$A$5:$A$44,0)),""))</f>
        <v/>
      </c>
      <c r="F4266" s="10" t="str">
        <f t="shared" si="66"/>
        <v/>
      </c>
      <c r="G4266" s="10" t="str">
        <f>IF(OR(C4266="",B4266=""),"",IFERROR(C4266*INDEX(Harytlar!$D$5:$D$44,MATCH(B4266,Harytlar!$A$5:$A$44,0)),""))</f>
        <v/>
      </c>
    </row>
    <row r="4267" spans="1:7" x14ac:dyDescent="0.3">
      <c r="A4267" s="17"/>
      <c r="B4267" s="18"/>
      <c r="C4267" s="18"/>
      <c r="D4267" s="18"/>
      <c r="E4267" s="10" t="str">
        <f>IF(B4267="","",IFERROR(INDEX(Harytlar!$C$5:$C$44,MATCH(B4267,Harytlar!$A$5:$A$44,0)),""))</f>
        <v/>
      </c>
      <c r="F4267" s="10" t="str">
        <f t="shared" si="66"/>
        <v/>
      </c>
      <c r="G4267" s="10" t="str">
        <f>IF(OR(C4267="",B4267=""),"",IFERROR(C4267*INDEX(Harytlar!$D$5:$D$44,MATCH(B4267,Harytlar!$A$5:$A$44,0)),""))</f>
        <v/>
      </c>
    </row>
    <row r="4268" spans="1:7" x14ac:dyDescent="0.3">
      <c r="A4268" s="17"/>
      <c r="B4268" s="18"/>
      <c r="C4268" s="18"/>
      <c r="D4268" s="18"/>
      <c r="E4268" s="10" t="str">
        <f>IF(B4268="","",IFERROR(INDEX(Harytlar!$C$5:$C$44,MATCH(B4268,Harytlar!$A$5:$A$44,0)),""))</f>
        <v/>
      </c>
      <c r="F4268" s="10" t="str">
        <f t="shared" si="66"/>
        <v/>
      </c>
      <c r="G4268" s="10" t="str">
        <f>IF(OR(C4268="",B4268=""),"",IFERROR(C4268*INDEX(Harytlar!$D$5:$D$44,MATCH(B4268,Harytlar!$A$5:$A$44,0)),""))</f>
        <v/>
      </c>
    </row>
    <row r="4269" spans="1:7" x14ac:dyDescent="0.3">
      <c r="A4269" s="17"/>
      <c r="B4269" s="18"/>
      <c r="C4269" s="18"/>
      <c r="D4269" s="18"/>
      <c r="E4269" s="10" t="str">
        <f>IF(B4269="","",IFERROR(INDEX(Harytlar!$C$5:$C$44,MATCH(B4269,Harytlar!$A$5:$A$44,0)),""))</f>
        <v/>
      </c>
      <c r="F4269" s="10" t="str">
        <f t="shared" si="66"/>
        <v/>
      </c>
      <c r="G4269" s="10" t="str">
        <f>IF(OR(C4269="",B4269=""),"",IFERROR(C4269*INDEX(Harytlar!$D$5:$D$44,MATCH(B4269,Harytlar!$A$5:$A$44,0)),""))</f>
        <v/>
      </c>
    </row>
    <row r="4270" spans="1:7" x14ac:dyDescent="0.3">
      <c r="A4270" s="17"/>
      <c r="B4270" s="18"/>
      <c r="C4270" s="18"/>
      <c r="D4270" s="18"/>
      <c r="E4270" s="10" t="str">
        <f>IF(B4270="","",IFERROR(INDEX(Harytlar!$C$5:$C$44,MATCH(B4270,Harytlar!$A$5:$A$44,0)),""))</f>
        <v/>
      </c>
      <c r="F4270" s="10" t="str">
        <f t="shared" si="66"/>
        <v/>
      </c>
      <c r="G4270" s="10" t="str">
        <f>IF(OR(C4270="",B4270=""),"",IFERROR(C4270*INDEX(Harytlar!$D$5:$D$44,MATCH(B4270,Harytlar!$A$5:$A$44,0)),""))</f>
        <v/>
      </c>
    </row>
    <row r="4271" spans="1:7" x14ac:dyDescent="0.3">
      <c r="A4271" s="17"/>
      <c r="B4271" s="18"/>
      <c r="C4271" s="18"/>
      <c r="D4271" s="18"/>
      <c r="E4271" s="10" t="str">
        <f>IF(B4271="","",IFERROR(INDEX(Harytlar!$C$5:$C$44,MATCH(B4271,Harytlar!$A$5:$A$44,0)),""))</f>
        <v/>
      </c>
      <c r="F4271" s="10" t="str">
        <f t="shared" si="66"/>
        <v/>
      </c>
      <c r="G4271" s="10" t="str">
        <f>IF(OR(C4271="",B4271=""),"",IFERROR(C4271*INDEX(Harytlar!$D$5:$D$44,MATCH(B4271,Harytlar!$A$5:$A$44,0)),""))</f>
        <v/>
      </c>
    </row>
    <row r="4272" spans="1:7" x14ac:dyDescent="0.3">
      <c r="A4272" s="17"/>
      <c r="B4272" s="18"/>
      <c r="C4272" s="18"/>
      <c r="D4272" s="18"/>
      <c r="E4272" s="10" t="str">
        <f>IF(B4272="","",IFERROR(INDEX(Harytlar!$C$5:$C$44,MATCH(B4272,Harytlar!$A$5:$A$44,0)),""))</f>
        <v/>
      </c>
      <c r="F4272" s="10" t="str">
        <f t="shared" si="66"/>
        <v/>
      </c>
      <c r="G4272" s="10" t="str">
        <f>IF(OR(C4272="",B4272=""),"",IFERROR(C4272*INDEX(Harytlar!$D$5:$D$44,MATCH(B4272,Harytlar!$A$5:$A$44,0)),""))</f>
        <v/>
      </c>
    </row>
    <row r="4273" spans="1:7" x14ac:dyDescent="0.3">
      <c r="A4273" s="17"/>
      <c r="B4273" s="18"/>
      <c r="C4273" s="18"/>
      <c r="D4273" s="18"/>
      <c r="E4273" s="10" t="str">
        <f>IF(B4273="","",IFERROR(INDEX(Harytlar!$C$5:$C$44,MATCH(B4273,Harytlar!$A$5:$A$44,0)),""))</f>
        <v/>
      </c>
      <c r="F4273" s="10" t="str">
        <f t="shared" si="66"/>
        <v/>
      </c>
      <c r="G4273" s="10" t="str">
        <f>IF(OR(C4273="",B4273=""),"",IFERROR(C4273*INDEX(Harytlar!$D$5:$D$44,MATCH(B4273,Harytlar!$A$5:$A$44,0)),""))</f>
        <v/>
      </c>
    </row>
    <row r="4274" spans="1:7" x14ac:dyDescent="0.3">
      <c r="A4274" s="17"/>
      <c r="B4274" s="18"/>
      <c r="C4274" s="18"/>
      <c r="D4274" s="18"/>
      <c r="E4274" s="10" t="str">
        <f>IF(B4274="","",IFERROR(INDEX(Harytlar!$C$5:$C$44,MATCH(B4274,Harytlar!$A$5:$A$44,0)),""))</f>
        <v/>
      </c>
      <c r="F4274" s="10" t="str">
        <f t="shared" si="66"/>
        <v/>
      </c>
      <c r="G4274" s="10" t="str">
        <f>IF(OR(C4274="",B4274=""),"",IFERROR(C4274*INDEX(Harytlar!$D$5:$D$44,MATCH(B4274,Harytlar!$A$5:$A$44,0)),""))</f>
        <v/>
      </c>
    </row>
    <row r="4275" spans="1:7" x14ac:dyDescent="0.3">
      <c r="A4275" s="17"/>
      <c r="B4275" s="18"/>
      <c r="C4275" s="18"/>
      <c r="D4275" s="18"/>
      <c r="E4275" s="10" t="str">
        <f>IF(B4275="","",IFERROR(INDEX(Harytlar!$C$5:$C$44,MATCH(B4275,Harytlar!$A$5:$A$44,0)),""))</f>
        <v/>
      </c>
      <c r="F4275" s="10" t="str">
        <f t="shared" si="66"/>
        <v/>
      </c>
      <c r="G4275" s="10" t="str">
        <f>IF(OR(C4275="",B4275=""),"",IFERROR(C4275*INDEX(Harytlar!$D$5:$D$44,MATCH(B4275,Harytlar!$A$5:$A$44,0)),""))</f>
        <v/>
      </c>
    </row>
    <row r="4276" spans="1:7" x14ac:dyDescent="0.3">
      <c r="A4276" s="17"/>
      <c r="B4276" s="18"/>
      <c r="C4276" s="18"/>
      <c r="D4276" s="18"/>
      <c r="E4276" s="10" t="str">
        <f>IF(B4276="","",IFERROR(INDEX(Harytlar!$C$5:$C$44,MATCH(B4276,Harytlar!$A$5:$A$44,0)),""))</f>
        <v/>
      </c>
      <c r="F4276" s="10" t="str">
        <f t="shared" si="66"/>
        <v/>
      </c>
      <c r="G4276" s="10" t="str">
        <f>IF(OR(C4276="",B4276=""),"",IFERROR(C4276*INDEX(Harytlar!$D$5:$D$44,MATCH(B4276,Harytlar!$A$5:$A$44,0)),""))</f>
        <v/>
      </c>
    </row>
    <row r="4277" spans="1:7" x14ac:dyDescent="0.3">
      <c r="A4277" s="17"/>
      <c r="B4277" s="18"/>
      <c r="C4277" s="18"/>
      <c r="D4277" s="18"/>
      <c r="E4277" s="10" t="str">
        <f>IF(B4277="","",IFERROR(INDEX(Harytlar!$C$5:$C$44,MATCH(B4277,Harytlar!$A$5:$A$44,0)),""))</f>
        <v/>
      </c>
      <c r="F4277" s="10" t="str">
        <f t="shared" si="66"/>
        <v/>
      </c>
      <c r="G4277" s="10" t="str">
        <f>IF(OR(C4277="",B4277=""),"",IFERROR(C4277*INDEX(Harytlar!$D$5:$D$44,MATCH(B4277,Harytlar!$A$5:$A$44,0)),""))</f>
        <v/>
      </c>
    </row>
    <row r="4278" spans="1:7" x14ac:dyDescent="0.3">
      <c r="A4278" s="17"/>
      <c r="B4278" s="18"/>
      <c r="C4278" s="18"/>
      <c r="D4278" s="18"/>
      <c r="E4278" s="10" t="str">
        <f>IF(B4278="","",IFERROR(INDEX(Harytlar!$C$5:$C$44,MATCH(B4278,Harytlar!$A$5:$A$44,0)),""))</f>
        <v/>
      </c>
      <c r="F4278" s="10" t="str">
        <f t="shared" si="66"/>
        <v/>
      </c>
      <c r="G4278" s="10" t="str">
        <f>IF(OR(C4278="",B4278=""),"",IFERROR(C4278*INDEX(Harytlar!$D$5:$D$44,MATCH(B4278,Harytlar!$A$5:$A$44,0)),""))</f>
        <v/>
      </c>
    </row>
    <row r="4279" spans="1:7" x14ac:dyDescent="0.3">
      <c r="A4279" s="17"/>
      <c r="B4279" s="18"/>
      <c r="C4279" s="18"/>
      <c r="D4279" s="18"/>
      <c r="E4279" s="10" t="str">
        <f>IF(B4279="","",IFERROR(INDEX(Harytlar!$C$5:$C$44,MATCH(B4279,Harytlar!$A$5:$A$44,0)),""))</f>
        <v/>
      </c>
      <c r="F4279" s="10" t="str">
        <f t="shared" si="66"/>
        <v/>
      </c>
      <c r="G4279" s="10" t="str">
        <f>IF(OR(C4279="",B4279=""),"",IFERROR(C4279*INDEX(Harytlar!$D$5:$D$44,MATCH(B4279,Harytlar!$A$5:$A$44,0)),""))</f>
        <v/>
      </c>
    </row>
    <row r="4280" spans="1:7" x14ac:dyDescent="0.3">
      <c r="A4280" s="17"/>
      <c r="B4280" s="18"/>
      <c r="C4280" s="18"/>
      <c r="D4280" s="18"/>
      <c r="E4280" s="10" t="str">
        <f>IF(B4280="","",IFERROR(INDEX(Harytlar!$C$5:$C$44,MATCH(B4280,Harytlar!$A$5:$A$44,0)),""))</f>
        <v/>
      </c>
      <c r="F4280" s="10" t="str">
        <f t="shared" si="66"/>
        <v/>
      </c>
      <c r="G4280" s="10" t="str">
        <f>IF(OR(C4280="",B4280=""),"",IFERROR(C4280*INDEX(Harytlar!$D$5:$D$44,MATCH(B4280,Harytlar!$A$5:$A$44,0)),""))</f>
        <v/>
      </c>
    </row>
    <row r="4281" spans="1:7" x14ac:dyDescent="0.3">
      <c r="A4281" s="17"/>
      <c r="B4281" s="18"/>
      <c r="C4281" s="18"/>
      <c r="D4281" s="18"/>
      <c r="E4281" s="10" t="str">
        <f>IF(B4281="","",IFERROR(INDEX(Harytlar!$C$5:$C$44,MATCH(B4281,Harytlar!$A$5:$A$44,0)),""))</f>
        <v/>
      </c>
      <c r="F4281" s="10" t="str">
        <f t="shared" si="66"/>
        <v/>
      </c>
      <c r="G4281" s="10" t="str">
        <f>IF(OR(C4281="",B4281=""),"",IFERROR(C4281*INDEX(Harytlar!$D$5:$D$44,MATCH(B4281,Harytlar!$A$5:$A$44,0)),""))</f>
        <v/>
      </c>
    </row>
    <row r="4282" spans="1:7" x14ac:dyDescent="0.3">
      <c r="A4282" s="17"/>
      <c r="B4282" s="18"/>
      <c r="C4282" s="18"/>
      <c r="D4282" s="18"/>
      <c r="E4282" s="10" t="str">
        <f>IF(B4282="","",IFERROR(INDEX(Harytlar!$C$5:$C$44,MATCH(B4282,Harytlar!$A$5:$A$44,0)),""))</f>
        <v/>
      </c>
      <c r="F4282" s="10" t="str">
        <f t="shared" si="66"/>
        <v/>
      </c>
      <c r="G4282" s="10" t="str">
        <f>IF(OR(C4282="",B4282=""),"",IFERROR(C4282*INDEX(Harytlar!$D$5:$D$44,MATCH(B4282,Harytlar!$A$5:$A$44,0)),""))</f>
        <v/>
      </c>
    </row>
    <row r="4283" spans="1:7" x14ac:dyDescent="0.3">
      <c r="A4283" s="17"/>
      <c r="B4283" s="18"/>
      <c r="C4283" s="18"/>
      <c r="D4283" s="18"/>
      <c r="E4283" s="10" t="str">
        <f>IF(B4283="","",IFERROR(INDEX(Harytlar!$C$5:$C$44,MATCH(B4283,Harytlar!$A$5:$A$44,0)),""))</f>
        <v/>
      </c>
      <c r="F4283" s="10" t="str">
        <f t="shared" si="66"/>
        <v/>
      </c>
      <c r="G4283" s="10" t="str">
        <f>IF(OR(C4283="",B4283=""),"",IFERROR(C4283*INDEX(Harytlar!$D$5:$D$44,MATCH(B4283,Harytlar!$A$5:$A$44,0)),""))</f>
        <v/>
      </c>
    </row>
    <row r="4284" spans="1:7" x14ac:dyDescent="0.3">
      <c r="A4284" s="17"/>
      <c r="B4284" s="18"/>
      <c r="C4284" s="18"/>
      <c r="D4284" s="18"/>
      <c r="E4284" s="10" t="str">
        <f>IF(B4284="","",IFERROR(INDEX(Harytlar!$C$5:$C$44,MATCH(B4284,Harytlar!$A$5:$A$44,0)),""))</f>
        <v/>
      </c>
      <c r="F4284" s="10" t="str">
        <f t="shared" si="66"/>
        <v/>
      </c>
      <c r="G4284" s="10" t="str">
        <f>IF(OR(C4284="",B4284=""),"",IFERROR(C4284*INDEX(Harytlar!$D$5:$D$44,MATCH(B4284,Harytlar!$A$5:$A$44,0)),""))</f>
        <v/>
      </c>
    </row>
    <row r="4285" spans="1:7" x14ac:dyDescent="0.3">
      <c r="A4285" s="17"/>
      <c r="B4285" s="18"/>
      <c r="C4285" s="18"/>
      <c r="D4285" s="18"/>
      <c r="E4285" s="10" t="str">
        <f>IF(B4285="","",IFERROR(INDEX(Harytlar!$C$5:$C$44,MATCH(B4285,Harytlar!$A$5:$A$44,0)),""))</f>
        <v/>
      </c>
      <c r="F4285" s="10" t="str">
        <f t="shared" si="66"/>
        <v/>
      </c>
      <c r="G4285" s="10" t="str">
        <f>IF(OR(C4285="",B4285=""),"",IFERROR(C4285*INDEX(Harytlar!$D$5:$D$44,MATCH(B4285,Harytlar!$A$5:$A$44,0)),""))</f>
        <v/>
      </c>
    </row>
    <row r="4286" spans="1:7" x14ac:dyDescent="0.3">
      <c r="A4286" s="17"/>
      <c r="B4286" s="18"/>
      <c r="C4286" s="18"/>
      <c r="D4286" s="18"/>
      <c r="E4286" s="10" t="str">
        <f>IF(B4286="","",IFERROR(INDEX(Harytlar!$C$5:$C$44,MATCH(B4286,Harytlar!$A$5:$A$44,0)),""))</f>
        <v/>
      </c>
      <c r="F4286" s="10" t="str">
        <f t="shared" si="66"/>
        <v/>
      </c>
      <c r="G4286" s="10" t="str">
        <f>IF(OR(C4286="",B4286=""),"",IFERROR(C4286*INDEX(Harytlar!$D$5:$D$44,MATCH(B4286,Harytlar!$A$5:$A$44,0)),""))</f>
        <v/>
      </c>
    </row>
    <row r="4287" spans="1:7" x14ac:dyDescent="0.3">
      <c r="A4287" s="17"/>
      <c r="B4287" s="18"/>
      <c r="C4287" s="18"/>
      <c r="D4287" s="18"/>
      <c r="E4287" s="10" t="str">
        <f>IF(B4287="","",IFERROR(INDEX(Harytlar!$C$5:$C$44,MATCH(B4287,Harytlar!$A$5:$A$44,0)),""))</f>
        <v/>
      </c>
      <c r="F4287" s="10" t="str">
        <f t="shared" si="66"/>
        <v/>
      </c>
      <c r="G4287" s="10" t="str">
        <f>IF(OR(C4287="",B4287=""),"",IFERROR(C4287*INDEX(Harytlar!$D$5:$D$44,MATCH(B4287,Harytlar!$A$5:$A$44,0)),""))</f>
        <v/>
      </c>
    </row>
    <row r="4288" spans="1:7" x14ac:dyDescent="0.3">
      <c r="A4288" s="17"/>
      <c r="B4288" s="18"/>
      <c r="C4288" s="18"/>
      <c r="D4288" s="18"/>
      <c r="E4288" s="10" t="str">
        <f>IF(B4288="","",IFERROR(INDEX(Harytlar!$C$5:$C$44,MATCH(B4288,Harytlar!$A$5:$A$44,0)),""))</f>
        <v/>
      </c>
      <c r="F4288" s="10" t="str">
        <f t="shared" si="66"/>
        <v/>
      </c>
      <c r="G4288" s="10" t="str">
        <f>IF(OR(C4288="",B4288=""),"",IFERROR(C4288*INDEX(Harytlar!$D$5:$D$44,MATCH(B4288,Harytlar!$A$5:$A$44,0)),""))</f>
        <v/>
      </c>
    </row>
    <row r="4289" spans="1:7" x14ac:dyDescent="0.3">
      <c r="A4289" s="17"/>
      <c r="B4289" s="18"/>
      <c r="C4289" s="18"/>
      <c r="D4289" s="18"/>
      <c r="E4289" s="10" t="str">
        <f>IF(B4289="","",IFERROR(INDEX(Harytlar!$C$5:$C$44,MATCH(B4289,Harytlar!$A$5:$A$44,0)),""))</f>
        <v/>
      </c>
      <c r="F4289" s="10" t="str">
        <f t="shared" si="66"/>
        <v/>
      </c>
      <c r="G4289" s="10" t="str">
        <f>IF(OR(C4289="",B4289=""),"",IFERROR(C4289*INDEX(Harytlar!$D$5:$D$44,MATCH(B4289,Harytlar!$A$5:$A$44,0)),""))</f>
        <v/>
      </c>
    </row>
    <row r="4290" spans="1:7" x14ac:dyDescent="0.3">
      <c r="A4290" s="17"/>
      <c r="B4290" s="18"/>
      <c r="C4290" s="18"/>
      <c r="D4290" s="18"/>
      <c r="E4290" s="10" t="str">
        <f>IF(B4290="","",IFERROR(INDEX(Harytlar!$C$5:$C$44,MATCH(B4290,Harytlar!$A$5:$A$44,0)),""))</f>
        <v/>
      </c>
      <c r="F4290" s="10" t="str">
        <f t="shared" si="66"/>
        <v/>
      </c>
      <c r="G4290" s="10" t="str">
        <f>IF(OR(C4290="",B4290=""),"",IFERROR(C4290*INDEX(Harytlar!$D$5:$D$44,MATCH(B4290,Harytlar!$A$5:$A$44,0)),""))</f>
        <v/>
      </c>
    </row>
    <row r="4291" spans="1:7" x14ac:dyDescent="0.3">
      <c r="A4291" s="17"/>
      <c r="B4291" s="18"/>
      <c r="C4291" s="18"/>
      <c r="D4291" s="18"/>
      <c r="E4291" s="10" t="str">
        <f>IF(B4291="","",IFERROR(INDEX(Harytlar!$C$5:$C$44,MATCH(B4291,Harytlar!$A$5:$A$44,0)),""))</f>
        <v/>
      </c>
      <c r="F4291" s="10" t="str">
        <f t="shared" si="66"/>
        <v/>
      </c>
      <c r="G4291" s="10" t="str">
        <f>IF(OR(C4291="",B4291=""),"",IFERROR(C4291*INDEX(Harytlar!$D$5:$D$44,MATCH(B4291,Harytlar!$A$5:$A$44,0)),""))</f>
        <v/>
      </c>
    </row>
    <row r="4292" spans="1:7" x14ac:dyDescent="0.3">
      <c r="A4292" s="17"/>
      <c r="B4292" s="18"/>
      <c r="C4292" s="18"/>
      <c r="D4292" s="18"/>
      <c r="E4292" s="10" t="str">
        <f>IF(B4292="","",IFERROR(INDEX(Harytlar!$C$5:$C$44,MATCH(B4292,Harytlar!$A$5:$A$44,0)),""))</f>
        <v/>
      </c>
      <c r="F4292" s="10" t="str">
        <f t="shared" si="66"/>
        <v/>
      </c>
      <c r="G4292" s="10" t="str">
        <f>IF(OR(C4292="",B4292=""),"",IFERROR(C4292*INDEX(Harytlar!$D$5:$D$44,MATCH(B4292,Harytlar!$A$5:$A$44,0)),""))</f>
        <v/>
      </c>
    </row>
    <row r="4293" spans="1:7" x14ac:dyDescent="0.3">
      <c r="A4293" s="17"/>
      <c r="B4293" s="18"/>
      <c r="C4293" s="18"/>
      <c r="D4293" s="18"/>
      <c r="E4293" s="10" t="str">
        <f>IF(B4293="","",IFERROR(INDEX(Harytlar!$C$5:$C$44,MATCH(B4293,Harytlar!$A$5:$A$44,0)),""))</f>
        <v/>
      </c>
      <c r="F4293" s="10" t="str">
        <f t="shared" si="66"/>
        <v/>
      </c>
      <c r="G4293" s="10" t="str">
        <f>IF(OR(C4293="",B4293=""),"",IFERROR(C4293*INDEX(Harytlar!$D$5:$D$44,MATCH(B4293,Harytlar!$A$5:$A$44,0)),""))</f>
        <v/>
      </c>
    </row>
    <row r="4294" spans="1:7" x14ac:dyDescent="0.3">
      <c r="A4294" s="17"/>
      <c r="B4294" s="18"/>
      <c r="C4294" s="18"/>
      <c r="D4294" s="18"/>
      <c r="E4294" s="10" t="str">
        <f>IF(B4294="","",IFERROR(INDEX(Harytlar!$C$5:$C$44,MATCH(B4294,Harytlar!$A$5:$A$44,0)),""))</f>
        <v/>
      </c>
      <c r="F4294" s="10" t="str">
        <f t="shared" ref="F4294:F4357" si="67">IF(OR(C4294="",E4294=""),"",C4294*E4294)</f>
        <v/>
      </c>
      <c r="G4294" s="10" t="str">
        <f>IF(OR(C4294="",B4294=""),"",IFERROR(C4294*INDEX(Harytlar!$D$5:$D$44,MATCH(B4294,Harytlar!$A$5:$A$44,0)),""))</f>
        <v/>
      </c>
    </row>
    <row r="4295" spans="1:7" x14ac:dyDescent="0.3">
      <c r="A4295" s="17"/>
      <c r="B4295" s="18"/>
      <c r="C4295" s="18"/>
      <c r="D4295" s="18"/>
      <c r="E4295" s="10" t="str">
        <f>IF(B4295="","",IFERROR(INDEX(Harytlar!$C$5:$C$44,MATCH(B4295,Harytlar!$A$5:$A$44,0)),""))</f>
        <v/>
      </c>
      <c r="F4295" s="10" t="str">
        <f t="shared" si="67"/>
        <v/>
      </c>
      <c r="G4295" s="10" t="str">
        <f>IF(OR(C4295="",B4295=""),"",IFERROR(C4295*INDEX(Harytlar!$D$5:$D$44,MATCH(B4295,Harytlar!$A$5:$A$44,0)),""))</f>
        <v/>
      </c>
    </row>
    <row r="4296" spans="1:7" x14ac:dyDescent="0.3">
      <c r="A4296" s="17"/>
      <c r="B4296" s="18"/>
      <c r="C4296" s="18"/>
      <c r="D4296" s="18"/>
      <c r="E4296" s="10" t="str">
        <f>IF(B4296="","",IFERROR(INDEX(Harytlar!$C$5:$C$44,MATCH(B4296,Harytlar!$A$5:$A$44,0)),""))</f>
        <v/>
      </c>
      <c r="F4296" s="10" t="str">
        <f t="shared" si="67"/>
        <v/>
      </c>
      <c r="G4296" s="10" t="str">
        <f>IF(OR(C4296="",B4296=""),"",IFERROR(C4296*INDEX(Harytlar!$D$5:$D$44,MATCH(B4296,Harytlar!$A$5:$A$44,0)),""))</f>
        <v/>
      </c>
    </row>
    <row r="4297" spans="1:7" x14ac:dyDescent="0.3">
      <c r="A4297" s="17"/>
      <c r="B4297" s="18"/>
      <c r="C4297" s="18"/>
      <c r="D4297" s="18"/>
      <c r="E4297" s="10" t="str">
        <f>IF(B4297="","",IFERROR(INDEX(Harytlar!$C$5:$C$44,MATCH(B4297,Harytlar!$A$5:$A$44,0)),""))</f>
        <v/>
      </c>
      <c r="F4297" s="10" t="str">
        <f t="shared" si="67"/>
        <v/>
      </c>
      <c r="G4297" s="10" t="str">
        <f>IF(OR(C4297="",B4297=""),"",IFERROR(C4297*INDEX(Harytlar!$D$5:$D$44,MATCH(B4297,Harytlar!$A$5:$A$44,0)),""))</f>
        <v/>
      </c>
    </row>
    <row r="4298" spans="1:7" x14ac:dyDescent="0.3">
      <c r="A4298" s="17"/>
      <c r="B4298" s="18"/>
      <c r="C4298" s="18"/>
      <c r="D4298" s="18"/>
      <c r="E4298" s="10" t="str">
        <f>IF(B4298="","",IFERROR(INDEX(Harytlar!$C$5:$C$44,MATCH(B4298,Harytlar!$A$5:$A$44,0)),""))</f>
        <v/>
      </c>
      <c r="F4298" s="10" t="str">
        <f t="shared" si="67"/>
        <v/>
      </c>
      <c r="G4298" s="10" t="str">
        <f>IF(OR(C4298="",B4298=""),"",IFERROR(C4298*INDEX(Harytlar!$D$5:$D$44,MATCH(B4298,Harytlar!$A$5:$A$44,0)),""))</f>
        <v/>
      </c>
    </row>
    <row r="4299" spans="1:7" x14ac:dyDescent="0.3">
      <c r="A4299" s="17"/>
      <c r="B4299" s="18"/>
      <c r="C4299" s="18"/>
      <c r="D4299" s="18"/>
      <c r="E4299" s="10" t="str">
        <f>IF(B4299="","",IFERROR(INDEX(Harytlar!$C$5:$C$44,MATCH(B4299,Harytlar!$A$5:$A$44,0)),""))</f>
        <v/>
      </c>
      <c r="F4299" s="10" t="str">
        <f t="shared" si="67"/>
        <v/>
      </c>
      <c r="G4299" s="10" t="str">
        <f>IF(OR(C4299="",B4299=""),"",IFERROR(C4299*INDEX(Harytlar!$D$5:$D$44,MATCH(B4299,Harytlar!$A$5:$A$44,0)),""))</f>
        <v/>
      </c>
    </row>
    <row r="4300" spans="1:7" x14ac:dyDescent="0.3">
      <c r="A4300" s="17"/>
      <c r="B4300" s="18"/>
      <c r="C4300" s="18"/>
      <c r="D4300" s="18"/>
      <c r="E4300" s="10" t="str">
        <f>IF(B4300="","",IFERROR(INDEX(Harytlar!$C$5:$C$44,MATCH(B4300,Harytlar!$A$5:$A$44,0)),""))</f>
        <v/>
      </c>
      <c r="F4300" s="10" t="str">
        <f t="shared" si="67"/>
        <v/>
      </c>
      <c r="G4300" s="10" t="str">
        <f>IF(OR(C4300="",B4300=""),"",IFERROR(C4300*INDEX(Harytlar!$D$5:$D$44,MATCH(B4300,Harytlar!$A$5:$A$44,0)),""))</f>
        <v/>
      </c>
    </row>
    <row r="4301" spans="1:7" x14ac:dyDescent="0.3">
      <c r="A4301" s="17"/>
      <c r="B4301" s="18"/>
      <c r="C4301" s="18"/>
      <c r="D4301" s="18"/>
      <c r="E4301" s="10" t="str">
        <f>IF(B4301="","",IFERROR(INDEX(Harytlar!$C$5:$C$44,MATCH(B4301,Harytlar!$A$5:$A$44,0)),""))</f>
        <v/>
      </c>
      <c r="F4301" s="10" t="str">
        <f t="shared" si="67"/>
        <v/>
      </c>
      <c r="G4301" s="10" t="str">
        <f>IF(OR(C4301="",B4301=""),"",IFERROR(C4301*INDEX(Harytlar!$D$5:$D$44,MATCH(B4301,Harytlar!$A$5:$A$44,0)),""))</f>
        <v/>
      </c>
    </row>
    <row r="4302" spans="1:7" x14ac:dyDescent="0.3">
      <c r="A4302" s="17"/>
      <c r="B4302" s="18"/>
      <c r="C4302" s="18"/>
      <c r="D4302" s="18"/>
      <c r="E4302" s="10" t="str">
        <f>IF(B4302="","",IFERROR(INDEX(Harytlar!$C$5:$C$44,MATCH(B4302,Harytlar!$A$5:$A$44,0)),""))</f>
        <v/>
      </c>
      <c r="F4302" s="10" t="str">
        <f t="shared" si="67"/>
        <v/>
      </c>
      <c r="G4302" s="10" t="str">
        <f>IF(OR(C4302="",B4302=""),"",IFERROR(C4302*INDEX(Harytlar!$D$5:$D$44,MATCH(B4302,Harytlar!$A$5:$A$44,0)),""))</f>
        <v/>
      </c>
    </row>
    <row r="4303" spans="1:7" x14ac:dyDescent="0.3">
      <c r="A4303" s="17"/>
      <c r="B4303" s="18"/>
      <c r="C4303" s="18"/>
      <c r="D4303" s="18"/>
      <c r="E4303" s="10" t="str">
        <f>IF(B4303="","",IFERROR(INDEX(Harytlar!$C$5:$C$44,MATCH(B4303,Harytlar!$A$5:$A$44,0)),""))</f>
        <v/>
      </c>
      <c r="F4303" s="10" t="str">
        <f t="shared" si="67"/>
        <v/>
      </c>
      <c r="G4303" s="10" t="str">
        <f>IF(OR(C4303="",B4303=""),"",IFERROR(C4303*INDEX(Harytlar!$D$5:$D$44,MATCH(B4303,Harytlar!$A$5:$A$44,0)),""))</f>
        <v/>
      </c>
    </row>
    <row r="4304" spans="1:7" x14ac:dyDescent="0.3">
      <c r="A4304" s="17"/>
      <c r="B4304" s="18"/>
      <c r="C4304" s="18"/>
      <c r="D4304" s="18"/>
      <c r="E4304" s="10" t="str">
        <f>IF(B4304="","",IFERROR(INDEX(Harytlar!$C$5:$C$44,MATCH(B4304,Harytlar!$A$5:$A$44,0)),""))</f>
        <v/>
      </c>
      <c r="F4304" s="10" t="str">
        <f t="shared" si="67"/>
        <v/>
      </c>
      <c r="G4304" s="10" t="str">
        <f>IF(OR(C4304="",B4304=""),"",IFERROR(C4304*INDEX(Harytlar!$D$5:$D$44,MATCH(B4304,Harytlar!$A$5:$A$44,0)),""))</f>
        <v/>
      </c>
    </row>
    <row r="4305" spans="1:7" x14ac:dyDescent="0.3">
      <c r="A4305" s="17"/>
      <c r="B4305" s="18"/>
      <c r="C4305" s="18"/>
      <c r="D4305" s="18"/>
      <c r="E4305" s="10" t="str">
        <f>IF(B4305="","",IFERROR(INDEX(Harytlar!$C$5:$C$44,MATCH(B4305,Harytlar!$A$5:$A$44,0)),""))</f>
        <v/>
      </c>
      <c r="F4305" s="10" t="str">
        <f t="shared" si="67"/>
        <v/>
      </c>
      <c r="G4305" s="10" t="str">
        <f>IF(OR(C4305="",B4305=""),"",IFERROR(C4305*INDEX(Harytlar!$D$5:$D$44,MATCH(B4305,Harytlar!$A$5:$A$44,0)),""))</f>
        <v/>
      </c>
    </row>
    <row r="4306" spans="1:7" x14ac:dyDescent="0.3">
      <c r="A4306" s="17"/>
      <c r="B4306" s="18"/>
      <c r="C4306" s="18"/>
      <c r="D4306" s="18"/>
      <c r="E4306" s="10" t="str">
        <f>IF(B4306="","",IFERROR(INDEX(Harytlar!$C$5:$C$44,MATCH(B4306,Harytlar!$A$5:$A$44,0)),""))</f>
        <v/>
      </c>
      <c r="F4306" s="10" t="str">
        <f t="shared" si="67"/>
        <v/>
      </c>
      <c r="G4306" s="10" t="str">
        <f>IF(OR(C4306="",B4306=""),"",IFERROR(C4306*INDEX(Harytlar!$D$5:$D$44,MATCH(B4306,Harytlar!$A$5:$A$44,0)),""))</f>
        <v/>
      </c>
    </row>
    <row r="4307" spans="1:7" x14ac:dyDescent="0.3">
      <c r="A4307" s="17"/>
      <c r="B4307" s="18"/>
      <c r="C4307" s="18"/>
      <c r="D4307" s="18"/>
      <c r="E4307" s="10" t="str">
        <f>IF(B4307="","",IFERROR(INDEX(Harytlar!$C$5:$C$44,MATCH(B4307,Harytlar!$A$5:$A$44,0)),""))</f>
        <v/>
      </c>
      <c r="F4307" s="10" t="str">
        <f t="shared" si="67"/>
        <v/>
      </c>
      <c r="G4307" s="10" t="str">
        <f>IF(OR(C4307="",B4307=""),"",IFERROR(C4307*INDEX(Harytlar!$D$5:$D$44,MATCH(B4307,Harytlar!$A$5:$A$44,0)),""))</f>
        <v/>
      </c>
    </row>
    <row r="4308" spans="1:7" x14ac:dyDescent="0.3">
      <c r="A4308" s="17"/>
      <c r="B4308" s="18"/>
      <c r="C4308" s="18"/>
      <c r="D4308" s="18"/>
      <c r="E4308" s="10" t="str">
        <f>IF(B4308="","",IFERROR(INDEX(Harytlar!$C$5:$C$44,MATCH(B4308,Harytlar!$A$5:$A$44,0)),""))</f>
        <v/>
      </c>
      <c r="F4308" s="10" t="str">
        <f t="shared" si="67"/>
        <v/>
      </c>
      <c r="G4308" s="10" t="str">
        <f>IF(OR(C4308="",B4308=""),"",IFERROR(C4308*INDEX(Harytlar!$D$5:$D$44,MATCH(B4308,Harytlar!$A$5:$A$44,0)),""))</f>
        <v/>
      </c>
    </row>
    <row r="4309" spans="1:7" x14ac:dyDescent="0.3">
      <c r="A4309" s="17"/>
      <c r="B4309" s="18"/>
      <c r="C4309" s="18"/>
      <c r="D4309" s="18"/>
      <c r="E4309" s="10" t="str">
        <f>IF(B4309="","",IFERROR(INDEX(Harytlar!$C$5:$C$44,MATCH(B4309,Harytlar!$A$5:$A$44,0)),""))</f>
        <v/>
      </c>
      <c r="F4309" s="10" t="str">
        <f t="shared" si="67"/>
        <v/>
      </c>
      <c r="G4309" s="10" t="str">
        <f>IF(OR(C4309="",B4309=""),"",IFERROR(C4309*INDEX(Harytlar!$D$5:$D$44,MATCH(B4309,Harytlar!$A$5:$A$44,0)),""))</f>
        <v/>
      </c>
    </row>
    <row r="4310" spans="1:7" x14ac:dyDescent="0.3">
      <c r="A4310" s="17"/>
      <c r="B4310" s="18"/>
      <c r="C4310" s="18"/>
      <c r="D4310" s="18"/>
      <c r="E4310" s="10" t="str">
        <f>IF(B4310="","",IFERROR(INDEX(Harytlar!$C$5:$C$44,MATCH(B4310,Harytlar!$A$5:$A$44,0)),""))</f>
        <v/>
      </c>
      <c r="F4310" s="10" t="str">
        <f t="shared" si="67"/>
        <v/>
      </c>
      <c r="G4310" s="10" t="str">
        <f>IF(OR(C4310="",B4310=""),"",IFERROR(C4310*INDEX(Harytlar!$D$5:$D$44,MATCH(B4310,Harytlar!$A$5:$A$44,0)),""))</f>
        <v/>
      </c>
    </row>
    <row r="4311" spans="1:7" x14ac:dyDescent="0.3">
      <c r="A4311" s="17"/>
      <c r="B4311" s="18"/>
      <c r="C4311" s="18"/>
      <c r="D4311" s="18"/>
      <c r="E4311" s="10" t="str">
        <f>IF(B4311="","",IFERROR(INDEX(Harytlar!$C$5:$C$44,MATCH(B4311,Harytlar!$A$5:$A$44,0)),""))</f>
        <v/>
      </c>
      <c r="F4311" s="10" t="str">
        <f t="shared" si="67"/>
        <v/>
      </c>
      <c r="G4311" s="10" t="str">
        <f>IF(OR(C4311="",B4311=""),"",IFERROR(C4311*INDEX(Harytlar!$D$5:$D$44,MATCH(B4311,Harytlar!$A$5:$A$44,0)),""))</f>
        <v/>
      </c>
    </row>
    <row r="4312" spans="1:7" x14ac:dyDescent="0.3">
      <c r="A4312" s="17"/>
      <c r="B4312" s="18"/>
      <c r="C4312" s="18"/>
      <c r="D4312" s="18"/>
      <c r="E4312" s="10" t="str">
        <f>IF(B4312="","",IFERROR(INDEX(Harytlar!$C$5:$C$44,MATCH(B4312,Harytlar!$A$5:$A$44,0)),""))</f>
        <v/>
      </c>
      <c r="F4312" s="10" t="str">
        <f t="shared" si="67"/>
        <v/>
      </c>
      <c r="G4312" s="10" t="str">
        <f>IF(OR(C4312="",B4312=""),"",IFERROR(C4312*INDEX(Harytlar!$D$5:$D$44,MATCH(B4312,Harytlar!$A$5:$A$44,0)),""))</f>
        <v/>
      </c>
    </row>
    <row r="4313" spans="1:7" x14ac:dyDescent="0.3">
      <c r="A4313" s="17"/>
      <c r="B4313" s="18"/>
      <c r="C4313" s="18"/>
      <c r="D4313" s="18"/>
      <c r="E4313" s="10" t="str">
        <f>IF(B4313="","",IFERROR(INDEX(Harytlar!$C$5:$C$44,MATCH(B4313,Harytlar!$A$5:$A$44,0)),""))</f>
        <v/>
      </c>
      <c r="F4313" s="10" t="str">
        <f t="shared" si="67"/>
        <v/>
      </c>
      <c r="G4313" s="10" t="str">
        <f>IF(OR(C4313="",B4313=""),"",IFERROR(C4313*INDEX(Harytlar!$D$5:$D$44,MATCH(B4313,Harytlar!$A$5:$A$44,0)),""))</f>
        <v/>
      </c>
    </row>
    <row r="4314" spans="1:7" x14ac:dyDescent="0.3">
      <c r="A4314" s="17"/>
      <c r="B4314" s="18"/>
      <c r="C4314" s="18"/>
      <c r="D4314" s="18"/>
      <c r="E4314" s="10" t="str">
        <f>IF(B4314="","",IFERROR(INDEX(Harytlar!$C$5:$C$44,MATCH(B4314,Harytlar!$A$5:$A$44,0)),""))</f>
        <v/>
      </c>
      <c r="F4314" s="10" t="str">
        <f t="shared" si="67"/>
        <v/>
      </c>
      <c r="G4314" s="10" t="str">
        <f>IF(OR(C4314="",B4314=""),"",IFERROR(C4314*INDEX(Harytlar!$D$5:$D$44,MATCH(B4314,Harytlar!$A$5:$A$44,0)),""))</f>
        <v/>
      </c>
    </row>
    <row r="4315" spans="1:7" x14ac:dyDescent="0.3">
      <c r="A4315" s="17"/>
      <c r="B4315" s="18"/>
      <c r="C4315" s="18"/>
      <c r="D4315" s="18"/>
      <c r="E4315" s="10" t="str">
        <f>IF(B4315="","",IFERROR(INDEX(Harytlar!$C$5:$C$44,MATCH(B4315,Harytlar!$A$5:$A$44,0)),""))</f>
        <v/>
      </c>
      <c r="F4315" s="10" t="str">
        <f t="shared" si="67"/>
        <v/>
      </c>
      <c r="G4315" s="10" t="str">
        <f>IF(OR(C4315="",B4315=""),"",IFERROR(C4315*INDEX(Harytlar!$D$5:$D$44,MATCH(B4315,Harytlar!$A$5:$A$44,0)),""))</f>
        <v/>
      </c>
    </row>
    <row r="4316" spans="1:7" x14ac:dyDescent="0.3">
      <c r="A4316" s="17"/>
      <c r="B4316" s="18"/>
      <c r="C4316" s="18"/>
      <c r="D4316" s="18"/>
      <c r="E4316" s="10" t="str">
        <f>IF(B4316="","",IFERROR(INDEX(Harytlar!$C$5:$C$44,MATCH(B4316,Harytlar!$A$5:$A$44,0)),""))</f>
        <v/>
      </c>
      <c r="F4316" s="10" t="str">
        <f t="shared" si="67"/>
        <v/>
      </c>
      <c r="G4316" s="10" t="str">
        <f>IF(OR(C4316="",B4316=""),"",IFERROR(C4316*INDEX(Harytlar!$D$5:$D$44,MATCH(B4316,Harytlar!$A$5:$A$44,0)),""))</f>
        <v/>
      </c>
    </row>
    <row r="4317" spans="1:7" x14ac:dyDescent="0.3">
      <c r="A4317" s="17"/>
      <c r="B4317" s="18"/>
      <c r="C4317" s="18"/>
      <c r="D4317" s="18"/>
      <c r="E4317" s="10" t="str">
        <f>IF(B4317="","",IFERROR(INDEX(Harytlar!$C$5:$C$44,MATCH(B4317,Harytlar!$A$5:$A$44,0)),""))</f>
        <v/>
      </c>
      <c r="F4317" s="10" t="str">
        <f t="shared" si="67"/>
        <v/>
      </c>
      <c r="G4317" s="10" t="str">
        <f>IF(OR(C4317="",B4317=""),"",IFERROR(C4317*INDEX(Harytlar!$D$5:$D$44,MATCH(B4317,Harytlar!$A$5:$A$44,0)),""))</f>
        <v/>
      </c>
    </row>
    <row r="4318" spans="1:7" x14ac:dyDescent="0.3">
      <c r="A4318" s="17"/>
      <c r="B4318" s="18"/>
      <c r="C4318" s="18"/>
      <c r="D4318" s="18"/>
      <c r="E4318" s="10" t="str">
        <f>IF(B4318="","",IFERROR(INDEX(Harytlar!$C$5:$C$44,MATCH(B4318,Harytlar!$A$5:$A$44,0)),""))</f>
        <v/>
      </c>
      <c r="F4318" s="10" t="str">
        <f t="shared" si="67"/>
        <v/>
      </c>
      <c r="G4318" s="10" t="str">
        <f>IF(OR(C4318="",B4318=""),"",IFERROR(C4318*INDEX(Harytlar!$D$5:$D$44,MATCH(B4318,Harytlar!$A$5:$A$44,0)),""))</f>
        <v/>
      </c>
    </row>
    <row r="4319" spans="1:7" x14ac:dyDescent="0.3">
      <c r="A4319" s="17"/>
      <c r="B4319" s="18"/>
      <c r="C4319" s="18"/>
      <c r="D4319" s="18"/>
      <c r="E4319" s="10" t="str">
        <f>IF(B4319="","",IFERROR(INDEX(Harytlar!$C$5:$C$44,MATCH(B4319,Harytlar!$A$5:$A$44,0)),""))</f>
        <v/>
      </c>
      <c r="F4319" s="10" t="str">
        <f t="shared" si="67"/>
        <v/>
      </c>
      <c r="G4319" s="10" t="str">
        <f>IF(OR(C4319="",B4319=""),"",IFERROR(C4319*INDEX(Harytlar!$D$5:$D$44,MATCH(B4319,Harytlar!$A$5:$A$44,0)),""))</f>
        <v/>
      </c>
    </row>
    <row r="4320" spans="1:7" x14ac:dyDescent="0.3">
      <c r="A4320" s="17"/>
      <c r="B4320" s="18"/>
      <c r="C4320" s="18"/>
      <c r="D4320" s="18"/>
      <c r="E4320" s="10" t="str">
        <f>IF(B4320="","",IFERROR(INDEX(Harytlar!$C$5:$C$44,MATCH(B4320,Harytlar!$A$5:$A$44,0)),""))</f>
        <v/>
      </c>
      <c r="F4320" s="10" t="str">
        <f t="shared" si="67"/>
        <v/>
      </c>
      <c r="G4320" s="10" t="str">
        <f>IF(OR(C4320="",B4320=""),"",IFERROR(C4320*INDEX(Harytlar!$D$5:$D$44,MATCH(B4320,Harytlar!$A$5:$A$44,0)),""))</f>
        <v/>
      </c>
    </row>
    <row r="4321" spans="1:7" x14ac:dyDescent="0.3">
      <c r="A4321" s="17"/>
      <c r="B4321" s="18"/>
      <c r="C4321" s="18"/>
      <c r="D4321" s="18"/>
      <c r="E4321" s="10" t="str">
        <f>IF(B4321="","",IFERROR(INDEX(Harytlar!$C$5:$C$44,MATCH(B4321,Harytlar!$A$5:$A$44,0)),""))</f>
        <v/>
      </c>
      <c r="F4321" s="10" t="str">
        <f t="shared" si="67"/>
        <v/>
      </c>
      <c r="G4321" s="10" t="str">
        <f>IF(OR(C4321="",B4321=""),"",IFERROR(C4321*INDEX(Harytlar!$D$5:$D$44,MATCH(B4321,Harytlar!$A$5:$A$44,0)),""))</f>
        <v/>
      </c>
    </row>
    <row r="4322" spans="1:7" x14ac:dyDescent="0.3">
      <c r="A4322" s="17"/>
      <c r="B4322" s="18"/>
      <c r="C4322" s="18"/>
      <c r="D4322" s="18"/>
      <c r="E4322" s="10" t="str">
        <f>IF(B4322="","",IFERROR(INDEX(Harytlar!$C$5:$C$44,MATCH(B4322,Harytlar!$A$5:$A$44,0)),""))</f>
        <v/>
      </c>
      <c r="F4322" s="10" t="str">
        <f t="shared" si="67"/>
        <v/>
      </c>
      <c r="G4322" s="10" t="str">
        <f>IF(OR(C4322="",B4322=""),"",IFERROR(C4322*INDEX(Harytlar!$D$5:$D$44,MATCH(B4322,Harytlar!$A$5:$A$44,0)),""))</f>
        <v/>
      </c>
    </row>
    <row r="4323" spans="1:7" x14ac:dyDescent="0.3">
      <c r="A4323" s="17"/>
      <c r="B4323" s="18"/>
      <c r="C4323" s="18"/>
      <c r="D4323" s="18"/>
      <c r="E4323" s="10" t="str">
        <f>IF(B4323="","",IFERROR(INDEX(Harytlar!$C$5:$C$44,MATCH(B4323,Harytlar!$A$5:$A$44,0)),""))</f>
        <v/>
      </c>
      <c r="F4323" s="10" t="str">
        <f t="shared" si="67"/>
        <v/>
      </c>
      <c r="G4323" s="10" t="str">
        <f>IF(OR(C4323="",B4323=""),"",IFERROR(C4323*INDEX(Harytlar!$D$5:$D$44,MATCH(B4323,Harytlar!$A$5:$A$44,0)),""))</f>
        <v/>
      </c>
    </row>
    <row r="4324" spans="1:7" x14ac:dyDescent="0.3">
      <c r="A4324" s="17"/>
      <c r="B4324" s="18"/>
      <c r="C4324" s="18"/>
      <c r="D4324" s="18"/>
      <c r="E4324" s="10" t="str">
        <f>IF(B4324="","",IFERROR(INDEX(Harytlar!$C$5:$C$44,MATCH(B4324,Harytlar!$A$5:$A$44,0)),""))</f>
        <v/>
      </c>
      <c r="F4324" s="10" t="str">
        <f t="shared" si="67"/>
        <v/>
      </c>
      <c r="G4324" s="10" t="str">
        <f>IF(OR(C4324="",B4324=""),"",IFERROR(C4324*INDEX(Harytlar!$D$5:$D$44,MATCH(B4324,Harytlar!$A$5:$A$44,0)),""))</f>
        <v/>
      </c>
    </row>
    <row r="4325" spans="1:7" x14ac:dyDescent="0.3">
      <c r="A4325" s="17"/>
      <c r="B4325" s="18"/>
      <c r="C4325" s="18"/>
      <c r="D4325" s="18"/>
      <c r="E4325" s="10" t="str">
        <f>IF(B4325="","",IFERROR(INDEX(Harytlar!$C$5:$C$44,MATCH(B4325,Harytlar!$A$5:$A$44,0)),""))</f>
        <v/>
      </c>
      <c r="F4325" s="10" t="str">
        <f t="shared" si="67"/>
        <v/>
      </c>
      <c r="G4325" s="10" t="str">
        <f>IF(OR(C4325="",B4325=""),"",IFERROR(C4325*INDEX(Harytlar!$D$5:$D$44,MATCH(B4325,Harytlar!$A$5:$A$44,0)),""))</f>
        <v/>
      </c>
    </row>
    <row r="4326" spans="1:7" x14ac:dyDescent="0.3">
      <c r="A4326" s="17"/>
      <c r="B4326" s="18"/>
      <c r="C4326" s="18"/>
      <c r="D4326" s="18"/>
      <c r="E4326" s="10" t="str">
        <f>IF(B4326="","",IFERROR(INDEX(Harytlar!$C$5:$C$44,MATCH(B4326,Harytlar!$A$5:$A$44,0)),""))</f>
        <v/>
      </c>
      <c r="F4326" s="10" t="str">
        <f t="shared" si="67"/>
        <v/>
      </c>
      <c r="G4326" s="10" t="str">
        <f>IF(OR(C4326="",B4326=""),"",IFERROR(C4326*INDEX(Harytlar!$D$5:$D$44,MATCH(B4326,Harytlar!$A$5:$A$44,0)),""))</f>
        <v/>
      </c>
    </row>
    <row r="4327" spans="1:7" x14ac:dyDescent="0.3">
      <c r="A4327" s="17"/>
      <c r="B4327" s="18"/>
      <c r="C4327" s="18"/>
      <c r="D4327" s="18"/>
      <c r="E4327" s="10" t="str">
        <f>IF(B4327="","",IFERROR(INDEX(Harytlar!$C$5:$C$44,MATCH(B4327,Harytlar!$A$5:$A$44,0)),""))</f>
        <v/>
      </c>
      <c r="F4327" s="10" t="str">
        <f t="shared" si="67"/>
        <v/>
      </c>
      <c r="G4327" s="10" t="str">
        <f>IF(OR(C4327="",B4327=""),"",IFERROR(C4327*INDEX(Harytlar!$D$5:$D$44,MATCH(B4327,Harytlar!$A$5:$A$44,0)),""))</f>
        <v/>
      </c>
    </row>
    <row r="4328" spans="1:7" x14ac:dyDescent="0.3">
      <c r="A4328" s="17"/>
      <c r="B4328" s="18"/>
      <c r="C4328" s="18"/>
      <c r="D4328" s="18"/>
      <c r="E4328" s="10" t="str">
        <f>IF(B4328="","",IFERROR(INDEX(Harytlar!$C$5:$C$44,MATCH(B4328,Harytlar!$A$5:$A$44,0)),""))</f>
        <v/>
      </c>
      <c r="F4328" s="10" t="str">
        <f t="shared" si="67"/>
        <v/>
      </c>
      <c r="G4328" s="10" t="str">
        <f>IF(OR(C4328="",B4328=""),"",IFERROR(C4328*INDEX(Harytlar!$D$5:$D$44,MATCH(B4328,Harytlar!$A$5:$A$44,0)),""))</f>
        <v/>
      </c>
    </row>
    <row r="4329" spans="1:7" x14ac:dyDescent="0.3">
      <c r="A4329" s="17"/>
      <c r="B4329" s="18"/>
      <c r="C4329" s="18"/>
      <c r="D4329" s="18"/>
      <c r="E4329" s="10" t="str">
        <f>IF(B4329="","",IFERROR(INDEX(Harytlar!$C$5:$C$44,MATCH(B4329,Harytlar!$A$5:$A$44,0)),""))</f>
        <v/>
      </c>
      <c r="F4329" s="10" t="str">
        <f t="shared" si="67"/>
        <v/>
      </c>
      <c r="G4329" s="10" t="str">
        <f>IF(OR(C4329="",B4329=""),"",IFERROR(C4329*INDEX(Harytlar!$D$5:$D$44,MATCH(B4329,Harytlar!$A$5:$A$44,0)),""))</f>
        <v/>
      </c>
    </row>
    <row r="4330" spans="1:7" x14ac:dyDescent="0.3">
      <c r="A4330" s="17"/>
      <c r="B4330" s="18"/>
      <c r="C4330" s="18"/>
      <c r="D4330" s="18"/>
      <c r="E4330" s="10" t="str">
        <f>IF(B4330="","",IFERROR(INDEX(Harytlar!$C$5:$C$44,MATCH(B4330,Harytlar!$A$5:$A$44,0)),""))</f>
        <v/>
      </c>
      <c r="F4330" s="10" t="str">
        <f t="shared" si="67"/>
        <v/>
      </c>
      <c r="G4330" s="10" t="str">
        <f>IF(OR(C4330="",B4330=""),"",IFERROR(C4330*INDEX(Harytlar!$D$5:$D$44,MATCH(B4330,Harytlar!$A$5:$A$44,0)),""))</f>
        <v/>
      </c>
    </row>
    <row r="4331" spans="1:7" x14ac:dyDescent="0.3">
      <c r="A4331" s="17"/>
      <c r="B4331" s="18"/>
      <c r="C4331" s="18"/>
      <c r="D4331" s="18"/>
      <c r="E4331" s="10" t="str">
        <f>IF(B4331="","",IFERROR(INDEX(Harytlar!$C$5:$C$44,MATCH(B4331,Harytlar!$A$5:$A$44,0)),""))</f>
        <v/>
      </c>
      <c r="F4331" s="10" t="str">
        <f t="shared" si="67"/>
        <v/>
      </c>
      <c r="G4331" s="10" t="str">
        <f>IF(OR(C4331="",B4331=""),"",IFERROR(C4331*INDEX(Harytlar!$D$5:$D$44,MATCH(B4331,Harytlar!$A$5:$A$44,0)),""))</f>
        <v/>
      </c>
    </row>
    <row r="4332" spans="1:7" x14ac:dyDescent="0.3">
      <c r="A4332" s="17"/>
      <c r="B4332" s="18"/>
      <c r="C4332" s="18"/>
      <c r="D4332" s="18"/>
      <c r="E4332" s="10" t="str">
        <f>IF(B4332="","",IFERROR(INDEX(Harytlar!$C$5:$C$44,MATCH(B4332,Harytlar!$A$5:$A$44,0)),""))</f>
        <v/>
      </c>
      <c r="F4332" s="10" t="str">
        <f t="shared" si="67"/>
        <v/>
      </c>
      <c r="G4332" s="10" t="str">
        <f>IF(OR(C4332="",B4332=""),"",IFERROR(C4332*INDEX(Harytlar!$D$5:$D$44,MATCH(B4332,Harytlar!$A$5:$A$44,0)),""))</f>
        <v/>
      </c>
    </row>
    <row r="4333" spans="1:7" x14ac:dyDescent="0.3">
      <c r="A4333" s="17"/>
      <c r="B4333" s="18"/>
      <c r="C4333" s="18"/>
      <c r="D4333" s="18"/>
      <c r="E4333" s="10" t="str">
        <f>IF(B4333="","",IFERROR(INDEX(Harytlar!$C$5:$C$44,MATCH(B4333,Harytlar!$A$5:$A$44,0)),""))</f>
        <v/>
      </c>
      <c r="F4333" s="10" t="str">
        <f t="shared" si="67"/>
        <v/>
      </c>
      <c r="G4333" s="10" t="str">
        <f>IF(OR(C4333="",B4333=""),"",IFERROR(C4333*INDEX(Harytlar!$D$5:$D$44,MATCH(B4333,Harytlar!$A$5:$A$44,0)),""))</f>
        <v/>
      </c>
    </row>
    <row r="4334" spans="1:7" x14ac:dyDescent="0.3">
      <c r="A4334" s="17"/>
      <c r="B4334" s="18"/>
      <c r="C4334" s="18"/>
      <c r="D4334" s="18"/>
      <c r="E4334" s="10" t="str">
        <f>IF(B4334="","",IFERROR(INDEX(Harytlar!$C$5:$C$44,MATCH(B4334,Harytlar!$A$5:$A$44,0)),""))</f>
        <v/>
      </c>
      <c r="F4334" s="10" t="str">
        <f t="shared" si="67"/>
        <v/>
      </c>
      <c r="G4334" s="10" t="str">
        <f>IF(OR(C4334="",B4334=""),"",IFERROR(C4334*INDEX(Harytlar!$D$5:$D$44,MATCH(B4334,Harytlar!$A$5:$A$44,0)),""))</f>
        <v/>
      </c>
    </row>
    <row r="4335" spans="1:7" x14ac:dyDescent="0.3">
      <c r="A4335" s="17"/>
      <c r="B4335" s="18"/>
      <c r="C4335" s="18"/>
      <c r="D4335" s="18"/>
      <c r="E4335" s="10" t="str">
        <f>IF(B4335="","",IFERROR(INDEX(Harytlar!$C$5:$C$44,MATCH(B4335,Harytlar!$A$5:$A$44,0)),""))</f>
        <v/>
      </c>
      <c r="F4335" s="10" t="str">
        <f t="shared" si="67"/>
        <v/>
      </c>
      <c r="G4335" s="10" t="str">
        <f>IF(OR(C4335="",B4335=""),"",IFERROR(C4335*INDEX(Harytlar!$D$5:$D$44,MATCH(B4335,Harytlar!$A$5:$A$44,0)),""))</f>
        <v/>
      </c>
    </row>
    <row r="4336" spans="1:7" x14ac:dyDescent="0.3">
      <c r="A4336" s="17"/>
      <c r="B4336" s="18"/>
      <c r="C4336" s="18"/>
      <c r="D4336" s="18"/>
      <c r="E4336" s="10" t="str">
        <f>IF(B4336="","",IFERROR(INDEX(Harytlar!$C$5:$C$44,MATCH(B4336,Harytlar!$A$5:$A$44,0)),""))</f>
        <v/>
      </c>
      <c r="F4336" s="10" t="str">
        <f t="shared" si="67"/>
        <v/>
      </c>
      <c r="G4336" s="10" t="str">
        <f>IF(OR(C4336="",B4336=""),"",IFERROR(C4336*INDEX(Harytlar!$D$5:$D$44,MATCH(B4336,Harytlar!$A$5:$A$44,0)),""))</f>
        <v/>
      </c>
    </row>
    <row r="4337" spans="1:7" x14ac:dyDescent="0.3">
      <c r="A4337" s="17"/>
      <c r="B4337" s="18"/>
      <c r="C4337" s="18"/>
      <c r="D4337" s="18"/>
      <c r="E4337" s="10" t="str">
        <f>IF(B4337="","",IFERROR(INDEX(Harytlar!$C$5:$C$44,MATCH(B4337,Harytlar!$A$5:$A$44,0)),""))</f>
        <v/>
      </c>
      <c r="F4337" s="10" t="str">
        <f t="shared" si="67"/>
        <v/>
      </c>
      <c r="G4337" s="10" t="str">
        <f>IF(OR(C4337="",B4337=""),"",IFERROR(C4337*INDEX(Harytlar!$D$5:$D$44,MATCH(B4337,Harytlar!$A$5:$A$44,0)),""))</f>
        <v/>
      </c>
    </row>
    <row r="4338" spans="1:7" x14ac:dyDescent="0.3">
      <c r="A4338" s="17"/>
      <c r="B4338" s="18"/>
      <c r="C4338" s="18"/>
      <c r="D4338" s="18"/>
      <c r="E4338" s="10" t="str">
        <f>IF(B4338="","",IFERROR(INDEX(Harytlar!$C$5:$C$44,MATCH(B4338,Harytlar!$A$5:$A$44,0)),""))</f>
        <v/>
      </c>
      <c r="F4338" s="10" t="str">
        <f t="shared" si="67"/>
        <v/>
      </c>
      <c r="G4338" s="10" t="str">
        <f>IF(OR(C4338="",B4338=""),"",IFERROR(C4338*INDEX(Harytlar!$D$5:$D$44,MATCH(B4338,Harytlar!$A$5:$A$44,0)),""))</f>
        <v/>
      </c>
    </row>
    <row r="4339" spans="1:7" x14ac:dyDescent="0.3">
      <c r="A4339" s="17"/>
      <c r="B4339" s="18"/>
      <c r="C4339" s="18"/>
      <c r="D4339" s="18"/>
      <c r="E4339" s="10" t="str">
        <f>IF(B4339="","",IFERROR(INDEX(Harytlar!$C$5:$C$44,MATCH(B4339,Harytlar!$A$5:$A$44,0)),""))</f>
        <v/>
      </c>
      <c r="F4339" s="10" t="str">
        <f t="shared" si="67"/>
        <v/>
      </c>
      <c r="G4339" s="10" t="str">
        <f>IF(OR(C4339="",B4339=""),"",IFERROR(C4339*INDEX(Harytlar!$D$5:$D$44,MATCH(B4339,Harytlar!$A$5:$A$44,0)),""))</f>
        <v/>
      </c>
    </row>
    <row r="4340" spans="1:7" x14ac:dyDescent="0.3">
      <c r="A4340" s="17"/>
      <c r="B4340" s="18"/>
      <c r="C4340" s="18"/>
      <c r="D4340" s="18"/>
      <c r="E4340" s="10" t="str">
        <f>IF(B4340="","",IFERROR(INDEX(Harytlar!$C$5:$C$44,MATCH(B4340,Harytlar!$A$5:$A$44,0)),""))</f>
        <v/>
      </c>
      <c r="F4340" s="10" t="str">
        <f t="shared" si="67"/>
        <v/>
      </c>
      <c r="G4340" s="10" t="str">
        <f>IF(OR(C4340="",B4340=""),"",IFERROR(C4340*INDEX(Harytlar!$D$5:$D$44,MATCH(B4340,Harytlar!$A$5:$A$44,0)),""))</f>
        <v/>
      </c>
    </row>
    <row r="4341" spans="1:7" x14ac:dyDescent="0.3">
      <c r="A4341" s="17"/>
      <c r="B4341" s="18"/>
      <c r="C4341" s="18"/>
      <c r="D4341" s="18"/>
      <c r="E4341" s="10" t="str">
        <f>IF(B4341="","",IFERROR(INDEX(Harytlar!$C$5:$C$44,MATCH(B4341,Harytlar!$A$5:$A$44,0)),""))</f>
        <v/>
      </c>
      <c r="F4341" s="10" t="str">
        <f t="shared" si="67"/>
        <v/>
      </c>
      <c r="G4341" s="10" t="str">
        <f>IF(OR(C4341="",B4341=""),"",IFERROR(C4341*INDEX(Harytlar!$D$5:$D$44,MATCH(B4341,Harytlar!$A$5:$A$44,0)),""))</f>
        <v/>
      </c>
    </row>
    <row r="4342" spans="1:7" x14ac:dyDescent="0.3">
      <c r="A4342" s="17"/>
      <c r="B4342" s="18"/>
      <c r="C4342" s="18"/>
      <c r="D4342" s="18"/>
      <c r="E4342" s="10" t="str">
        <f>IF(B4342="","",IFERROR(INDEX(Harytlar!$C$5:$C$44,MATCH(B4342,Harytlar!$A$5:$A$44,0)),""))</f>
        <v/>
      </c>
      <c r="F4342" s="10" t="str">
        <f t="shared" si="67"/>
        <v/>
      </c>
      <c r="G4342" s="10" t="str">
        <f>IF(OR(C4342="",B4342=""),"",IFERROR(C4342*INDEX(Harytlar!$D$5:$D$44,MATCH(B4342,Harytlar!$A$5:$A$44,0)),""))</f>
        <v/>
      </c>
    </row>
    <row r="4343" spans="1:7" x14ac:dyDescent="0.3">
      <c r="A4343" s="17"/>
      <c r="B4343" s="18"/>
      <c r="C4343" s="18"/>
      <c r="D4343" s="18"/>
      <c r="E4343" s="10" t="str">
        <f>IF(B4343="","",IFERROR(INDEX(Harytlar!$C$5:$C$44,MATCH(B4343,Harytlar!$A$5:$A$44,0)),""))</f>
        <v/>
      </c>
      <c r="F4343" s="10" t="str">
        <f t="shared" si="67"/>
        <v/>
      </c>
      <c r="G4343" s="10" t="str">
        <f>IF(OR(C4343="",B4343=""),"",IFERROR(C4343*INDEX(Harytlar!$D$5:$D$44,MATCH(B4343,Harytlar!$A$5:$A$44,0)),""))</f>
        <v/>
      </c>
    </row>
    <row r="4344" spans="1:7" x14ac:dyDescent="0.3">
      <c r="A4344" s="17"/>
      <c r="B4344" s="18"/>
      <c r="C4344" s="18"/>
      <c r="D4344" s="18"/>
      <c r="E4344" s="10" t="str">
        <f>IF(B4344="","",IFERROR(INDEX(Harytlar!$C$5:$C$44,MATCH(B4344,Harytlar!$A$5:$A$44,0)),""))</f>
        <v/>
      </c>
      <c r="F4344" s="10" t="str">
        <f t="shared" si="67"/>
        <v/>
      </c>
      <c r="G4344" s="10" t="str">
        <f>IF(OR(C4344="",B4344=""),"",IFERROR(C4344*INDEX(Harytlar!$D$5:$D$44,MATCH(B4344,Harytlar!$A$5:$A$44,0)),""))</f>
        <v/>
      </c>
    </row>
    <row r="4345" spans="1:7" x14ac:dyDescent="0.3">
      <c r="A4345" s="17"/>
      <c r="B4345" s="18"/>
      <c r="C4345" s="18"/>
      <c r="D4345" s="18"/>
      <c r="E4345" s="10" t="str">
        <f>IF(B4345="","",IFERROR(INDEX(Harytlar!$C$5:$C$44,MATCH(B4345,Harytlar!$A$5:$A$44,0)),""))</f>
        <v/>
      </c>
      <c r="F4345" s="10" t="str">
        <f t="shared" si="67"/>
        <v/>
      </c>
      <c r="G4345" s="10" t="str">
        <f>IF(OR(C4345="",B4345=""),"",IFERROR(C4345*INDEX(Harytlar!$D$5:$D$44,MATCH(B4345,Harytlar!$A$5:$A$44,0)),""))</f>
        <v/>
      </c>
    </row>
    <row r="4346" spans="1:7" x14ac:dyDescent="0.3">
      <c r="A4346" s="17"/>
      <c r="B4346" s="18"/>
      <c r="C4346" s="18"/>
      <c r="D4346" s="18"/>
      <c r="E4346" s="10" t="str">
        <f>IF(B4346="","",IFERROR(INDEX(Harytlar!$C$5:$C$44,MATCH(B4346,Harytlar!$A$5:$A$44,0)),""))</f>
        <v/>
      </c>
      <c r="F4346" s="10" t="str">
        <f t="shared" si="67"/>
        <v/>
      </c>
      <c r="G4346" s="10" t="str">
        <f>IF(OR(C4346="",B4346=""),"",IFERROR(C4346*INDEX(Harytlar!$D$5:$D$44,MATCH(B4346,Harytlar!$A$5:$A$44,0)),""))</f>
        <v/>
      </c>
    </row>
    <row r="4347" spans="1:7" x14ac:dyDescent="0.3">
      <c r="A4347" s="17"/>
      <c r="B4347" s="18"/>
      <c r="C4347" s="18"/>
      <c r="D4347" s="18"/>
      <c r="E4347" s="10" t="str">
        <f>IF(B4347="","",IFERROR(INDEX(Harytlar!$C$5:$C$44,MATCH(B4347,Harytlar!$A$5:$A$44,0)),""))</f>
        <v/>
      </c>
      <c r="F4347" s="10" t="str">
        <f t="shared" si="67"/>
        <v/>
      </c>
      <c r="G4347" s="10" t="str">
        <f>IF(OR(C4347="",B4347=""),"",IFERROR(C4347*INDEX(Harytlar!$D$5:$D$44,MATCH(B4347,Harytlar!$A$5:$A$44,0)),""))</f>
        <v/>
      </c>
    </row>
    <row r="4348" spans="1:7" x14ac:dyDescent="0.3">
      <c r="A4348" s="17"/>
      <c r="B4348" s="18"/>
      <c r="C4348" s="18"/>
      <c r="D4348" s="18"/>
      <c r="E4348" s="10" t="str">
        <f>IF(B4348="","",IFERROR(INDEX(Harytlar!$C$5:$C$44,MATCH(B4348,Harytlar!$A$5:$A$44,0)),""))</f>
        <v/>
      </c>
      <c r="F4348" s="10" t="str">
        <f t="shared" si="67"/>
        <v/>
      </c>
      <c r="G4348" s="10" t="str">
        <f>IF(OR(C4348="",B4348=""),"",IFERROR(C4348*INDEX(Harytlar!$D$5:$D$44,MATCH(B4348,Harytlar!$A$5:$A$44,0)),""))</f>
        <v/>
      </c>
    </row>
    <row r="4349" spans="1:7" x14ac:dyDescent="0.3">
      <c r="A4349" s="17"/>
      <c r="B4349" s="18"/>
      <c r="C4349" s="18"/>
      <c r="D4349" s="18"/>
      <c r="E4349" s="10" t="str">
        <f>IF(B4349="","",IFERROR(INDEX(Harytlar!$C$5:$C$44,MATCH(B4349,Harytlar!$A$5:$A$44,0)),""))</f>
        <v/>
      </c>
      <c r="F4349" s="10" t="str">
        <f t="shared" si="67"/>
        <v/>
      </c>
      <c r="G4349" s="10" t="str">
        <f>IF(OR(C4349="",B4349=""),"",IFERROR(C4349*INDEX(Harytlar!$D$5:$D$44,MATCH(B4349,Harytlar!$A$5:$A$44,0)),""))</f>
        <v/>
      </c>
    </row>
    <row r="4350" spans="1:7" x14ac:dyDescent="0.3">
      <c r="A4350" s="17"/>
      <c r="B4350" s="18"/>
      <c r="C4350" s="18"/>
      <c r="D4350" s="18"/>
      <c r="E4350" s="10" t="str">
        <f>IF(B4350="","",IFERROR(INDEX(Harytlar!$C$5:$C$44,MATCH(B4350,Harytlar!$A$5:$A$44,0)),""))</f>
        <v/>
      </c>
      <c r="F4350" s="10" t="str">
        <f t="shared" si="67"/>
        <v/>
      </c>
      <c r="G4350" s="10" t="str">
        <f>IF(OR(C4350="",B4350=""),"",IFERROR(C4350*INDEX(Harytlar!$D$5:$D$44,MATCH(B4350,Harytlar!$A$5:$A$44,0)),""))</f>
        <v/>
      </c>
    </row>
    <row r="4351" spans="1:7" x14ac:dyDescent="0.3">
      <c r="A4351" s="17"/>
      <c r="B4351" s="18"/>
      <c r="C4351" s="18"/>
      <c r="D4351" s="18"/>
      <c r="E4351" s="10" t="str">
        <f>IF(B4351="","",IFERROR(INDEX(Harytlar!$C$5:$C$44,MATCH(B4351,Harytlar!$A$5:$A$44,0)),""))</f>
        <v/>
      </c>
      <c r="F4351" s="10" t="str">
        <f t="shared" si="67"/>
        <v/>
      </c>
      <c r="G4351" s="10" t="str">
        <f>IF(OR(C4351="",B4351=""),"",IFERROR(C4351*INDEX(Harytlar!$D$5:$D$44,MATCH(B4351,Harytlar!$A$5:$A$44,0)),""))</f>
        <v/>
      </c>
    </row>
    <row r="4352" spans="1:7" x14ac:dyDescent="0.3">
      <c r="A4352" s="17"/>
      <c r="B4352" s="18"/>
      <c r="C4352" s="18"/>
      <c r="D4352" s="18"/>
      <c r="E4352" s="10" t="str">
        <f>IF(B4352="","",IFERROR(INDEX(Harytlar!$C$5:$C$44,MATCH(B4352,Harytlar!$A$5:$A$44,0)),""))</f>
        <v/>
      </c>
      <c r="F4352" s="10" t="str">
        <f t="shared" si="67"/>
        <v/>
      </c>
      <c r="G4352" s="10" t="str">
        <f>IF(OR(C4352="",B4352=""),"",IFERROR(C4352*INDEX(Harytlar!$D$5:$D$44,MATCH(B4352,Harytlar!$A$5:$A$44,0)),""))</f>
        <v/>
      </c>
    </row>
    <row r="4353" spans="1:7" x14ac:dyDescent="0.3">
      <c r="A4353" s="17"/>
      <c r="B4353" s="18"/>
      <c r="C4353" s="18"/>
      <c r="D4353" s="18"/>
      <c r="E4353" s="10" t="str">
        <f>IF(B4353="","",IFERROR(INDEX(Harytlar!$C$5:$C$44,MATCH(B4353,Harytlar!$A$5:$A$44,0)),""))</f>
        <v/>
      </c>
      <c r="F4353" s="10" t="str">
        <f t="shared" si="67"/>
        <v/>
      </c>
      <c r="G4353" s="10" t="str">
        <f>IF(OR(C4353="",B4353=""),"",IFERROR(C4353*INDEX(Harytlar!$D$5:$D$44,MATCH(B4353,Harytlar!$A$5:$A$44,0)),""))</f>
        <v/>
      </c>
    </row>
    <row r="4354" spans="1:7" x14ac:dyDescent="0.3">
      <c r="A4354" s="17"/>
      <c r="B4354" s="18"/>
      <c r="C4354" s="18"/>
      <c r="D4354" s="18"/>
      <c r="E4354" s="10" t="str">
        <f>IF(B4354="","",IFERROR(INDEX(Harytlar!$C$5:$C$44,MATCH(B4354,Harytlar!$A$5:$A$44,0)),""))</f>
        <v/>
      </c>
      <c r="F4354" s="10" t="str">
        <f t="shared" si="67"/>
        <v/>
      </c>
      <c r="G4354" s="10" t="str">
        <f>IF(OR(C4354="",B4354=""),"",IFERROR(C4354*INDEX(Harytlar!$D$5:$D$44,MATCH(B4354,Harytlar!$A$5:$A$44,0)),""))</f>
        <v/>
      </c>
    </row>
    <row r="4355" spans="1:7" x14ac:dyDescent="0.3">
      <c r="A4355" s="17"/>
      <c r="B4355" s="18"/>
      <c r="C4355" s="18"/>
      <c r="D4355" s="18"/>
      <c r="E4355" s="10" t="str">
        <f>IF(B4355="","",IFERROR(INDEX(Harytlar!$C$5:$C$44,MATCH(B4355,Harytlar!$A$5:$A$44,0)),""))</f>
        <v/>
      </c>
      <c r="F4355" s="10" t="str">
        <f t="shared" si="67"/>
        <v/>
      </c>
      <c r="G4355" s="10" t="str">
        <f>IF(OR(C4355="",B4355=""),"",IFERROR(C4355*INDEX(Harytlar!$D$5:$D$44,MATCH(B4355,Harytlar!$A$5:$A$44,0)),""))</f>
        <v/>
      </c>
    </row>
    <row r="4356" spans="1:7" x14ac:dyDescent="0.3">
      <c r="A4356" s="17"/>
      <c r="B4356" s="18"/>
      <c r="C4356" s="18"/>
      <c r="D4356" s="18"/>
      <c r="E4356" s="10" t="str">
        <f>IF(B4356="","",IFERROR(INDEX(Harytlar!$C$5:$C$44,MATCH(B4356,Harytlar!$A$5:$A$44,0)),""))</f>
        <v/>
      </c>
      <c r="F4356" s="10" t="str">
        <f t="shared" si="67"/>
        <v/>
      </c>
      <c r="G4356" s="10" t="str">
        <f>IF(OR(C4356="",B4356=""),"",IFERROR(C4356*INDEX(Harytlar!$D$5:$D$44,MATCH(B4356,Harytlar!$A$5:$A$44,0)),""))</f>
        <v/>
      </c>
    </row>
    <row r="4357" spans="1:7" x14ac:dyDescent="0.3">
      <c r="A4357" s="17"/>
      <c r="B4357" s="18"/>
      <c r="C4357" s="18"/>
      <c r="D4357" s="18"/>
      <c r="E4357" s="10" t="str">
        <f>IF(B4357="","",IFERROR(INDEX(Harytlar!$C$5:$C$44,MATCH(B4357,Harytlar!$A$5:$A$44,0)),""))</f>
        <v/>
      </c>
      <c r="F4357" s="10" t="str">
        <f t="shared" si="67"/>
        <v/>
      </c>
      <c r="G4357" s="10" t="str">
        <f>IF(OR(C4357="",B4357=""),"",IFERROR(C4357*INDEX(Harytlar!$D$5:$D$44,MATCH(B4357,Harytlar!$A$5:$A$44,0)),""))</f>
        <v/>
      </c>
    </row>
    <row r="4358" spans="1:7" x14ac:dyDescent="0.3">
      <c r="A4358" s="17"/>
      <c r="B4358" s="18"/>
      <c r="C4358" s="18"/>
      <c r="D4358" s="18"/>
      <c r="E4358" s="10" t="str">
        <f>IF(B4358="","",IFERROR(INDEX(Harytlar!$C$5:$C$44,MATCH(B4358,Harytlar!$A$5:$A$44,0)),""))</f>
        <v/>
      </c>
      <c r="F4358" s="10" t="str">
        <f t="shared" ref="F4358:F4421" si="68">IF(OR(C4358="",E4358=""),"",C4358*E4358)</f>
        <v/>
      </c>
      <c r="G4358" s="10" t="str">
        <f>IF(OR(C4358="",B4358=""),"",IFERROR(C4358*INDEX(Harytlar!$D$5:$D$44,MATCH(B4358,Harytlar!$A$5:$A$44,0)),""))</f>
        <v/>
      </c>
    </row>
    <row r="4359" spans="1:7" x14ac:dyDescent="0.3">
      <c r="A4359" s="17"/>
      <c r="B4359" s="18"/>
      <c r="C4359" s="18"/>
      <c r="D4359" s="18"/>
      <c r="E4359" s="10" t="str">
        <f>IF(B4359="","",IFERROR(INDEX(Harytlar!$C$5:$C$44,MATCH(B4359,Harytlar!$A$5:$A$44,0)),""))</f>
        <v/>
      </c>
      <c r="F4359" s="10" t="str">
        <f t="shared" si="68"/>
        <v/>
      </c>
      <c r="G4359" s="10" t="str">
        <f>IF(OR(C4359="",B4359=""),"",IFERROR(C4359*INDEX(Harytlar!$D$5:$D$44,MATCH(B4359,Harytlar!$A$5:$A$44,0)),""))</f>
        <v/>
      </c>
    </row>
    <row r="4360" spans="1:7" x14ac:dyDescent="0.3">
      <c r="A4360" s="17"/>
      <c r="B4360" s="18"/>
      <c r="C4360" s="18"/>
      <c r="D4360" s="18"/>
      <c r="E4360" s="10" t="str">
        <f>IF(B4360="","",IFERROR(INDEX(Harytlar!$C$5:$C$44,MATCH(B4360,Harytlar!$A$5:$A$44,0)),""))</f>
        <v/>
      </c>
      <c r="F4360" s="10" t="str">
        <f t="shared" si="68"/>
        <v/>
      </c>
      <c r="G4360" s="10" t="str">
        <f>IF(OR(C4360="",B4360=""),"",IFERROR(C4360*INDEX(Harytlar!$D$5:$D$44,MATCH(B4360,Harytlar!$A$5:$A$44,0)),""))</f>
        <v/>
      </c>
    </row>
    <row r="4361" spans="1:7" x14ac:dyDescent="0.3">
      <c r="A4361" s="17"/>
      <c r="B4361" s="18"/>
      <c r="C4361" s="18"/>
      <c r="D4361" s="18"/>
      <c r="E4361" s="10" t="str">
        <f>IF(B4361="","",IFERROR(INDEX(Harytlar!$C$5:$C$44,MATCH(B4361,Harytlar!$A$5:$A$44,0)),""))</f>
        <v/>
      </c>
      <c r="F4361" s="10" t="str">
        <f t="shared" si="68"/>
        <v/>
      </c>
      <c r="G4361" s="10" t="str">
        <f>IF(OR(C4361="",B4361=""),"",IFERROR(C4361*INDEX(Harytlar!$D$5:$D$44,MATCH(B4361,Harytlar!$A$5:$A$44,0)),""))</f>
        <v/>
      </c>
    </row>
    <row r="4362" spans="1:7" x14ac:dyDescent="0.3">
      <c r="A4362" s="17"/>
      <c r="B4362" s="18"/>
      <c r="C4362" s="18"/>
      <c r="D4362" s="18"/>
      <c r="E4362" s="10" t="str">
        <f>IF(B4362="","",IFERROR(INDEX(Harytlar!$C$5:$C$44,MATCH(B4362,Harytlar!$A$5:$A$44,0)),""))</f>
        <v/>
      </c>
      <c r="F4362" s="10" t="str">
        <f t="shared" si="68"/>
        <v/>
      </c>
      <c r="G4362" s="10" t="str">
        <f>IF(OR(C4362="",B4362=""),"",IFERROR(C4362*INDEX(Harytlar!$D$5:$D$44,MATCH(B4362,Harytlar!$A$5:$A$44,0)),""))</f>
        <v/>
      </c>
    </row>
    <row r="4363" spans="1:7" x14ac:dyDescent="0.3">
      <c r="A4363" s="17"/>
      <c r="B4363" s="18"/>
      <c r="C4363" s="18"/>
      <c r="D4363" s="18"/>
      <c r="E4363" s="10" t="str">
        <f>IF(B4363="","",IFERROR(INDEX(Harytlar!$C$5:$C$44,MATCH(B4363,Harytlar!$A$5:$A$44,0)),""))</f>
        <v/>
      </c>
      <c r="F4363" s="10" t="str">
        <f t="shared" si="68"/>
        <v/>
      </c>
      <c r="G4363" s="10" t="str">
        <f>IF(OR(C4363="",B4363=""),"",IFERROR(C4363*INDEX(Harytlar!$D$5:$D$44,MATCH(B4363,Harytlar!$A$5:$A$44,0)),""))</f>
        <v/>
      </c>
    </row>
    <row r="4364" spans="1:7" x14ac:dyDescent="0.3">
      <c r="A4364" s="17"/>
      <c r="B4364" s="18"/>
      <c r="C4364" s="18"/>
      <c r="D4364" s="18"/>
      <c r="E4364" s="10" t="str">
        <f>IF(B4364="","",IFERROR(INDEX(Harytlar!$C$5:$C$44,MATCH(B4364,Harytlar!$A$5:$A$44,0)),""))</f>
        <v/>
      </c>
      <c r="F4364" s="10" t="str">
        <f t="shared" si="68"/>
        <v/>
      </c>
      <c r="G4364" s="10" t="str">
        <f>IF(OR(C4364="",B4364=""),"",IFERROR(C4364*INDEX(Harytlar!$D$5:$D$44,MATCH(B4364,Harytlar!$A$5:$A$44,0)),""))</f>
        <v/>
      </c>
    </row>
    <row r="4365" spans="1:7" x14ac:dyDescent="0.3">
      <c r="A4365" s="17"/>
      <c r="B4365" s="18"/>
      <c r="C4365" s="18"/>
      <c r="D4365" s="18"/>
      <c r="E4365" s="10" t="str">
        <f>IF(B4365="","",IFERROR(INDEX(Harytlar!$C$5:$C$44,MATCH(B4365,Harytlar!$A$5:$A$44,0)),""))</f>
        <v/>
      </c>
      <c r="F4365" s="10" t="str">
        <f t="shared" si="68"/>
        <v/>
      </c>
      <c r="G4365" s="10" t="str">
        <f>IF(OR(C4365="",B4365=""),"",IFERROR(C4365*INDEX(Harytlar!$D$5:$D$44,MATCH(B4365,Harytlar!$A$5:$A$44,0)),""))</f>
        <v/>
      </c>
    </row>
    <row r="4366" spans="1:7" x14ac:dyDescent="0.3">
      <c r="A4366" s="17"/>
      <c r="B4366" s="18"/>
      <c r="C4366" s="18"/>
      <c r="D4366" s="18"/>
      <c r="E4366" s="10" t="str">
        <f>IF(B4366="","",IFERROR(INDEX(Harytlar!$C$5:$C$44,MATCH(B4366,Harytlar!$A$5:$A$44,0)),""))</f>
        <v/>
      </c>
      <c r="F4366" s="10" t="str">
        <f t="shared" si="68"/>
        <v/>
      </c>
      <c r="G4366" s="10" t="str">
        <f>IF(OR(C4366="",B4366=""),"",IFERROR(C4366*INDEX(Harytlar!$D$5:$D$44,MATCH(B4366,Harytlar!$A$5:$A$44,0)),""))</f>
        <v/>
      </c>
    </row>
    <row r="4367" spans="1:7" x14ac:dyDescent="0.3">
      <c r="A4367" s="17"/>
      <c r="B4367" s="18"/>
      <c r="C4367" s="18"/>
      <c r="D4367" s="18"/>
      <c r="E4367" s="10" t="str">
        <f>IF(B4367="","",IFERROR(INDEX(Harytlar!$C$5:$C$44,MATCH(B4367,Harytlar!$A$5:$A$44,0)),""))</f>
        <v/>
      </c>
      <c r="F4367" s="10" t="str">
        <f t="shared" si="68"/>
        <v/>
      </c>
      <c r="G4367" s="10" t="str">
        <f>IF(OR(C4367="",B4367=""),"",IFERROR(C4367*INDEX(Harytlar!$D$5:$D$44,MATCH(B4367,Harytlar!$A$5:$A$44,0)),""))</f>
        <v/>
      </c>
    </row>
    <row r="4368" spans="1:7" x14ac:dyDescent="0.3">
      <c r="A4368" s="17"/>
      <c r="B4368" s="18"/>
      <c r="C4368" s="18"/>
      <c r="D4368" s="18"/>
      <c r="E4368" s="10" t="str">
        <f>IF(B4368="","",IFERROR(INDEX(Harytlar!$C$5:$C$44,MATCH(B4368,Harytlar!$A$5:$A$44,0)),""))</f>
        <v/>
      </c>
      <c r="F4368" s="10" t="str">
        <f t="shared" si="68"/>
        <v/>
      </c>
      <c r="G4368" s="10" t="str">
        <f>IF(OR(C4368="",B4368=""),"",IFERROR(C4368*INDEX(Harytlar!$D$5:$D$44,MATCH(B4368,Harytlar!$A$5:$A$44,0)),""))</f>
        <v/>
      </c>
    </row>
    <row r="4369" spans="1:7" x14ac:dyDescent="0.3">
      <c r="A4369" s="17"/>
      <c r="B4369" s="18"/>
      <c r="C4369" s="18"/>
      <c r="D4369" s="18"/>
      <c r="E4369" s="10" t="str">
        <f>IF(B4369="","",IFERROR(INDEX(Harytlar!$C$5:$C$44,MATCH(B4369,Harytlar!$A$5:$A$44,0)),""))</f>
        <v/>
      </c>
      <c r="F4369" s="10" t="str">
        <f t="shared" si="68"/>
        <v/>
      </c>
      <c r="G4369" s="10" t="str">
        <f>IF(OR(C4369="",B4369=""),"",IFERROR(C4369*INDEX(Harytlar!$D$5:$D$44,MATCH(B4369,Harytlar!$A$5:$A$44,0)),""))</f>
        <v/>
      </c>
    </row>
    <row r="4370" spans="1:7" x14ac:dyDescent="0.3">
      <c r="A4370" s="17"/>
      <c r="B4370" s="18"/>
      <c r="C4370" s="18"/>
      <c r="D4370" s="18"/>
      <c r="E4370" s="10" t="str">
        <f>IF(B4370="","",IFERROR(INDEX(Harytlar!$C$5:$C$44,MATCH(B4370,Harytlar!$A$5:$A$44,0)),""))</f>
        <v/>
      </c>
      <c r="F4370" s="10" t="str">
        <f t="shared" si="68"/>
        <v/>
      </c>
      <c r="G4370" s="10" t="str">
        <f>IF(OR(C4370="",B4370=""),"",IFERROR(C4370*INDEX(Harytlar!$D$5:$D$44,MATCH(B4370,Harytlar!$A$5:$A$44,0)),""))</f>
        <v/>
      </c>
    </row>
    <row r="4371" spans="1:7" x14ac:dyDescent="0.3">
      <c r="A4371" s="17"/>
      <c r="B4371" s="18"/>
      <c r="C4371" s="18"/>
      <c r="D4371" s="18"/>
      <c r="E4371" s="10" t="str">
        <f>IF(B4371="","",IFERROR(INDEX(Harytlar!$C$5:$C$44,MATCH(B4371,Harytlar!$A$5:$A$44,0)),""))</f>
        <v/>
      </c>
      <c r="F4371" s="10" t="str">
        <f t="shared" si="68"/>
        <v/>
      </c>
      <c r="G4371" s="10" t="str">
        <f>IF(OR(C4371="",B4371=""),"",IFERROR(C4371*INDEX(Harytlar!$D$5:$D$44,MATCH(B4371,Harytlar!$A$5:$A$44,0)),""))</f>
        <v/>
      </c>
    </row>
    <row r="4372" spans="1:7" x14ac:dyDescent="0.3">
      <c r="A4372" s="17"/>
      <c r="B4372" s="18"/>
      <c r="C4372" s="18"/>
      <c r="D4372" s="18"/>
      <c r="E4372" s="10" t="str">
        <f>IF(B4372="","",IFERROR(INDEX(Harytlar!$C$5:$C$44,MATCH(B4372,Harytlar!$A$5:$A$44,0)),""))</f>
        <v/>
      </c>
      <c r="F4372" s="10" t="str">
        <f t="shared" si="68"/>
        <v/>
      </c>
      <c r="G4372" s="10" t="str">
        <f>IF(OR(C4372="",B4372=""),"",IFERROR(C4372*INDEX(Harytlar!$D$5:$D$44,MATCH(B4372,Harytlar!$A$5:$A$44,0)),""))</f>
        <v/>
      </c>
    </row>
    <row r="4373" spans="1:7" x14ac:dyDescent="0.3">
      <c r="A4373" s="17"/>
      <c r="B4373" s="18"/>
      <c r="C4373" s="18"/>
      <c r="D4373" s="18"/>
      <c r="E4373" s="10" t="str">
        <f>IF(B4373="","",IFERROR(INDEX(Harytlar!$C$5:$C$44,MATCH(B4373,Harytlar!$A$5:$A$44,0)),""))</f>
        <v/>
      </c>
      <c r="F4373" s="10" t="str">
        <f t="shared" si="68"/>
        <v/>
      </c>
      <c r="G4373" s="10" t="str">
        <f>IF(OR(C4373="",B4373=""),"",IFERROR(C4373*INDEX(Harytlar!$D$5:$D$44,MATCH(B4373,Harytlar!$A$5:$A$44,0)),""))</f>
        <v/>
      </c>
    </row>
    <row r="4374" spans="1:7" x14ac:dyDescent="0.3">
      <c r="A4374" s="17"/>
      <c r="B4374" s="18"/>
      <c r="C4374" s="18"/>
      <c r="D4374" s="18"/>
      <c r="E4374" s="10" t="str">
        <f>IF(B4374="","",IFERROR(INDEX(Harytlar!$C$5:$C$44,MATCH(B4374,Harytlar!$A$5:$A$44,0)),""))</f>
        <v/>
      </c>
      <c r="F4374" s="10" t="str">
        <f t="shared" si="68"/>
        <v/>
      </c>
      <c r="G4374" s="10" t="str">
        <f>IF(OR(C4374="",B4374=""),"",IFERROR(C4374*INDEX(Harytlar!$D$5:$D$44,MATCH(B4374,Harytlar!$A$5:$A$44,0)),""))</f>
        <v/>
      </c>
    </row>
    <row r="4375" spans="1:7" x14ac:dyDescent="0.3">
      <c r="A4375" s="17"/>
      <c r="B4375" s="18"/>
      <c r="C4375" s="18"/>
      <c r="D4375" s="18"/>
      <c r="E4375" s="10" t="str">
        <f>IF(B4375="","",IFERROR(INDEX(Harytlar!$C$5:$C$44,MATCH(B4375,Harytlar!$A$5:$A$44,0)),""))</f>
        <v/>
      </c>
      <c r="F4375" s="10" t="str">
        <f t="shared" si="68"/>
        <v/>
      </c>
      <c r="G4375" s="10" t="str">
        <f>IF(OR(C4375="",B4375=""),"",IFERROR(C4375*INDEX(Harytlar!$D$5:$D$44,MATCH(B4375,Harytlar!$A$5:$A$44,0)),""))</f>
        <v/>
      </c>
    </row>
    <row r="4376" spans="1:7" x14ac:dyDescent="0.3">
      <c r="A4376" s="17"/>
      <c r="B4376" s="18"/>
      <c r="C4376" s="18"/>
      <c r="D4376" s="18"/>
      <c r="E4376" s="10" t="str">
        <f>IF(B4376="","",IFERROR(INDEX(Harytlar!$C$5:$C$44,MATCH(B4376,Harytlar!$A$5:$A$44,0)),""))</f>
        <v/>
      </c>
      <c r="F4376" s="10" t="str">
        <f t="shared" si="68"/>
        <v/>
      </c>
      <c r="G4376" s="10" t="str">
        <f>IF(OR(C4376="",B4376=""),"",IFERROR(C4376*INDEX(Harytlar!$D$5:$D$44,MATCH(B4376,Harytlar!$A$5:$A$44,0)),""))</f>
        <v/>
      </c>
    </row>
    <row r="4377" spans="1:7" x14ac:dyDescent="0.3">
      <c r="A4377" s="17"/>
      <c r="B4377" s="18"/>
      <c r="C4377" s="18"/>
      <c r="D4377" s="18"/>
      <c r="E4377" s="10" t="str">
        <f>IF(B4377="","",IFERROR(INDEX(Harytlar!$C$5:$C$44,MATCH(B4377,Harytlar!$A$5:$A$44,0)),""))</f>
        <v/>
      </c>
      <c r="F4377" s="10" t="str">
        <f t="shared" si="68"/>
        <v/>
      </c>
      <c r="G4377" s="10" t="str">
        <f>IF(OR(C4377="",B4377=""),"",IFERROR(C4377*INDEX(Harytlar!$D$5:$D$44,MATCH(B4377,Harytlar!$A$5:$A$44,0)),""))</f>
        <v/>
      </c>
    </row>
    <row r="4378" spans="1:7" x14ac:dyDescent="0.3">
      <c r="A4378" s="17"/>
      <c r="B4378" s="18"/>
      <c r="C4378" s="18"/>
      <c r="D4378" s="18"/>
      <c r="E4378" s="10" t="str">
        <f>IF(B4378="","",IFERROR(INDEX(Harytlar!$C$5:$C$44,MATCH(B4378,Harytlar!$A$5:$A$44,0)),""))</f>
        <v/>
      </c>
      <c r="F4378" s="10" t="str">
        <f t="shared" si="68"/>
        <v/>
      </c>
      <c r="G4378" s="10" t="str">
        <f>IF(OR(C4378="",B4378=""),"",IFERROR(C4378*INDEX(Harytlar!$D$5:$D$44,MATCH(B4378,Harytlar!$A$5:$A$44,0)),""))</f>
        <v/>
      </c>
    </row>
    <row r="4379" spans="1:7" x14ac:dyDescent="0.3">
      <c r="A4379" s="17"/>
      <c r="B4379" s="18"/>
      <c r="C4379" s="18"/>
      <c r="D4379" s="18"/>
      <c r="E4379" s="10" t="str">
        <f>IF(B4379="","",IFERROR(INDEX(Harytlar!$C$5:$C$44,MATCH(B4379,Harytlar!$A$5:$A$44,0)),""))</f>
        <v/>
      </c>
      <c r="F4379" s="10" t="str">
        <f t="shared" si="68"/>
        <v/>
      </c>
      <c r="G4379" s="10" t="str">
        <f>IF(OR(C4379="",B4379=""),"",IFERROR(C4379*INDEX(Harytlar!$D$5:$D$44,MATCH(B4379,Harytlar!$A$5:$A$44,0)),""))</f>
        <v/>
      </c>
    </row>
    <row r="4380" spans="1:7" x14ac:dyDescent="0.3">
      <c r="A4380" s="17"/>
      <c r="B4380" s="18"/>
      <c r="C4380" s="18"/>
      <c r="D4380" s="18"/>
      <c r="E4380" s="10" t="str">
        <f>IF(B4380="","",IFERROR(INDEX(Harytlar!$C$5:$C$44,MATCH(B4380,Harytlar!$A$5:$A$44,0)),""))</f>
        <v/>
      </c>
      <c r="F4380" s="10" t="str">
        <f t="shared" si="68"/>
        <v/>
      </c>
      <c r="G4380" s="10" t="str">
        <f>IF(OR(C4380="",B4380=""),"",IFERROR(C4380*INDEX(Harytlar!$D$5:$D$44,MATCH(B4380,Harytlar!$A$5:$A$44,0)),""))</f>
        <v/>
      </c>
    </row>
    <row r="4381" spans="1:7" x14ac:dyDescent="0.3">
      <c r="A4381" s="17"/>
      <c r="B4381" s="18"/>
      <c r="C4381" s="18"/>
      <c r="D4381" s="18"/>
      <c r="E4381" s="10" t="str">
        <f>IF(B4381="","",IFERROR(INDEX(Harytlar!$C$5:$C$44,MATCH(B4381,Harytlar!$A$5:$A$44,0)),""))</f>
        <v/>
      </c>
      <c r="F4381" s="10" t="str">
        <f t="shared" si="68"/>
        <v/>
      </c>
      <c r="G4381" s="10" t="str">
        <f>IF(OR(C4381="",B4381=""),"",IFERROR(C4381*INDEX(Harytlar!$D$5:$D$44,MATCH(B4381,Harytlar!$A$5:$A$44,0)),""))</f>
        <v/>
      </c>
    </row>
    <row r="4382" spans="1:7" x14ac:dyDescent="0.3">
      <c r="A4382" s="17"/>
      <c r="B4382" s="18"/>
      <c r="C4382" s="18"/>
      <c r="D4382" s="18"/>
      <c r="E4382" s="10" t="str">
        <f>IF(B4382="","",IFERROR(INDEX(Harytlar!$C$5:$C$44,MATCH(B4382,Harytlar!$A$5:$A$44,0)),""))</f>
        <v/>
      </c>
      <c r="F4382" s="10" t="str">
        <f t="shared" si="68"/>
        <v/>
      </c>
      <c r="G4382" s="10" t="str">
        <f>IF(OR(C4382="",B4382=""),"",IFERROR(C4382*INDEX(Harytlar!$D$5:$D$44,MATCH(B4382,Harytlar!$A$5:$A$44,0)),""))</f>
        <v/>
      </c>
    </row>
    <row r="4383" spans="1:7" x14ac:dyDescent="0.3">
      <c r="A4383" s="17"/>
      <c r="B4383" s="18"/>
      <c r="C4383" s="18"/>
      <c r="D4383" s="18"/>
      <c r="E4383" s="10" t="str">
        <f>IF(B4383="","",IFERROR(INDEX(Harytlar!$C$5:$C$44,MATCH(B4383,Harytlar!$A$5:$A$44,0)),""))</f>
        <v/>
      </c>
      <c r="F4383" s="10" t="str">
        <f t="shared" si="68"/>
        <v/>
      </c>
      <c r="G4383" s="10" t="str">
        <f>IF(OR(C4383="",B4383=""),"",IFERROR(C4383*INDEX(Harytlar!$D$5:$D$44,MATCH(B4383,Harytlar!$A$5:$A$44,0)),""))</f>
        <v/>
      </c>
    </row>
    <row r="4384" spans="1:7" x14ac:dyDescent="0.3">
      <c r="A4384" s="17"/>
      <c r="B4384" s="18"/>
      <c r="C4384" s="18"/>
      <c r="D4384" s="18"/>
      <c r="E4384" s="10" t="str">
        <f>IF(B4384="","",IFERROR(INDEX(Harytlar!$C$5:$C$44,MATCH(B4384,Harytlar!$A$5:$A$44,0)),""))</f>
        <v/>
      </c>
      <c r="F4384" s="10" t="str">
        <f t="shared" si="68"/>
        <v/>
      </c>
      <c r="G4384" s="10" t="str">
        <f>IF(OR(C4384="",B4384=""),"",IFERROR(C4384*INDEX(Harytlar!$D$5:$D$44,MATCH(B4384,Harytlar!$A$5:$A$44,0)),""))</f>
        <v/>
      </c>
    </row>
    <row r="4385" spans="1:7" x14ac:dyDescent="0.3">
      <c r="A4385" s="17"/>
      <c r="B4385" s="18"/>
      <c r="C4385" s="18"/>
      <c r="D4385" s="18"/>
      <c r="E4385" s="10" t="str">
        <f>IF(B4385="","",IFERROR(INDEX(Harytlar!$C$5:$C$44,MATCH(B4385,Harytlar!$A$5:$A$44,0)),""))</f>
        <v/>
      </c>
      <c r="F4385" s="10" t="str">
        <f t="shared" si="68"/>
        <v/>
      </c>
      <c r="G4385" s="10" t="str">
        <f>IF(OR(C4385="",B4385=""),"",IFERROR(C4385*INDEX(Harytlar!$D$5:$D$44,MATCH(B4385,Harytlar!$A$5:$A$44,0)),""))</f>
        <v/>
      </c>
    </row>
    <row r="4386" spans="1:7" x14ac:dyDescent="0.3">
      <c r="A4386" s="17"/>
      <c r="B4386" s="18"/>
      <c r="C4386" s="18"/>
      <c r="D4386" s="18"/>
      <c r="E4386" s="10" t="str">
        <f>IF(B4386="","",IFERROR(INDEX(Harytlar!$C$5:$C$44,MATCH(B4386,Harytlar!$A$5:$A$44,0)),""))</f>
        <v/>
      </c>
      <c r="F4386" s="10" t="str">
        <f t="shared" si="68"/>
        <v/>
      </c>
      <c r="G4386" s="10" t="str">
        <f>IF(OR(C4386="",B4386=""),"",IFERROR(C4386*INDEX(Harytlar!$D$5:$D$44,MATCH(B4386,Harytlar!$A$5:$A$44,0)),""))</f>
        <v/>
      </c>
    </row>
    <row r="4387" spans="1:7" x14ac:dyDescent="0.3">
      <c r="A4387" s="17"/>
      <c r="B4387" s="18"/>
      <c r="C4387" s="18"/>
      <c r="D4387" s="18"/>
      <c r="E4387" s="10" t="str">
        <f>IF(B4387="","",IFERROR(INDEX(Harytlar!$C$5:$C$44,MATCH(B4387,Harytlar!$A$5:$A$44,0)),""))</f>
        <v/>
      </c>
      <c r="F4387" s="10" t="str">
        <f t="shared" si="68"/>
        <v/>
      </c>
      <c r="G4387" s="10" t="str">
        <f>IF(OR(C4387="",B4387=""),"",IFERROR(C4387*INDEX(Harytlar!$D$5:$D$44,MATCH(B4387,Harytlar!$A$5:$A$44,0)),""))</f>
        <v/>
      </c>
    </row>
    <row r="4388" spans="1:7" x14ac:dyDescent="0.3">
      <c r="A4388" s="17"/>
      <c r="B4388" s="18"/>
      <c r="C4388" s="18"/>
      <c r="D4388" s="18"/>
      <c r="E4388" s="10" t="str">
        <f>IF(B4388="","",IFERROR(INDEX(Harytlar!$C$5:$C$44,MATCH(B4388,Harytlar!$A$5:$A$44,0)),""))</f>
        <v/>
      </c>
      <c r="F4388" s="10" t="str">
        <f t="shared" si="68"/>
        <v/>
      </c>
      <c r="G4388" s="10" t="str">
        <f>IF(OR(C4388="",B4388=""),"",IFERROR(C4388*INDEX(Harytlar!$D$5:$D$44,MATCH(B4388,Harytlar!$A$5:$A$44,0)),""))</f>
        <v/>
      </c>
    </row>
    <row r="4389" spans="1:7" x14ac:dyDescent="0.3">
      <c r="A4389" s="17"/>
      <c r="B4389" s="18"/>
      <c r="C4389" s="18"/>
      <c r="D4389" s="18"/>
      <c r="E4389" s="10" t="str">
        <f>IF(B4389="","",IFERROR(INDEX(Harytlar!$C$5:$C$44,MATCH(B4389,Harytlar!$A$5:$A$44,0)),""))</f>
        <v/>
      </c>
      <c r="F4389" s="10" t="str">
        <f t="shared" si="68"/>
        <v/>
      </c>
      <c r="G4389" s="10" t="str">
        <f>IF(OR(C4389="",B4389=""),"",IFERROR(C4389*INDEX(Harytlar!$D$5:$D$44,MATCH(B4389,Harytlar!$A$5:$A$44,0)),""))</f>
        <v/>
      </c>
    </row>
    <row r="4390" spans="1:7" x14ac:dyDescent="0.3">
      <c r="A4390" s="17"/>
      <c r="B4390" s="18"/>
      <c r="C4390" s="18"/>
      <c r="D4390" s="18"/>
      <c r="E4390" s="10" t="str">
        <f>IF(B4390="","",IFERROR(INDEX(Harytlar!$C$5:$C$44,MATCH(B4390,Harytlar!$A$5:$A$44,0)),""))</f>
        <v/>
      </c>
      <c r="F4390" s="10" t="str">
        <f t="shared" si="68"/>
        <v/>
      </c>
      <c r="G4390" s="10" t="str">
        <f>IF(OR(C4390="",B4390=""),"",IFERROR(C4390*INDEX(Harytlar!$D$5:$D$44,MATCH(B4390,Harytlar!$A$5:$A$44,0)),""))</f>
        <v/>
      </c>
    </row>
    <row r="4391" spans="1:7" x14ac:dyDescent="0.3">
      <c r="A4391" s="17"/>
      <c r="B4391" s="18"/>
      <c r="C4391" s="18"/>
      <c r="D4391" s="18"/>
      <c r="E4391" s="10" t="str">
        <f>IF(B4391="","",IFERROR(INDEX(Harytlar!$C$5:$C$44,MATCH(B4391,Harytlar!$A$5:$A$44,0)),""))</f>
        <v/>
      </c>
      <c r="F4391" s="10" t="str">
        <f t="shared" si="68"/>
        <v/>
      </c>
      <c r="G4391" s="10" t="str">
        <f>IF(OR(C4391="",B4391=""),"",IFERROR(C4391*INDEX(Harytlar!$D$5:$D$44,MATCH(B4391,Harytlar!$A$5:$A$44,0)),""))</f>
        <v/>
      </c>
    </row>
    <row r="4392" spans="1:7" x14ac:dyDescent="0.3">
      <c r="A4392" s="17"/>
      <c r="B4392" s="18"/>
      <c r="C4392" s="18"/>
      <c r="D4392" s="18"/>
      <c r="E4392" s="10" t="str">
        <f>IF(B4392="","",IFERROR(INDEX(Harytlar!$C$5:$C$44,MATCH(B4392,Harytlar!$A$5:$A$44,0)),""))</f>
        <v/>
      </c>
      <c r="F4392" s="10" t="str">
        <f t="shared" si="68"/>
        <v/>
      </c>
      <c r="G4392" s="10" t="str">
        <f>IF(OR(C4392="",B4392=""),"",IFERROR(C4392*INDEX(Harytlar!$D$5:$D$44,MATCH(B4392,Harytlar!$A$5:$A$44,0)),""))</f>
        <v/>
      </c>
    </row>
    <row r="4393" spans="1:7" x14ac:dyDescent="0.3">
      <c r="A4393" s="17"/>
      <c r="B4393" s="18"/>
      <c r="C4393" s="18"/>
      <c r="D4393" s="18"/>
      <c r="E4393" s="10" t="str">
        <f>IF(B4393="","",IFERROR(INDEX(Harytlar!$C$5:$C$44,MATCH(B4393,Harytlar!$A$5:$A$44,0)),""))</f>
        <v/>
      </c>
      <c r="F4393" s="10" t="str">
        <f t="shared" si="68"/>
        <v/>
      </c>
      <c r="G4393" s="10" t="str">
        <f>IF(OR(C4393="",B4393=""),"",IFERROR(C4393*INDEX(Harytlar!$D$5:$D$44,MATCH(B4393,Harytlar!$A$5:$A$44,0)),""))</f>
        <v/>
      </c>
    </row>
    <row r="4394" spans="1:7" x14ac:dyDescent="0.3">
      <c r="A4394" s="17"/>
      <c r="B4394" s="18"/>
      <c r="C4394" s="18"/>
      <c r="D4394" s="18"/>
      <c r="E4394" s="10" t="str">
        <f>IF(B4394="","",IFERROR(INDEX(Harytlar!$C$5:$C$44,MATCH(B4394,Harytlar!$A$5:$A$44,0)),""))</f>
        <v/>
      </c>
      <c r="F4394" s="10" t="str">
        <f t="shared" si="68"/>
        <v/>
      </c>
      <c r="G4394" s="10" t="str">
        <f>IF(OR(C4394="",B4394=""),"",IFERROR(C4394*INDEX(Harytlar!$D$5:$D$44,MATCH(B4394,Harytlar!$A$5:$A$44,0)),""))</f>
        <v/>
      </c>
    </row>
    <row r="4395" spans="1:7" x14ac:dyDescent="0.3">
      <c r="A4395" s="17"/>
      <c r="B4395" s="18"/>
      <c r="C4395" s="18"/>
      <c r="D4395" s="18"/>
      <c r="E4395" s="10" t="str">
        <f>IF(B4395="","",IFERROR(INDEX(Harytlar!$C$5:$C$44,MATCH(B4395,Harytlar!$A$5:$A$44,0)),""))</f>
        <v/>
      </c>
      <c r="F4395" s="10" t="str">
        <f t="shared" si="68"/>
        <v/>
      </c>
      <c r="G4395" s="10" t="str">
        <f>IF(OR(C4395="",B4395=""),"",IFERROR(C4395*INDEX(Harytlar!$D$5:$D$44,MATCH(B4395,Harytlar!$A$5:$A$44,0)),""))</f>
        <v/>
      </c>
    </row>
    <row r="4396" spans="1:7" x14ac:dyDescent="0.3">
      <c r="A4396" s="17"/>
      <c r="B4396" s="18"/>
      <c r="C4396" s="18"/>
      <c r="D4396" s="18"/>
      <c r="E4396" s="10" t="str">
        <f>IF(B4396="","",IFERROR(INDEX(Harytlar!$C$5:$C$44,MATCH(B4396,Harytlar!$A$5:$A$44,0)),""))</f>
        <v/>
      </c>
      <c r="F4396" s="10" t="str">
        <f t="shared" si="68"/>
        <v/>
      </c>
      <c r="G4396" s="10" t="str">
        <f>IF(OR(C4396="",B4396=""),"",IFERROR(C4396*INDEX(Harytlar!$D$5:$D$44,MATCH(B4396,Harytlar!$A$5:$A$44,0)),""))</f>
        <v/>
      </c>
    </row>
    <row r="4397" spans="1:7" x14ac:dyDescent="0.3">
      <c r="A4397" s="17"/>
      <c r="B4397" s="18"/>
      <c r="C4397" s="18"/>
      <c r="D4397" s="18"/>
      <c r="E4397" s="10" t="str">
        <f>IF(B4397="","",IFERROR(INDEX(Harytlar!$C$5:$C$44,MATCH(B4397,Harytlar!$A$5:$A$44,0)),""))</f>
        <v/>
      </c>
      <c r="F4397" s="10" t="str">
        <f t="shared" si="68"/>
        <v/>
      </c>
      <c r="G4397" s="10" t="str">
        <f>IF(OR(C4397="",B4397=""),"",IFERROR(C4397*INDEX(Harytlar!$D$5:$D$44,MATCH(B4397,Harytlar!$A$5:$A$44,0)),""))</f>
        <v/>
      </c>
    </row>
    <row r="4398" spans="1:7" x14ac:dyDescent="0.3">
      <c r="A4398" s="17"/>
      <c r="B4398" s="18"/>
      <c r="C4398" s="18"/>
      <c r="D4398" s="18"/>
      <c r="E4398" s="10" t="str">
        <f>IF(B4398="","",IFERROR(INDEX(Harytlar!$C$5:$C$44,MATCH(B4398,Harytlar!$A$5:$A$44,0)),""))</f>
        <v/>
      </c>
      <c r="F4398" s="10" t="str">
        <f t="shared" si="68"/>
        <v/>
      </c>
      <c r="G4398" s="10" t="str">
        <f>IF(OR(C4398="",B4398=""),"",IFERROR(C4398*INDEX(Harytlar!$D$5:$D$44,MATCH(B4398,Harytlar!$A$5:$A$44,0)),""))</f>
        <v/>
      </c>
    </row>
    <row r="4399" spans="1:7" x14ac:dyDescent="0.3">
      <c r="A4399" s="17"/>
      <c r="B4399" s="18"/>
      <c r="C4399" s="18"/>
      <c r="D4399" s="18"/>
      <c r="E4399" s="10" t="str">
        <f>IF(B4399="","",IFERROR(INDEX(Harytlar!$C$5:$C$44,MATCH(B4399,Harytlar!$A$5:$A$44,0)),""))</f>
        <v/>
      </c>
      <c r="F4399" s="10" t="str">
        <f t="shared" si="68"/>
        <v/>
      </c>
      <c r="G4399" s="10" t="str">
        <f>IF(OR(C4399="",B4399=""),"",IFERROR(C4399*INDEX(Harytlar!$D$5:$D$44,MATCH(B4399,Harytlar!$A$5:$A$44,0)),""))</f>
        <v/>
      </c>
    </row>
    <row r="4400" spans="1:7" x14ac:dyDescent="0.3">
      <c r="A4400" s="17"/>
      <c r="B4400" s="18"/>
      <c r="C4400" s="18"/>
      <c r="D4400" s="18"/>
      <c r="E4400" s="10" t="str">
        <f>IF(B4400="","",IFERROR(INDEX(Harytlar!$C$5:$C$44,MATCH(B4400,Harytlar!$A$5:$A$44,0)),""))</f>
        <v/>
      </c>
      <c r="F4400" s="10" t="str">
        <f t="shared" si="68"/>
        <v/>
      </c>
      <c r="G4400" s="10" t="str">
        <f>IF(OR(C4400="",B4400=""),"",IFERROR(C4400*INDEX(Harytlar!$D$5:$D$44,MATCH(B4400,Harytlar!$A$5:$A$44,0)),""))</f>
        <v/>
      </c>
    </row>
    <row r="4401" spans="1:7" x14ac:dyDescent="0.3">
      <c r="A4401" s="17"/>
      <c r="B4401" s="18"/>
      <c r="C4401" s="18"/>
      <c r="D4401" s="18"/>
      <c r="E4401" s="10" t="str">
        <f>IF(B4401="","",IFERROR(INDEX(Harytlar!$C$5:$C$44,MATCH(B4401,Harytlar!$A$5:$A$44,0)),""))</f>
        <v/>
      </c>
      <c r="F4401" s="10" t="str">
        <f t="shared" si="68"/>
        <v/>
      </c>
      <c r="G4401" s="10" t="str">
        <f>IF(OR(C4401="",B4401=""),"",IFERROR(C4401*INDEX(Harytlar!$D$5:$D$44,MATCH(B4401,Harytlar!$A$5:$A$44,0)),""))</f>
        <v/>
      </c>
    </row>
    <row r="4402" spans="1:7" x14ac:dyDescent="0.3">
      <c r="A4402" s="17"/>
      <c r="B4402" s="18"/>
      <c r="C4402" s="18"/>
      <c r="D4402" s="18"/>
      <c r="E4402" s="10" t="str">
        <f>IF(B4402="","",IFERROR(INDEX(Harytlar!$C$5:$C$44,MATCH(B4402,Harytlar!$A$5:$A$44,0)),""))</f>
        <v/>
      </c>
      <c r="F4402" s="10" t="str">
        <f t="shared" si="68"/>
        <v/>
      </c>
      <c r="G4402" s="10" t="str">
        <f>IF(OR(C4402="",B4402=""),"",IFERROR(C4402*INDEX(Harytlar!$D$5:$D$44,MATCH(B4402,Harytlar!$A$5:$A$44,0)),""))</f>
        <v/>
      </c>
    </row>
    <row r="4403" spans="1:7" x14ac:dyDescent="0.3">
      <c r="A4403" s="17"/>
      <c r="B4403" s="18"/>
      <c r="C4403" s="18"/>
      <c r="D4403" s="18"/>
      <c r="E4403" s="10" t="str">
        <f>IF(B4403="","",IFERROR(INDEX(Harytlar!$C$5:$C$44,MATCH(B4403,Harytlar!$A$5:$A$44,0)),""))</f>
        <v/>
      </c>
      <c r="F4403" s="10" t="str">
        <f t="shared" si="68"/>
        <v/>
      </c>
      <c r="G4403" s="10" t="str">
        <f>IF(OR(C4403="",B4403=""),"",IFERROR(C4403*INDEX(Harytlar!$D$5:$D$44,MATCH(B4403,Harytlar!$A$5:$A$44,0)),""))</f>
        <v/>
      </c>
    </row>
    <row r="4404" spans="1:7" x14ac:dyDescent="0.3">
      <c r="A4404" s="17"/>
      <c r="B4404" s="18"/>
      <c r="C4404" s="18"/>
      <c r="D4404" s="18"/>
      <c r="E4404" s="10" t="str">
        <f>IF(B4404="","",IFERROR(INDEX(Harytlar!$C$5:$C$44,MATCH(B4404,Harytlar!$A$5:$A$44,0)),""))</f>
        <v/>
      </c>
      <c r="F4404" s="10" t="str">
        <f t="shared" si="68"/>
        <v/>
      </c>
      <c r="G4404" s="10" t="str">
        <f>IF(OR(C4404="",B4404=""),"",IFERROR(C4404*INDEX(Harytlar!$D$5:$D$44,MATCH(B4404,Harytlar!$A$5:$A$44,0)),""))</f>
        <v/>
      </c>
    </row>
    <row r="4405" spans="1:7" x14ac:dyDescent="0.3">
      <c r="A4405" s="17"/>
      <c r="B4405" s="18"/>
      <c r="C4405" s="18"/>
      <c r="D4405" s="18"/>
      <c r="E4405" s="10" t="str">
        <f>IF(B4405="","",IFERROR(INDEX(Harytlar!$C$5:$C$44,MATCH(B4405,Harytlar!$A$5:$A$44,0)),""))</f>
        <v/>
      </c>
      <c r="F4405" s="10" t="str">
        <f t="shared" si="68"/>
        <v/>
      </c>
      <c r="G4405" s="10" t="str">
        <f>IF(OR(C4405="",B4405=""),"",IFERROR(C4405*INDEX(Harytlar!$D$5:$D$44,MATCH(B4405,Harytlar!$A$5:$A$44,0)),""))</f>
        <v/>
      </c>
    </row>
    <row r="4406" spans="1:7" x14ac:dyDescent="0.3">
      <c r="A4406" s="17"/>
      <c r="B4406" s="18"/>
      <c r="C4406" s="18"/>
      <c r="D4406" s="18"/>
      <c r="E4406" s="10" t="str">
        <f>IF(B4406="","",IFERROR(INDEX(Harytlar!$C$5:$C$44,MATCH(B4406,Harytlar!$A$5:$A$44,0)),""))</f>
        <v/>
      </c>
      <c r="F4406" s="10" t="str">
        <f t="shared" si="68"/>
        <v/>
      </c>
      <c r="G4406" s="10" t="str">
        <f>IF(OR(C4406="",B4406=""),"",IFERROR(C4406*INDEX(Harytlar!$D$5:$D$44,MATCH(B4406,Harytlar!$A$5:$A$44,0)),""))</f>
        <v/>
      </c>
    </row>
    <row r="4407" spans="1:7" x14ac:dyDescent="0.3">
      <c r="A4407" s="17"/>
      <c r="B4407" s="18"/>
      <c r="C4407" s="18"/>
      <c r="D4407" s="18"/>
      <c r="E4407" s="10" t="str">
        <f>IF(B4407="","",IFERROR(INDEX(Harytlar!$C$5:$C$44,MATCH(B4407,Harytlar!$A$5:$A$44,0)),""))</f>
        <v/>
      </c>
      <c r="F4407" s="10" t="str">
        <f t="shared" si="68"/>
        <v/>
      </c>
      <c r="G4407" s="10" t="str">
        <f>IF(OR(C4407="",B4407=""),"",IFERROR(C4407*INDEX(Harytlar!$D$5:$D$44,MATCH(B4407,Harytlar!$A$5:$A$44,0)),""))</f>
        <v/>
      </c>
    </row>
    <row r="4408" spans="1:7" x14ac:dyDescent="0.3">
      <c r="A4408" s="17"/>
      <c r="B4408" s="18"/>
      <c r="C4408" s="18"/>
      <c r="D4408" s="18"/>
      <c r="E4408" s="10" t="str">
        <f>IF(B4408="","",IFERROR(INDEX(Harytlar!$C$5:$C$44,MATCH(B4408,Harytlar!$A$5:$A$44,0)),""))</f>
        <v/>
      </c>
      <c r="F4408" s="10" t="str">
        <f t="shared" si="68"/>
        <v/>
      </c>
      <c r="G4408" s="10" t="str">
        <f>IF(OR(C4408="",B4408=""),"",IFERROR(C4408*INDEX(Harytlar!$D$5:$D$44,MATCH(B4408,Harytlar!$A$5:$A$44,0)),""))</f>
        <v/>
      </c>
    </row>
    <row r="4409" spans="1:7" x14ac:dyDescent="0.3">
      <c r="A4409" s="17"/>
      <c r="B4409" s="18"/>
      <c r="C4409" s="18"/>
      <c r="D4409" s="18"/>
      <c r="E4409" s="10" t="str">
        <f>IF(B4409="","",IFERROR(INDEX(Harytlar!$C$5:$C$44,MATCH(B4409,Harytlar!$A$5:$A$44,0)),""))</f>
        <v/>
      </c>
      <c r="F4409" s="10" t="str">
        <f t="shared" si="68"/>
        <v/>
      </c>
      <c r="G4409" s="10" t="str">
        <f>IF(OR(C4409="",B4409=""),"",IFERROR(C4409*INDEX(Harytlar!$D$5:$D$44,MATCH(B4409,Harytlar!$A$5:$A$44,0)),""))</f>
        <v/>
      </c>
    </row>
    <row r="4410" spans="1:7" x14ac:dyDescent="0.3">
      <c r="A4410" s="17"/>
      <c r="B4410" s="18"/>
      <c r="C4410" s="18"/>
      <c r="D4410" s="18"/>
      <c r="E4410" s="10" t="str">
        <f>IF(B4410="","",IFERROR(INDEX(Harytlar!$C$5:$C$44,MATCH(B4410,Harytlar!$A$5:$A$44,0)),""))</f>
        <v/>
      </c>
      <c r="F4410" s="10" t="str">
        <f t="shared" si="68"/>
        <v/>
      </c>
      <c r="G4410" s="10" t="str">
        <f>IF(OR(C4410="",B4410=""),"",IFERROR(C4410*INDEX(Harytlar!$D$5:$D$44,MATCH(B4410,Harytlar!$A$5:$A$44,0)),""))</f>
        <v/>
      </c>
    </row>
    <row r="4411" spans="1:7" x14ac:dyDescent="0.3">
      <c r="A4411" s="17"/>
      <c r="B4411" s="18"/>
      <c r="C4411" s="18"/>
      <c r="D4411" s="18"/>
      <c r="E4411" s="10" t="str">
        <f>IF(B4411="","",IFERROR(INDEX(Harytlar!$C$5:$C$44,MATCH(B4411,Harytlar!$A$5:$A$44,0)),""))</f>
        <v/>
      </c>
      <c r="F4411" s="10" t="str">
        <f t="shared" si="68"/>
        <v/>
      </c>
      <c r="G4411" s="10" t="str">
        <f>IF(OR(C4411="",B4411=""),"",IFERROR(C4411*INDEX(Harytlar!$D$5:$D$44,MATCH(B4411,Harytlar!$A$5:$A$44,0)),""))</f>
        <v/>
      </c>
    </row>
    <row r="4412" spans="1:7" x14ac:dyDescent="0.3">
      <c r="A4412" s="17"/>
      <c r="B4412" s="18"/>
      <c r="C4412" s="18"/>
      <c r="D4412" s="18"/>
      <c r="E4412" s="10" t="str">
        <f>IF(B4412="","",IFERROR(INDEX(Harytlar!$C$5:$C$44,MATCH(B4412,Harytlar!$A$5:$A$44,0)),""))</f>
        <v/>
      </c>
      <c r="F4412" s="10" t="str">
        <f t="shared" si="68"/>
        <v/>
      </c>
      <c r="G4412" s="10" t="str">
        <f>IF(OR(C4412="",B4412=""),"",IFERROR(C4412*INDEX(Harytlar!$D$5:$D$44,MATCH(B4412,Harytlar!$A$5:$A$44,0)),""))</f>
        <v/>
      </c>
    </row>
    <row r="4413" spans="1:7" x14ac:dyDescent="0.3">
      <c r="A4413" s="17"/>
      <c r="B4413" s="18"/>
      <c r="C4413" s="18"/>
      <c r="D4413" s="18"/>
      <c r="E4413" s="10" t="str">
        <f>IF(B4413="","",IFERROR(INDEX(Harytlar!$C$5:$C$44,MATCH(B4413,Harytlar!$A$5:$A$44,0)),""))</f>
        <v/>
      </c>
      <c r="F4413" s="10" t="str">
        <f t="shared" si="68"/>
        <v/>
      </c>
      <c r="G4413" s="10" t="str">
        <f>IF(OR(C4413="",B4413=""),"",IFERROR(C4413*INDEX(Harytlar!$D$5:$D$44,MATCH(B4413,Harytlar!$A$5:$A$44,0)),""))</f>
        <v/>
      </c>
    </row>
    <row r="4414" spans="1:7" x14ac:dyDescent="0.3">
      <c r="A4414" s="17"/>
      <c r="B4414" s="18"/>
      <c r="C4414" s="18"/>
      <c r="D4414" s="18"/>
      <c r="E4414" s="10" t="str">
        <f>IF(B4414="","",IFERROR(INDEX(Harytlar!$C$5:$C$44,MATCH(B4414,Harytlar!$A$5:$A$44,0)),""))</f>
        <v/>
      </c>
      <c r="F4414" s="10" t="str">
        <f t="shared" si="68"/>
        <v/>
      </c>
      <c r="G4414" s="10" t="str">
        <f>IF(OR(C4414="",B4414=""),"",IFERROR(C4414*INDEX(Harytlar!$D$5:$D$44,MATCH(B4414,Harytlar!$A$5:$A$44,0)),""))</f>
        <v/>
      </c>
    </row>
    <row r="4415" spans="1:7" x14ac:dyDescent="0.3">
      <c r="A4415" s="17"/>
      <c r="B4415" s="18"/>
      <c r="C4415" s="18"/>
      <c r="D4415" s="18"/>
      <c r="E4415" s="10" t="str">
        <f>IF(B4415="","",IFERROR(INDEX(Harytlar!$C$5:$C$44,MATCH(B4415,Harytlar!$A$5:$A$44,0)),""))</f>
        <v/>
      </c>
      <c r="F4415" s="10" t="str">
        <f t="shared" si="68"/>
        <v/>
      </c>
      <c r="G4415" s="10" t="str">
        <f>IF(OR(C4415="",B4415=""),"",IFERROR(C4415*INDEX(Harytlar!$D$5:$D$44,MATCH(B4415,Harytlar!$A$5:$A$44,0)),""))</f>
        <v/>
      </c>
    </row>
    <row r="4416" spans="1:7" x14ac:dyDescent="0.3">
      <c r="A4416" s="17"/>
      <c r="B4416" s="18"/>
      <c r="C4416" s="18"/>
      <c r="D4416" s="18"/>
      <c r="E4416" s="10" t="str">
        <f>IF(B4416="","",IFERROR(INDEX(Harytlar!$C$5:$C$44,MATCH(B4416,Harytlar!$A$5:$A$44,0)),""))</f>
        <v/>
      </c>
      <c r="F4416" s="10" t="str">
        <f t="shared" si="68"/>
        <v/>
      </c>
      <c r="G4416" s="10" t="str">
        <f>IF(OR(C4416="",B4416=""),"",IFERROR(C4416*INDEX(Harytlar!$D$5:$D$44,MATCH(B4416,Harytlar!$A$5:$A$44,0)),""))</f>
        <v/>
      </c>
    </row>
    <row r="4417" spans="1:7" x14ac:dyDescent="0.3">
      <c r="A4417" s="17"/>
      <c r="B4417" s="18"/>
      <c r="C4417" s="18"/>
      <c r="D4417" s="18"/>
      <c r="E4417" s="10" t="str">
        <f>IF(B4417="","",IFERROR(INDEX(Harytlar!$C$5:$C$44,MATCH(B4417,Harytlar!$A$5:$A$44,0)),""))</f>
        <v/>
      </c>
      <c r="F4417" s="10" t="str">
        <f t="shared" si="68"/>
        <v/>
      </c>
      <c r="G4417" s="10" t="str">
        <f>IF(OR(C4417="",B4417=""),"",IFERROR(C4417*INDEX(Harytlar!$D$5:$D$44,MATCH(B4417,Harytlar!$A$5:$A$44,0)),""))</f>
        <v/>
      </c>
    </row>
    <row r="4418" spans="1:7" x14ac:dyDescent="0.3">
      <c r="A4418" s="17"/>
      <c r="B4418" s="18"/>
      <c r="C4418" s="18"/>
      <c r="D4418" s="18"/>
      <c r="E4418" s="10" t="str">
        <f>IF(B4418="","",IFERROR(INDEX(Harytlar!$C$5:$C$44,MATCH(B4418,Harytlar!$A$5:$A$44,0)),""))</f>
        <v/>
      </c>
      <c r="F4418" s="10" t="str">
        <f t="shared" si="68"/>
        <v/>
      </c>
      <c r="G4418" s="10" t="str">
        <f>IF(OR(C4418="",B4418=""),"",IFERROR(C4418*INDEX(Harytlar!$D$5:$D$44,MATCH(B4418,Harytlar!$A$5:$A$44,0)),""))</f>
        <v/>
      </c>
    </row>
    <row r="4419" spans="1:7" x14ac:dyDescent="0.3">
      <c r="A4419" s="17"/>
      <c r="B4419" s="18"/>
      <c r="C4419" s="18"/>
      <c r="D4419" s="18"/>
      <c r="E4419" s="10" t="str">
        <f>IF(B4419="","",IFERROR(INDEX(Harytlar!$C$5:$C$44,MATCH(B4419,Harytlar!$A$5:$A$44,0)),""))</f>
        <v/>
      </c>
      <c r="F4419" s="10" t="str">
        <f t="shared" si="68"/>
        <v/>
      </c>
      <c r="G4419" s="10" t="str">
        <f>IF(OR(C4419="",B4419=""),"",IFERROR(C4419*INDEX(Harytlar!$D$5:$D$44,MATCH(B4419,Harytlar!$A$5:$A$44,0)),""))</f>
        <v/>
      </c>
    </row>
    <row r="4420" spans="1:7" x14ac:dyDescent="0.3">
      <c r="A4420" s="17"/>
      <c r="B4420" s="18"/>
      <c r="C4420" s="18"/>
      <c r="D4420" s="18"/>
      <c r="E4420" s="10" t="str">
        <f>IF(B4420="","",IFERROR(INDEX(Harytlar!$C$5:$C$44,MATCH(B4420,Harytlar!$A$5:$A$44,0)),""))</f>
        <v/>
      </c>
      <c r="F4420" s="10" t="str">
        <f t="shared" si="68"/>
        <v/>
      </c>
      <c r="G4420" s="10" t="str">
        <f>IF(OR(C4420="",B4420=""),"",IFERROR(C4420*INDEX(Harytlar!$D$5:$D$44,MATCH(B4420,Harytlar!$A$5:$A$44,0)),""))</f>
        <v/>
      </c>
    </row>
    <row r="4421" spans="1:7" x14ac:dyDescent="0.3">
      <c r="A4421" s="17"/>
      <c r="B4421" s="18"/>
      <c r="C4421" s="18"/>
      <c r="D4421" s="18"/>
      <c r="E4421" s="10" t="str">
        <f>IF(B4421="","",IFERROR(INDEX(Harytlar!$C$5:$C$44,MATCH(B4421,Harytlar!$A$5:$A$44,0)),""))</f>
        <v/>
      </c>
      <c r="F4421" s="10" t="str">
        <f t="shared" si="68"/>
        <v/>
      </c>
      <c r="G4421" s="10" t="str">
        <f>IF(OR(C4421="",B4421=""),"",IFERROR(C4421*INDEX(Harytlar!$D$5:$D$44,MATCH(B4421,Harytlar!$A$5:$A$44,0)),""))</f>
        <v/>
      </c>
    </row>
    <row r="4422" spans="1:7" x14ac:dyDescent="0.3">
      <c r="A4422" s="17"/>
      <c r="B4422" s="18"/>
      <c r="C4422" s="18"/>
      <c r="D4422" s="18"/>
      <c r="E4422" s="10" t="str">
        <f>IF(B4422="","",IFERROR(INDEX(Harytlar!$C$5:$C$44,MATCH(B4422,Harytlar!$A$5:$A$44,0)),""))</f>
        <v/>
      </c>
      <c r="F4422" s="10" t="str">
        <f t="shared" ref="F4422:F4485" si="69">IF(OR(C4422="",E4422=""),"",C4422*E4422)</f>
        <v/>
      </c>
      <c r="G4422" s="10" t="str">
        <f>IF(OR(C4422="",B4422=""),"",IFERROR(C4422*INDEX(Harytlar!$D$5:$D$44,MATCH(B4422,Harytlar!$A$5:$A$44,0)),""))</f>
        <v/>
      </c>
    </row>
    <row r="4423" spans="1:7" x14ac:dyDescent="0.3">
      <c r="A4423" s="17"/>
      <c r="B4423" s="18"/>
      <c r="C4423" s="18"/>
      <c r="D4423" s="18"/>
      <c r="E4423" s="10" t="str">
        <f>IF(B4423="","",IFERROR(INDEX(Harytlar!$C$5:$C$44,MATCH(B4423,Harytlar!$A$5:$A$44,0)),""))</f>
        <v/>
      </c>
      <c r="F4423" s="10" t="str">
        <f t="shared" si="69"/>
        <v/>
      </c>
      <c r="G4423" s="10" t="str">
        <f>IF(OR(C4423="",B4423=""),"",IFERROR(C4423*INDEX(Harytlar!$D$5:$D$44,MATCH(B4423,Harytlar!$A$5:$A$44,0)),""))</f>
        <v/>
      </c>
    </row>
    <row r="4424" spans="1:7" x14ac:dyDescent="0.3">
      <c r="A4424" s="17"/>
      <c r="B4424" s="18"/>
      <c r="C4424" s="18"/>
      <c r="D4424" s="18"/>
      <c r="E4424" s="10" t="str">
        <f>IF(B4424="","",IFERROR(INDEX(Harytlar!$C$5:$C$44,MATCH(B4424,Harytlar!$A$5:$A$44,0)),""))</f>
        <v/>
      </c>
      <c r="F4424" s="10" t="str">
        <f t="shared" si="69"/>
        <v/>
      </c>
      <c r="G4424" s="10" t="str">
        <f>IF(OR(C4424="",B4424=""),"",IFERROR(C4424*INDEX(Harytlar!$D$5:$D$44,MATCH(B4424,Harytlar!$A$5:$A$44,0)),""))</f>
        <v/>
      </c>
    </row>
    <row r="4425" spans="1:7" x14ac:dyDescent="0.3">
      <c r="A4425" s="17"/>
      <c r="B4425" s="18"/>
      <c r="C4425" s="18"/>
      <c r="D4425" s="18"/>
      <c r="E4425" s="10" t="str">
        <f>IF(B4425="","",IFERROR(INDEX(Harytlar!$C$5:$C$44,MATCH(B4425,Harytlar!$A$5:$A$44,0)),""))</f>
        <v/>
      </c>
      <c r="F4425" s="10" t="str">
        <f t="shared" si="69"/>
        <v/>
      </c>
      <c r="G4425" s="10" t="str">
        <f>IF(OR(C4425="",B4425=""),"",IFERROR(C4425*INDEX(Harytlar!$D$5:$D$44,MATCH(B4425,Harytlar!$A$5:$A$44,0)),""))</f>
        <v/>
      </c>
    </row>
    <row r="4426" spans="1:7" x14ac:dyDescent="0.3">
      <c r="A4426" s="17"/>
      <c r="B4426" s="18"/>
      <c r="C4426" s="18"/>
      <c r="D4426" s="18"/>
      <c r="E4426" s="10" t="str">
        <f>IF(B4426="","",IFERROR(INDEX(Harytlar!$C$5:$C$44,MATCH(B4426,Harytlar!$A$5:$A$44,0)),""))</f>
        <v/>
      </c>
      <c r="F4426" s="10" t="str">
        <f t="shared" si="69"/>
        <v/>
      </c>
      <c r="G4426" s="10" t="str">
        <f>IF(OR(C4426="",B4426=""),"",IFERROR(C4426*INDEX(Harytlar!$D$5:$D$44,MATCH(B4426,Harytlar!$A$5:$A$44,0)),""))</f>
        <v/>
      </c>
    </row>
    <row r="4427" spans="1:7" x14ac:dyDescent="0.3">
      <c r="A4427" s="17"/>
      <c r="B4427" s="18"/>
      <c r="C4427" s="18"/>
      <c r="D4427" s="18"/>
      <c r="E4427" s="10" t="str">
        <f>IF(B4427="","",IFERROR(INDEX(Harytlar!$C$5:$C$44,MATCH(B4427,Harytlar!$A$5:$A$44,0)),""))</f>
        <v/>
      </c>
      <c r="F4427" s="10" t="str">
        <f t="shared" si="69"/>
        <v/>
      </c>
      <c r="G4427" s="10" t="str">
        <f>IF(OR(C4427="",B4427=""),"",IFERROR(C4427*INDEX(Harytlar!$D$5:$D$44,MATCH(B4427,Harytlar!$A$5:$A$44,0)),""))</f>
        <v/>
      </c>
    </row>
    <row r="4428" spans="1:7" x14ac:dyDescent="0.3">
      <c r="A4428" s="17"/>
      <c r="B4428" s="18"/>
      <c r="C4428" s="18"/>
      <c r="D4428" s="18"/>
      <c r="E4428" s="10" t="str">
        <f>IF(B4428="","",IFERROR(INDEX(Harytlar!$C$5:$C$44,MATCH(B4428,Harytlar!$A$5:$A$44,0)),""))</f>
        <v/>
      </c>
      <c r="F4428" s="10" t="str">
        <f t="shared" si="69"/>
        <v/>
      </c>
      <c r="G4428" s="10" t="str">
        <f>IF(OR(C4428="",B4428=""),"",IFERROR(C4428*INDEX(Harytlar!$D$5:$D$44,MATCH(B4428,Harytlar!$A$5:$A$44,0)),""))</f>
        <v/>
      </c>
    </row>
    <row r="4429" spans="1:7" x14ac:dyDescent="0.3">
      <c r="A4429" s="17"/>
      <c r="B4429" s="18"/>
      <c r="C4429" s="18"/>
      <c r="D4429" s="18"/>
      <c r="E4429" s="10" t="str">
        <f>IF(B4429="","",IFERROR(INDEX(Harytlar!$C$5:$C$44,MATCH(B4429,Harytlar!$A$5:$A$44,0)),""))</f>
        <v/>
      </c>
      <c r="F4429" s="10" t="str">
        <f t="shared" si="69"/>
        <v/>
      </c>
      <c r="G4429" s="10" t="str">
        <f>IF(OR(C4429="",B4429=""),"",IFERROR(C4429*INDEX(Harytlar!$D$5:$D$44,MATCH(B4429,Harytlar!$A$5:$A$44,0)),""))</f>
        <v/>
      </c>
    </row>
    <row r="4430" spans="1:7" x14ac:dyDescent="0.3">
      <c r="A4430" s="17"/>
      <c r="B4430" s="18"/>
      <c r="C4430" s="18"/>
      <c r="D4430" s="18"/>
      <c r="E4430" s="10" t="str">
        <f>IF(B4430="","",IFERROR(INDEX(Harytlar!$C$5:$C$44,MATCH(B4430,Harytlar!$A$5:$A$44,0)),""))</f>
        <v/>
      </c>
      <c r="F4430" s="10" t="str">
        <f t="shared" si="69"/>
        <v/>
      </c>
      <c r="G4430" s="10" t="str">
        <f>IF(OR(C4430="",B4430=""),"",IFERROR(C4430*INDEX(Harytlar!$D$5:$D$44,MATCH(B4430,Harytlar!$A$5:$A$44,0)),""))</f>
        <v/>
      </c>
    </row>
    <row r="4431" spans="1:7" x14ac:dyDescent="0.3">
      <c r="A4431" s="17"/>
      <c r="B4431" s="18"/>
      <c r="C4431" s="18"/>
      <c r="D4431" s="18"/>
      <c r="E4431" s="10" t="str">
        <f>IF(B4431="","",IFERROR(INDEX(Harytlar!$C$5:$C$44,MATCH(B4431,Harytlar!$A$5:$A$44,0)),""))</f>
        <v/>
      </c>
      <c r="F4431" s="10" t="str">
        <f t="shared" si="69"/>
        <v/>
      </c>
      <c r="G4431" s="10" t="str">
        <f>IF(OR(C4431="",B4431=""),"",IFERROR(C4431*INDEX(Harytlar!$D$5:$D$44,MATCH(B4431,Harytlar!$A$5:$A$44,0)),""))</f>
        <v/>
      </c>
    </row>
    <row r="4432" spans="1:7" x14ac:dyDescent="0.3">
      <c r="A4432" s="17"/>
      <c r="B4432" s="18"/>
      <c r="C4432" s="18"/>
      <c r="D4432" s="18"/>
      <c r="E4432" s="10" t="str">
        <f>IF(B4432="","",IFERROR(INDEX(Harytlar!$C$5:$C$44,MATCH(B4432,Harytlar!$A$5:$A$44,0)),""))</f>
        <v/>
      </c>
      <c r="F4432" s="10" t="str">
        <f t="shared" si="69"/>
        <v/>
      </c>
      <c r="G4432" s="10" t="str">
        <f>IF(OR(C4432="",B4432=""),"",IFERROR(C4432*INDEX(Harytlar!$D$5:$D$44,MATCH(B4432,Harytlar!$A$5:$A$44,0)),""))</f>
        <v/>
      </c>
    </row>
    <row r="4433" spans="1:7" x14ac:dyDescent="0.3">
      <c r="A4433" s="17"/>
      <c r="B4433" s="18"/>
      <c r="C4433" s="18"/>
      <c r="D4433" s="18"/>
      <c r="E4433" s="10" t="str">
        <f>IF(B4433="","",IFERROR(INDEX(Harytlar!$C$5:$C$44,MATCH(B4433,Harytlar!$A$5:$A$44,0)),""))</f>
        <v/>
      </c>
      <c r="F4433" s="10" t="str">
        <f t="shared" si="69"/>
        <v/>
      </c>
      <c r="G4433" s="10" t="str">
        <f>IF(OR(C4433="",B4433=""),"",IFERROR(C4433*INDEX(Harytlar!$D$5:$D$44,MATCH(B4433,Harytlar!$A$5:$A$44,0)),""))</f>
        <v/>
      </c>
    </row>
    <row r="4434" spans="1:7" x14ac:dyDescent="0.3">
      <c r="A4434" s="17"/>
      <c r="B4434" s="18"/>
      <c r="C4434" s="18"/>
      <c r="D4434" s="18"/>
      <c r="E4434" s="10" t="str">
        <f>IF(B4434="","",IFERROR(INDEX(Harytlar!$C$5:$C$44,MATCH(B4434,Harytlar!$A$5:$A$44,0)),""))</f>
        <v/>
      </c>
      <c r="F4434" s="10" t="str">
        <f t="shared" si="69"/>
        <v/>
      </c>
      <c r="G4434" s="10" t="str">
        <f>IF(OR(C4434="",B4434=""),"",IFERROR(C4434*INDEX(Harytlar!$D$5:$D$44,MATCH(B4434,Harytlar!$A$5:$A$44,0)),""))</f>
        <v/>
      </c>
    </row>
    <row r="4435" spans="1:7" x14ac:dyDescent="0.3">
      <c r="A4435" s="17"/>
      <c r="B4435" s="18"/>
      <c r="C4435" s="18"/>
      <c r="D4435" s="18"/>
      <c r="E4435" s="10" t="str">
        <f>IF(B4435="","",IFERROR(INDEX(Harytlar!$C$5:$C$44,MATCH(B4435,Harytlar!$A$5:$A$44,0)),""))</f>
        <v/>
      </c>
      <c r="F4435" s="10" t="str">
        <f t="shared" si="69"/>
        <v/>
      </c>
      <c r="G4435" s="10" t="str">
        <f>IF(OR(C4435="",B4435=""),"",IFERROR(C4435*INDEX(Harytlar!$D$5:$D$44,MATCH(B4435,Harytlar!$A$5:$A$44,0)),""))</f>
        <v/>
      </c>
    </row>
    <row r="4436" spans="1:7" x14ac:dyDescent="0.3">
      <c r="A4436" s="17"/>
      <c r="B4436" s="18"/>
      <c r="C4436" s="18"/>
      <c r="D4436" s="18"/>
      <c r="E4436" s="10" t="str">
        <f>IF(B4436="","",IFERROR(INDEX(Harytlar!$C$5:$C$44,MATCH(B4436,Harytlar!$A$5:$A$44,0)),""))</f>
        <v/>
      </c>
      <c r="F4436" s="10" t="str">
        <f t="shared" si="69"/>
        <v/>
      </c>
      <c r="G4436" s="10" t="str">
        <f>IF(OR(C4436="",B4436=""),"",IFERROR(C4436*INDEX(Harytlar!$D$5:$D$44,MATCH(B4436,Harytlar!$A$5:$A$44,0)),""))</f>
        <v/>
      </c>
    </row>
    <row r="4437" spans="1:7" x14ac:dyDescent="0.3">
      <c r="A4437" s="17"/>
      <c r="B4437" s="18"/>
      <c r="C4437" s="18"/>
      <c r="D4437" s="18"/>
      <c r="E4437" s="10" t="str">
        <f>IF(B4437="","",IFERROR(INDEX(Harytlar!$C$5:$C$44,MATCH(B4437,Harytlar!$A$5:$A$44,0)),""))</f>
        <v/>
      </c>
      <c r="F4437" s="10" t="str">
        <f t="shared" si="69"/>
        <v/>
      </c>
      <c r="G4437" s="10" t="str">
        <f>IF(OR(C4437="",B4437=""),"",IFERROR(C4437*INDEX(Harytlar!$D$5:$D$44,MATCH(B4437,Harytlar!$A$5:$A$44,0)),""))</f>
        <v/>
      </c>
    </row>
    <row r="4438" spans="1:7" x14ac:dyDescent="0.3">
      <c r="A4438" s="17"/>
      <c r="B4438" s="18"/>
      <c r="C4438" s="18"/>
      <c r="D4438" s="18"/>
      <c r="E4438" s="10" t="str">
        <f>IF(B4438="","",IFERROR(INDEX(Harytlar!$C$5:$C$44,MATCH(B4438,Harytlar!$A$5:$A$44,0)),""))</f>
        <v/>
      </c>
      <c r="F4438" s="10" t="str">
        <f t="shared" si="69"/>
        <v/>
      </c>
      <c r="G4438" s="10" t="str">
        <f>IF(OR(C4438="",B4438=""),"",IFERROR(C4438*INDEX(Harytlar!$D$5:$D$44,MATCH(B4438,Harytlar!$A$5:$A$44,0)),""))</f>
        <v/>
      </c>
    </row>
    <row r="4439" spans="1:7" x14ac:dyDescent="0.3">
      <c r="A4439" s="17"/>
      <c r="B4439" s="18"/>
      <c r="C4439" s="18"/>
      <c r="D4439" s="18"/>
      <c r="E4439" s="10" t="str">
        <f>IF(B4439="","",IFERROR(INDEX(Harytlar!$C$5:$C$44,MATCH(B4439,Harytlar!$A$5:$A$44,0)),""))</f>
        <v/>
      </c>
      <c r="F4439" s="10" t="str">
        <f t="shared" si="69"/>
        <v/>
      </c>
      <c r="G4439" s="10" t="str">
        <f>IF(OR(C4439="",B4439=""),"",IFERROR(C4439*INDEX(Harytlar!$D$5:$D$44,MATCH(B4439,Harytlar!$A$5:$A$44,0)),""))</f>
        <v/>
      </c>
    </row>
    <row r="4440" spans="1:7" x14ac:dyDescent="0.3">
      <c r="A4440" s="17"/>
      <c r="B4440" s="18"/>
      <c r="C4440" s="18"/>
      <c r="D4440" s="18"/>
      <c r="E4440" s="10" t="str">
        <f>IF(B4440="","",IFERROR(INDEX(Harytlar!$C$5:$C$44,MATCH(B4440,Harytlar!$A$5:$A$44,0)),""))</f>
        <v/>
      </c>
      <c r="F4440" s="10" t="str">
        <f t="shared" si="69"/>
        <v/>
      </c>
      <c r="G4440" s="10" t="str">
        <f>IF(OR(C4440="",B4440=""),"",IFERROR(C4440*INDEX(Harytlar!$D$5:$D$44,MATCH(B4440,Harytlar!$A$5:$A$44,0)),""))</f>
        <v/>
      </c>
    </row>
    <row r="4441" spans="1:7" x14ac:dyDescent="0.3">
      <c r="A4441" s="17"/>
      <c r="B4441" s="18"/>
      <c r="C4441" s="18"/>
      <c r="D4441" s="18"/>
      <c r="E4441" s="10" t="str">
        <f>IF(B4441="","",IFERROR(INDEX(Harytlar!$C$5:$C$44,MATCH(B4441,Harytlar!$A$5:$A$44,0)),""))</f>
        <v/>
      </c>
      <c r="F4441" s="10" t="str">
        <f t="shared" si="69"/>
        <v/>
      </c>
      <c r="G4441" s="10" t="str">
        <f>IF(OR(C4441="",B4441=""),"",IFERROR(C4441*INDEX(Harytlar!$D$5:$D$44,MATCH(B4441,Harytlar!$A$5:$A$44,0)),""))</f>
        <v/>
      </c>
    </row>
    <row r="4442" spans="1:7" x14ac:dyDescent="0.3">
      <c r="A4442" s="17"/>
      <c r="B4442" s="18"/>
      <c r="C4442" s="18"/>
      <c r="D4442" s="18"/>
      <c r="E4442" s="10" t="str">
        <f>IF(B4442="","",IFERROR(INDEX(Harytlar!$C$5:$C$44,MATCH(B4442,Harytlar!$A$5:$A$44,0)),""))</f>
        <v/>
      </c>
      <c r="F4442" s="10" t="str">
        <f t="shared" si="69"/>
        <v/>
      </c>
      <c r="G4442" s="10" t="str">
        <f>IF(OR(C4442="",B4442=""),"",IFERROR(C4442*INDEX(Harytlar!$D$5:$D$44,MATCH(B4442,Harytlar!$A$5:$A$44,0)),""))</f>
        <v/>
      </c>
    </row>
    <row r="4443" spans="1:7" x14ac:dyDescent="0.3">
      <c r="A4443" s="17"/>
      <c r="B4443" s="18"/>
      <c r="C4443" s="18"/>
      <c r="D4443" s="18"/>
      <c r="E4443" s="10" t="str">
        <f>IF(B4443="","",IFERROR(INDEX(Harytlar!$C$5:$C$44,MATCH(B4443,Harytlar!$A$5:$A$44,0)),""))</f>
        <v/>
      </c>
      <c r="F4443" s="10" t="str">
        <f t="shared" si="69"/>
        <v/>
      </c>
      <c r="G4443" s="10" t="str">
        <f>IF(OR(C4443="",B4443=""),"",IFERROR(C4443*INDEX(Harytlar!$D$5:$D$44,MATCH(B4443,Harytlar!$A$5:$A$44,0)),""))</f>
        <v/>
      </c>
    </row>
    <row r="4444" spans="1:7" x14ac:dyDescent="0.3">
      <c r="A4444" s="17"/>
      <c r="B4444" s="18"/>
      <c r="C4444" s="18"/>
      <c r="D4444" s="18"/>
      <c r="E4444" s="10" t="str">
        <f>IF(B4444="","",IFERROR(INDEX(Harytlar!$C$5:$C$44,MATCH(B4444,Harytlar!$A$5:$A$44,0)),""))</f>
        <v/>
      </c>
      <c r="F4444" s="10" t="str">
        <f t="shared" si="69"/>
        <v/>
      </c>
      <c r="G4444" s="10" t="str">
        <f>IF(OR(C4444="",B4444=""),"",IFERROR(C4444*INDEX(Harytlar!$D$5:$D$44,MATCH(B4444,Harytlar!$A$5:$A$44,0)),""))</f>
        <v/>
      </c>
    </row>
    <row r="4445" spans="1:7" x14ac:dyDescent="0.3">
      <c r="A4445" s="17"/>
      <c r="B4445" s="18"/>
      <c r="C4445" s="18"/>
      <c r="D4445" s="18"/>
      <c r="E4445" s="10" t="str">
        <f>IF(B4445="","",IFERROR(INDEX(Harytlar!$C$5:$C$44,MATCH(B4445,Harytlar!$A$5:$A$44,0)),""))</f>
        <v/>
      </c>
      <c r="F4445" s="10" t="str">
        <f t="shared" si="69"/>
        <v/>
      </c>
      <c r="G4445" s="10" t="str">
        <f>IF(OR(C4445="",B4445=""),"",IFERROR(C4445*INDEX(Harytlar!$D$5:$D$44,MATCH(B4445,Harytlar!$A$5:$A$44,0)),""))</f>
        <v/>
      </c>
    </row>
    <row r="4446" spans="1:7" x14ac:dyDescent="0.3">
      <c r="A4446" s="17"/>
      <c r="B4446" s="18"/>
      <c r="C4446" s="18"/>
      <c r="D4446" s="18"/>
      <c r="E4446" s="10" t="str">
        <f>IF(B4446="","",IFERROR(INDEX(Harytlar!$C$5:$C$44,MATCH(B4446,Harytlar!$A$5:$A$44,0)),""))</f>
        <v/>
      </c>
      <c r="F4446" s="10" t="str">
        <f t="shared" si="69"/>
        <v/>
      </c>
      <c r="G4446" s="10" t="str">
        <f>IF(OR(C4446="",B4446=""),"",IFERROR(C4446*INDEX(Harytlar!$D$5:$D$44,MATCH(B4446,Harytlar!$A$5:$A$44,0)),""))</f>
        <v/>
      </c>
    </row>
    <row r="4447" spans="1:7" x14ac:dyDescent="0.3">
      <c r="A4447" s="17"/>
      <c r="B4447" s="18"/>
      <c r="C4447" s="18"/>
      <c r="D4447" s="18"/>
      <c r="E4447" s="10" t="str">
        <f>IF(B4447="","",IFERROR(INDEX(Harytlar!$C$5:$C$44,MATCH(B4447,Harytlar!$A$5:$A$44,0)),""))</f>
        <v/>
      </c>
      <c r="F4447" s="10" t="str">
        <f t="shared" si="69"/>
        <v/>
      </c>
      <c r="G4447" s="10" t="str">
        <f>IF(OR(C4447="",B4447=""),"",IFERROR(C4447*INDEX(Harytlar!$D$5:$D$44,MATCH(B4447,Harytlar!$A$5:$A$44,0)),""))</f>
        <v/>
      </c>
    </row>
    <row r="4448" spans="1:7" x14ac:dyDescent="0.3">
      <c r="A4448" s="17"/>
      <c r="B4448" s="18"/>
      <c r="C4448" s="18"/>
      <c r="D4448" s="18"/>
      <c r="E4448" s="10" t="str">
        <f>IF(B4448="","",IFERROR(INDEX(Harytlar!$C$5:$C$44,MATCH(B4448,Harytlar!$A$5:$A$44,0)),""))</f>
        <v/>
      </c>
      <c r="F4448" s="10" t="str">
        <f t="shared" si="69"/>
        <v/>
      </c>
      <c r="G4448" s="10" t="str">
        <f>IF(OR(C4448="",B4448=""),"",IFERROR(C4448*INDEX(Harytlar!$D$5:$D$44,MATCH(B4448,Harytlar!$A$5:$A$44,0)),""))</f>
        <v/>
      </c>
    </row>
    <row r="4449" spans="1:7" x14ac:dyDescent="0.3">
      <c r="A4449" s="17"/>
      <c r="B4449" s="18"/>
      <c r="C4449" s="18"/>
      <c r="D4449" s="18"/>
      <c r="E4449" s="10" t="str">
        <f>IF(B4449="","",IFERROR(INDEX(Harytlar!$C$5:$C$44,MATCH(B4449,Harytlar!$A$5:$A$44,0)),""))</f>
        <v/>
      </c>
      <c r="F4449" s="10" t="str">
        <f t="shared" si="69"/>
        <v/>
      </c>
      <c r="G4449" s="10" t="str">
        <f>IF(OR(C4449="",B4449=""),"",IFERROR(C4449*INDEX(Harytlar!$D$5:$D$44,MATCH(B4449,Harytlar!$A$5:$A$44,0)),""))</f>
        <v/>
      </c>
    </row>
    <row r="4450" spans="1:7" x14ac:dyDescent="0.3">
      <c r="A4450" s="17"/>
      <c r="B4450" s="18"/>
      <c r="C4450" s="18"/>
      <c r="D4450" s="18"/>
      <c r="E4450" s="10" t="str">
        <f>IF(B4450="","",IFERROR(INDEX(Harytlar!$C$5:$C$44,MATCH(B4450,Harytlar!$A$5:$A$44,0)),""))</f>
        <v/>
      </c>
      <c r="F4450" s="10" t="str">
        <f t="shared" si="69"/>
        <v/>
      </c>
      <c r="G4450" s="10" t="str">
        <f>IF(OR(C4450="",B4450=""),"",IFERROR(C4450*INDEX(Harytlar!$D$5:$D$44,MATCH(B4450,Harytlar!$A$5:$A$44,0)),""))</f>
        <v/>
      </c>
    </row>
    <row r="4451" spans="1:7" x14ac:dyDescent="0.3">
      <c r="A4451" s="17"/>
      <c r="B4451" s="18"/>
      <c r="C4451" s="18"/>
      <c r="D4451" s="18"/>
      <c r="E4451" s="10" t="str">
        <f>IF(B4451="","",IFERROR(INDEX(Harytlar!$C$5:$C$44,MATCH(B4451,Harytlar!$A$5:$A$44,0)),""))</f>
        <v/>
      </c>
      <c r="F4451" s="10" t="str">
        <f t="shared" si="69"/>
        <v/>
      </c>
      <c r="G4451" s="10" t="str">
        <f>IF(OR(C4451="",B4451=""),"",IFERROR(C4451*INDEX(Harytlar!$D$5:$D$44,MATCH(B4451,Harytlar!$A$5:$A$44,0)),""))</f>
        <v/>
      </c>
    </row>
    <row r="4452" spans="1:7" x14ac:dyDescent="0.3">
      <c r="A4452" s="17"/>
      <c r="B4452" s="18"/>
      <c r="C4452" s="18"/>
      <c r="D4452" s="18"/>
      <c r="E4452" s="10" t="str">
        <f>IF(B4452="","",IFERROR(INDEX(Harytlar!$C$5:$C$44,MATCH(B4452,Harytlar!$A$5:$A$44,0)),""))</f>
        <v/>
      </c>
      <c r="F4452" s="10" t="str">
        <f t="shared" si="69"/>
        <v/>
      </c>
      <c r="G4452" s="10" t="str">
        <f>IF(OR(C4452="",B4452=""),"",IFERROR(C4452*INDEX(Harytlar!$D$5:$D$44,MATCH(B4452,Harytlar!$A$5:$A$44,0)),""))</f>
        <v/>
      </c>
    </row>
    <row r="4453" spans="1:7" x14ac:dyDescent="0.3">
      <c r="A4453" s="17"/>
      <c r="B4453" s="18"/>
      <c r="C4453" s="18"/>
      <c r="D4453" s="18"/>
      <c r="E4453" s="10" t="str">
        <f>IF(B4453="","",IFERROR(INDEX(Harytlar!$C$5:$C$44,MATCH(B4453,Harytlar!$A$5:$A$44,0)),""))</f>
        <v/>
      </c>
      <c r="F4453" s="10" t="str">
        <f t="shared" si="69"/>
        <v/>
      </c>
      <c r="G4453" s="10" t="str">
        <f>IF(OR(C4453="",B4453=""),"",IFERROR(C4453*INDEX(Harytlar!$D$5:$D$44,MATCH(B4453,Harytlar!$A$5:$A$44,0)),""))</f>
        <v/>
      </c>
    </row>
    <row r="4454" spans="1:7" x14ac:dyDescent="0.3">
      <c r="A4454" s="17"/>
      <c r="B4454" s="18"/>
      <c r="C4454" s="18"/>
      <c r="D4454" s="18"/>
      <c r="E4454" s="10" t="str">
        <f>IF(B4454="","",IFERROR(INDEX(Harytlar!$C$5:$C$44,MATCH(B4454,Harytlar!$A$5:$A$44,0)),""))</f>
        <v/>
      </c>
      <c r="F4454" s="10" t="str">
        <f t="shared" si="69"/>
        <v/>
      </c>
      <c r="G4454" s="10" t="str">
        <f>IF(OR(C4454="",B4454=""),"",IFERROR(C4454*INDEX(Harytlar!$D$5:$D$44,MATCH(B4454,Harytlar!$A$5:$A$44,0)),""))</f>
        <v/>
      </c>
    </row>
    <row r="4455" spans="1:7" x14ac:dyDescent="0.3">
      <c r="A4455" s="17"/>
      <c r="B4455" s="18"/>
      <c r="C4455" s="18"/>
      <c r="D4455" s="18"/>
      <c r="E4455" s="10" t="str">
        <f>IF(B4455="","",IFERROR(INDEX(Harytlar!$C$5:$C$44,MATCH(B4455,Harytlar!$A$5:$A$44,0)),""))</f>
        <v/>
      </c>
      <c r="F4455" s="10" t="str">
        <f t="shared" si="69"/>
        <v/>
      </c>
      <c r="G4455" s="10" t="str">
        <f>IF(OR(C4455="",B4455=""),"",IFERROR(C4455*INDEX(Harytlar!$D$5:$D$44,MATCH(B4455,Harytlar!$A$5:$A$44,0)),""))</f>
        <v/>
      </c>
    </row>
    <row r="4456" spans="1:7" x14ac:dyDescent="0.3">
      <c r="A4456" s="17"/>
      <c r="B4456" s="18"/>
      <c r="C4456" s="18"/>
      <c r="D4456" s="18"/>
      <c r="E4456" s="10" t="str">
        <f>IF(B4456="","",IFERROR(INDEX(Harytlar!$C$5:$C$44,MATCH(B4456,Harytlar!$A$5:$A$44,0)),""))</f>
        <v/>
      </c>
      <c r="F4456" s="10" t="str">
        <f t="shared" si="69"/>
        <v/>
      </c>
      <c r="G4456" s="10" t="str">
        <f>IF(OR(C4456="",B4456=""),"",IFERROR(C4456*INDEX(Harytlar!$D$5:$D$44,MATCH(B4456,Harytlar!$A$5:$A$44,0)),""))</f>
        <v/>
      </c>
    </row>
    <row r="4457" spans="1:7" x14ac:dyDescent="0.3">
      <c r="A4457" s="17"/>
      <c r="B4457" s="18"/>
      <c r="C4457" s="18"/>
      <c r="D4457" s="18"/>
      <c r="E4457" s="10" t="str">
        <f>IF(B4457="","",IFERROR(INDEX(Harytlar!$C$5:$C$44,MATCH(B4457,Harytlar!$A$5:$A$44,0)),""))</f>
        <v/>
      </c>
      <c r="F4457" s="10" t="str">
        <f t="shared" si="69"/>
        <v/>
      </c>
      <c r="G4457" s="10" t="str">
        <f>IF(OR(C4457="",B4457=""),"",IFERROR(C4457*INDEX(Harytlar!$D$5:$D$44,MATCH(B4457,Harytlar!$A$5:$A$44,0)),""))</f>
        <v/>
      </c>
    </row>
    <row r="4458" spans="1:7" x14ac:dyDescent="0.3">
      <c r="A4458" s="17"/>
      <c r="B4458" s="18"/>
      <c r="C4458" s="18"/>
      <c r="D4458" s="18"/>
      <c r="E4458" s="10" t="str">
        <f>IF(B4458="","",IFERROR(INDEX(Harytlar!$C$5:$C$44,MATCH(B4458,Harytlar!$A$5:$A$44,0)),""))</f>
        <v/>
      </c>
      <c r="F4458" s="10" t="str">
        <f t="shared" si="69"/>
        <v/>
      </c>
      <c r="G4458" s="10" t="str">
        <f>IF(OR(C4458="",B4458=""),"",IFERROR(C4458*INDEX(Harytlar!$D$5:$D$44,MATCH(B4458,Harytlar!$A$5:$A$44,0)),""))</f>
        <v/>
      </c>
    </row>
    <row r="4459" spans="1:7" x14ac:dyDescent="0.3">
      <c r="A4459" s="17"/>
      <c r="B4459" s="18"/>
      <c r="C4459" s="18"/>
      <c r="D4459" s="18"/>
      <c r="E4459" s="10" t="str">
        <f>IF(B4459="","",IFERROR(INDEX(Harytlar!$C$5:$C$44,MATCH(B4459,Harytlar!$A$5:$A$44,0)),""))</f>
        <v/>
      </c>
      <c r="F4459" s="10" t="str">
        <f t="shared" si="69"/>
        <v/>
      </c>
      <c r="G4459" s="10" t="str">
        <f>IF(OR(C4459="",B4459=""),"",IFERROR(C4459*INDEX(Harytlar!$D$5:$D$44,MATCH(B4459,Harytlar!$A$5:$A$44,0)),""))</f>
        <v/>
      </c>
    </row>
    <row r="4460" spans="1:7" x14ac:dyDescent="0.3">
      <c r="A4460" s="17"/>
      <c r="B4460" s="18"/>
      <c r="C4460" s="18"/>
      <c r="D4460" s="18"/>
      <c r="E4460" s="10" t="str">
        <f>IF(B4460="","",IFERROR(INDEX(Harytlar!$C$5:$C$44,MATCH(B4460,Harytlar!$A$5:$A$44,0)),""))</f>
        <v/>
      </c>
      <c r="F4460" s="10" t="str">
        <f t="shared" si="69"/>
        <v/>
      </c>
      <c r="G4460" s="10" t="str">
        <f>IF(OR(C4460="",B4460=""),"",IFERROR(C4460*INDEX(Harytlar!$D$5:$D$44,MATCH(B4460,Harytlar!$A$5:$A$44,0)),""))</f>
        <v/>
      </c>
    </row>
    <row r="4461" spans="1:7" x14ac:dyDescent="0.3">
      <c r="A4461" s="17"/>
      <c r="B4461" s="18"/>
      <c r="C4461" s="18"/>
      <c r="D4461" s="18"/>
      <c r="E4461" s="10" t="str">
        <f>IF(B4461="","",IFERROR(INDEX(Harytlar!$C$5:$C$44,MATCH(B4461,Harytlar!$A$5:$A$44,0)),""))</f>
        <v/>
      </c>
      <c r="F4461" s="10" t="str">
        <f t="shared" si="69"/>
        <v/>
      </c>
      <c r="G4461" s="10" t="str">
        <f>IF(OR(C4461="",B4461=""),"",IFERROR(C4461*INDEX(Harytlar!$D$5:$D$44,MATCH(B4461,Harytlar!$A$5:$A$44,0)),""))</f>
        <v/>
      </c>
    </row>
    <row r="4462" spans="1:7" x14ac:dyDescent="0.3">
      <c r="A4462" s="17"/>
      <c r="B4462" s="18"/>
      <c r="C4462" s="18"/>
      <c r="D4462" s="18"/>
      <c r="E4462" s="10" t="str">
        <f>IF(B4462="","",IFERROR(INDEX(Harytlar!$C$5:$C$44,MATCH(B4462,Harytlar!$A$5:$A$44,0)),""))</f>
        <v/>
      </c>
      <c r="F4462" s="10" t="str">
        <f t="shared" si="69"/>
        <v/>
      </c>
      <c r="G4462" s="10" t="str">
        <f>IF(OR(C4462="",B4462=""),"",IFERROR(C4462*INDEX(Harytlar!$D$5:$D$44,MATCH(B4462,Harytlar!$A$5:$A$44,0)),""))</f>
        <v/>
      </c>
    </row>
    <row r="4463" spans="1:7" x14ac:dyDescent="0.3">
      <c r="A4463" s="17"/>
      <c r="B4463" s="18"/>
      <c r="C4463" s="18"/>
      <c r="D4463" s="18"/>
      <c r="E4463" s="10" t="str">
        <f>IF(B4463="","",IFERROR(INDEX(Harytlar!$C$5:$C$44,MATCH(B4463,Harytlar!$A$5:$A$44,0)),""))</f>
        <v/>
      </c>
      <c r="F4463" s="10" t="str">
        <f t="shared" si="69"/>
        <v/>
      </c>
      <c r="G4463" s="10" t="str">
        <f>IF(OR(C4463="",B4463=""),"",IFERROR(C4463*INDEX(Harytlar!$D$5:$D$44,MATCH(B4463,Harytlar!$A$5:$A$44,0)),""))</f>
        <v/>
      </c>
    </row>
    <row r="4464" spans="1:7" x14ac:dyDescent="0.3">
      <c r="A4464" s="17"/>
      <c r="B4464" s="18"/>
      <c r="C4464" s="18"/>
      <c r="D4464" s="18"/>
      <c r="E4464" s="10" t="str">
        <f>IF(B4464="","",IFERROR(INDEX(Harytlar!$C$5:$C$44,MATCH(B4464,Harytlar!$A$5:$A$44,0)),""))</f>
        <v/>
      </c>
      <c r="F4464" s="10" t="str">
        <f t="shared" si="69"/>
        <v/>
      </c>
      <c r="G4464" s="10" t="str">
        <f>IF(OR(C4464="",B4464=""),"",IFERROR(C4464*INDEX(Harytlar!$D$5:$D$44,MATCH(B4464,Harytlar!$A$5:$A$44,0)),""))</f>
        <v/>
      </c>
    </row>
    <row r="4465" spans="1:7" x14ac:dyDescent="0.3">
      <c r="A4465" s="17"/>
      <c r="B4465" s="18"/>
      <c r="C4465" s="18"/>
      <c r="D4465" s="18"/>
      <c r="E4465" s="10" t="str">
        <f>IF(B4465="","",IFERROR(INDEX(Harytlar!$C$5:$C$44,MATCH(B4465,Harytlar!$A$5:$A$44,0)),""))</f>
        <v/>
      </c>
      <c r="F4465" s="10" t="str">
        <f t="shared" si="69"/>
        <v/>
      </c>
      <c r="G4465" s="10" t="str">
        <f>IF(OR(C4465="",B4465=""),"",IFERROR(C4465*INDEX(Harytlar!$D$5:$D$44,MATCH(B4465,Harytlar!$A$5:$A$44,0)),""))</f>
        <v/>
      </c>
    </row>
    <row r="4466" spans="1:7" x14ac:dyDescent="0.3">
      <c r="A4466" s="17"/>
      <c r="B4466" s="18"/>
      <c r="C4466" s="18"/>
      <c r="D4466" s="18"/>
      <c r="E4466" s="10" t="str">
        <f>IF(B4466="","",IFERROR(INDEX(Harytlar!$C$5:$C$44,MATCH(B4466,Harytlar!$A$5:$A$44,0)),""))</f>
        <v/>
      </c>
      <c r="F4466" s="10" t="str">
        <f t="shared" si="69"/>
        <v/>
      </c>
      <c r="G4466" s="10" t="str">
        <f>IF(OR(C4466="",B4466=""),"",IFERROR(C4466*INDEX(Harytlar!$D$5:$D$44,MATCH(B4466,Harytlar!$A$5:$A$44,0)),""))</f>
        <v/>
      </c>
    </row>
    <row r="4467" spans="1:7" x14ac:dyDescent="0.3">
      <c r="A4467" s="17"/>
      <c r="B4467" s="18"/>
      <c r="C4467" s="18"/>
      <c r="D4467" s="18"/>
      <c r="E4467" s="10" t="str">
        <f>IF(B4467="","",IFERROR(INDEX(Harytlar!$C$5:$C$44,MATCH(B4467,Harytlar!$A$5:$A$44,0)),""))</f>
        <v/>
      </c>
      <c r="F4467" s="10" t="str">
        <f t="shared" si="69"/>
        <v/>
      </c>
      <c r="G4467" s="10" t="str">
        <f>IF(OR(C4467="",B4467=""),"",IFERROR(C4467*INDEX(Harytlar!$D$5:$D$44,MATCH(B4467,Harytlar!$A$5:$A$44,0)),""))</f>
        <v/>
      </c>
    </row>
    <row r="4468" spans="1:7" x14ac:dyDescent="0.3">
      <c r="A4468" s="17"/>
      <c r="B4468" s="18"/>
      <c r="C4468" s="18"/>
      <c r="D4468" s="18"/>
      <c r="E4468" s="10" t="str">
        <f>IF(B4468="","",IFERROR(INDEX(Harytlar!$C$5:$C$44,MATCH(B4468,Harytlar!$A$5:$A$44,0)),""))</f>
        <v/>
      </c>
      <c r="F4468" s="10" t="str">
        <f t="shared" si="69"/>
        <v/>
      </c>
      <c r="G4468" s="10" t="str">
        <f>IF(OR(C4468="",B4468=""),"",IFERROR(C4468*INDEX(Harytlar!$D$5:$D$44,MATCH(B4468,Harytlar!$A$5:$A$44,0)),""))</f>
        <v/>
      </c>
    </row>
    <row r="4469" spans="1:7" x14ac:dyDescent="0.3">
      <c r="A4469" s="17"/>
      <c r="B4469" s="18"/>
      <c r="C4469" s="18"/>
      <c r="D4469" s="18"/>
      <c r="E4469" s="10" t="str">
        <f>IF(B4469="","",IFERROR(INDEX(Harytlar!$C$5:$C$44,MATCH(B4469,Harytlar!$A$5:$A$44,0)),""))</f>
        <v/>
      </c>
      <c r="F4469" s="10" t="str">
        <f t="shared" si="69"/>
        <v/>
      </c>
      <c r="G4469" s="10" t="str">
        <f>IF(OR(C4469="",B4469=""),"",IFERROR(C4469*INDEX(Harytlar!$D$5:$D$44,MATCH(B4469,Harytlar!$A$5:$A$44,0)),""))</f>
        <v/>
      </c>
    </row>
    <row r="4470" spans="1:7" x14ac:dyDescent="0.3">
      <c r="A4470" s="17"/>
      <c r="B4470" s="18"/>
      <c r="C4470" s="18"/>
      <c r="D4470" s="18"/>
      <c r="E4470" s="10" t="str">
        <f>IF(B4470="","",IFERROR(INDEX(Harytlar!$C$5:$C$44,MATCH(B4470,Harytlar!$A$5:$A$44,0)),""))</f>
        <v/>
      </c>
      <c r="F4470" s="10" t="str">
        <f t="shared" si="69"/>
        <v/>
      </c>
      <c r="G4470" s="10" t="str">
        <f>IF(OR(C4470="",B4470=""),"",IFERROR(C4470*INDEX(Harytlar!$D$5:$D$44,MATCH(B4470,Harytlar!$A$5:$A$44,0)),""))</f>
        <v/>
      </c>
    </row>
    <row r="4471" spans="1:7" x14ac:dyDescent="0.3">
      <c r="A4471" s="17"/>
      <c r="B4471" s="18"/>
      <c r="C4471" s="18"/>
      <c r="D4471" s="18"/>
      <c r="E4471" s="10" t="str">
        <f>IF(B4471="","",IFERROR(INDEX(Harytlar!$C$5:$C$44,MATCH(B4471,Harytlar!$A$5:$A$44,0)),""))</f>
        <v/>
      </c>
      <c r="F4471" s="10" t="str">
        <f t="shared" si="69"/>
        <v/>
      </c>
      <c r="G4471" s="10" t="str">
        <f>IF(OR(C4471="",B4471=""),"",IFERROR(C4471*INDEX(Harytlar!$D$5:$D$44,MATCH(B4471,Harytlar!$A$5:$A$44,0)),""))</f>
        <v/>
      </c>
    </row>
    <row r="4472" spans="1:7" x14ac:dyDescent="0.3">
      <c r="A4472" s="17"/>
      <c r="B4472" s="18"/>
      <c r="C4472" s="18"/>
      <c r="D4472" s="18"/>
      <c r="E4472" s="10" t="str">
        <f>IF(B4472="","",IFERROR(INDEX(Harytlar!$C$5:$C$44,MATCH(B4472,Harytlar!$A$5:$A$44,0)),""))</f>
        <v/>
      </c>
      <c r="F4472" s="10" t="str">
        <f t="shared" si="69"/>
        <v/>
      </c>
      <c r="G4472" s="10" t="str">
        <f>IF(OR(C4472="",B4472=""),"",IFERROR(C4472*INDEX(Harytlar!$D$5:$D$44,MATCH(B4472,Harytlar!$A$5:$A$44,0)),""))</f>
        <v/>
      </c>
    </row>
    <row r="4473" spans="1:7" x14ac:dyDescent="0.3">
      <c r="A4473" s="17"/>
      <c r="B4473" s="18"/>
      <c r="C4473" s="18"/>
      <c r="D4473" s="18"/>
      <c r="E4473" s="10" t="str">
        <f>IF(B4473="","",IFERROR(INDEX(Harytlar!$C$5:$C$44,MATCH(B4473,Harytlar!$A$5:$A$44,0)),""))</f>
        <v/>
      </c>
      <c r="F4473" s="10" t="str">
        <f t="shared" si="69"/>
        <v/>
      </c>
      <c r="G4473" s="10" t="str">
        <f>IF(OR(C4473="",B4473=""),"",IFERROR(C4473*INDEX(Harytlar!$D$5:$D$44,MATCH(B4473,Harytlar!$A$5:$A$44,0)),""))</f>
        <v/>
      </c>
    </row>
    <row r="4474" spans="1:7" x14ac:dyDescent="0.3">
      <c r="A4474" s="17"/>
      <c r="B4474" s="18"/>
      <c r="C4474" s="18"/>
      <c r="D4474" s="18"/>
      <c r="E4474" s="10" t="str">
        <f>IF(B4474="","",IFERROR(INDEX(Harytlar!$C$5:$C$44,MATCH(B4474,Harytlar!$A$5:$A$44,0)),""))</f>
        <v/>
      </c>
      <c r="F4474" s="10" t="str">
        <f t="shared" si="69"/>
        <v/>
      </c>
      <c r="G4474" s="10" t="str">
        <f>IF(OR(C4474="",B4474=""),"",IFERROR(C4474*INDEX(Harytlar!$D$5:$D$44,MATCH(B4474,Harytlar!$A$5:$A$44,0)),""))</f>
        <v/>
      </c>
    </row>
    <row r="4475" spans="1:7" x14ac:dyDescent="0.3">
      <c r="A4475" s="17"/>
      <c r="B4475" s="18"/>
      <c r="C4475" s="18"/>
      <c r="D4475" s="18"/>
      <c r="E4475" s="10" t="str">
        <f>IF(B4475="","",IFERROR(INDEX(Harytlar!$C$5:$C$44,MATCH(B4475,Harytlar!$A$5:$A$44,0)),""))</f>
        <v/>
      </c>
      <c r="F4475" s="10" t="str">
        <f t="shared" si="69"/>
        <v/>
      </c>
      <c r="G4475" s="10" t="str">
        <f>IF(OR(C4475="",B4475=""),"",IFERROR(C4475*INDEX(Harytlar!$D$5:$D$44,MATCH(B4475,Harytlar!$A$5:$A$44,0)),""))</f>
        <v/>
      </c>
    </row>
    <row r="4476" spans="1:7" x14ac:dyDescent="0.3">
      <c r="A4476" s="17"/>
      <c r="B4476" s="18"/>
      <c r="C4476" s="18"/>
      <c r="D4476" s="18"/>
      <c r="E4476" s="10" t="str">
        <f>IF(B4476="","",IFERROR(INDEX(Harytlar!$C$5:$C$44,MATCH(B4476,Harytlar!$A$5:$A$44,0)),""))</f>
        <v/>
      </c>
      <c r="F4476" s="10" t="str">
        <f t="shared" si="69"/>
        <v/>
      </c>
      <c r="G4476" s="10" t="str">
        <f>IF(OR(C4476="",B4476=""),"",IFERROR(C4476*INDEX(Harytlar!$D$5:$D$44,MATCH(B4476,Harytlar!$A$5:$A$44,0)),""))</f>
        <v/>
      </c>
    </row>
    <row r="4477" spans="1:7" x14ac:dyDescent="0.3">
      <c r="A4477" s="17"/>
      <c r="B4477" s="18"/>
      <c r="C4477" s="18"/>
      <c r="D4477" s="18"/>
      <c r="E4477" s="10" t="str">
        <f>IF(B4477="","",IFERROR(INDEX(Harytlar!$C$5:$C$44,MATCH(B4477,Harytlar!$A$5:$A$44,0)),""))</f>
        <v/>
      </c>
      <c r="F4477" s="10" t="str">
        <f t="shared" si="69"/>
        <v/>
      </c>
      <c r="G4477" s="10" t="str">
        <f>IF(OR(C4477="",B4477=""),"",IFERROR(C4477*INDEX(Harytlar!$D$5:$D$44,MATCH(B4477,Harytlar!$A$5:$A$44,0)),""))</f>
        <v/>
      </c>
    </row>
    <row r="4478" spans="1:7" x14ac:dyDescent="0.3">
      <c r="A4478" s="17"/>
      <c r="B4478" s="18"/>
      <c r="C4478" s="18"/>
      <c r="D4478" s="18"/>
      <c r="E4478" s="10" t="str">
        <f>IF(B4478="","",IFERROR(INDEX(Harytlar!$C$5:$C$44,MATCH(B4478,Harytlar!$A$5:$A$44,0)),""))</f>
        <v/>
      </c>
      <c r="F4478" s="10" t="str">
        <f t="shared" si="69"/>
        <v/>
      </c>
      <c r="G4478" s="10" t="str">
        <f>IF(OR(C4478="",B4478=""),"",IFERROR(C4478*INDEX(Harytlar!$D$5:$D$44,MATCH(B4478,Harytlar!$A$5:$A$44,0)),""))</f>
        <v/>
      </c>
    </row>
    <row r="4479" spans="1:7" x14ac:dyDescent="0.3">
      <c r="A4479" s="17"/>
      <c r="B4479" s="18"/>
      <c r="C4479" s="18"/>
      <c r="D4479" s="18"/>
      <c r="E4479" s="10" t="str">
        <f>IF(B4479="","",IFERROR(INDEX(Harytlar!$C$5:$C$44,MATCH(B4479,Harytlar!$A$5:$A$44,0)),""))</f>
        <v/>
      </c>
      <c r="F4479" s="10" t="str">
        <f t="shared" si="69"/>
        <v/>
      </c>
      <c r="G4479" s="10" t="str">
        <f>IF(OR(C4479="",B4479=""),"",IFERROR(C4479*INDEX(Harytlar!$D$5:$D$44,MATCH(B4479,Harytlar!$A$5:$A$44,0)),""))</f>
        <v/>
      </c>
    </row>
    <row r="4480" spans="1:7" x14ac:dyDescent="0.3">
      <c r="A4480" s="17"/>
      <c r="B4480" s="18"/>
      <c r="C4480" s="18"/>
      <c r="D4480" s="18"/>
      <c r="E4480" s="10" t="str">
        <f>IF(B4480="","",IFERROR(INDEX(Harytlar!$C$5:$C$44,MATCH(B4480,Harytlar!$A$5:$A$44,0)),""))</f>
        <v/>
      </c>
      <c r="F4480" s="10" t="str">
        <f t="shared" si="69"/>
        <v/>
      </c>
      <c r="G4480" s="10" t="str">
        <f>IF(OR(C4480="",B4480=""),"",IFERROR(C4480*INDEX(Harytlar!$D$5:$D$44,MATCH(B4480,Harytlar!$A$5:$A$44,0)),""))</f>
        <v/>
      </c>
    </row>
    <row r="4481" spans="1:7" x14ac:dyDescent="0.3">
      <c r="A4481" s="17"/>
      <c r="B4481" s="18"/>
      <c r="C4481" s="18"/>
      <c r="D4481" s="18"/>
      <c r="E4481" s="10" t="str">
        <f>IF(B4481="","",IFERROR(INDEX(Harytlar!$C$5:$C$44,MATCH(B4481,Harytlar!$A$5:$A$44,0)),""))</f>
        <v/>
      </c>
      <c r="F4481" s="10" t="str">
        <f t="shared" si="69"/>
        <v/>
      </c>
      <c r="G4481" s="10" t="str">
        <f>IF(OR(C4481="",B4481=""),"",IFERROR(C4481*INDEX(Harytlar!$D$5:$D$44,MATCH(B4481,Harytlar!$A$5:$A$44,0)),""))</f>
        <v/>
      </c>
    </row>
    <row r="4482" spans="1:7" x14ac:dyDescent="0.3">
      <c r="A4482" s="17"/>
      <c r="B4482" s="18"/>
      <c r="C4482" s="18"/>
      <c r="D4482" s="18"/>
      <c r="E4482" s="10" t="str">
        <f>IF(B4482="","",IFERROR(INDEX(Harytlar!$C$5:$C$44,MATCH(B4482,Harytlar!$A$5:$A$44,0)),""))</f>
        <v/>
      </c>
      <c r="F4482" s="10" t="str">
        <f t="shared" si="69"/>
        <v/>
      </c>
      <c r="G4482" s="10" t="str">
        <f>IF(OR(C4482="",B4482=""),"",IFERROR(C4482*INDEX(Harytlar!$D$5:$D$44,MATCH(B4482,Harytlar!$A$5:$A$44,0)),""))</f>
        <v/>
      </c>
    </row>
    <row r="4483" spans="1:7" x14ac:dyDescent="0.3">
      <c r="A4483" s="17"/>
      <c r="B4483" s="18"/>
      <c r="C4483" s="18"/>
      <c r="D4483" s="18"/>
      <c r="E4483" s="10" t="str">
        <f>IF(B4483="","",IFERROR(INDEX(Harytlar!$C$5:$C$44,MATCH(B4483,Harytlar!$A$5:$A$44,0)),""))</f>
        <v/>
      </c>
      <c r="F4483" s="10" t="str">
        <f t="shared" si="69"/>
        <v/>
      </c>
      <c r="G4483" s="10" t="str">
        <f>IF(OR(C4483="",B4483=""),"",IFERROR(C4483*INDEX(Harytlar!$D$5:$D$44,MATCH(B4483,Harytlar!$A$5:$A$44,0)),""))</f>
        <v/>
      </c>
    </row>
    <row r="4484" spans="1:7" x14ac:dyDescent="0.3">
      <c r="A4484" s="17"/>
      <c r="B4484" s="18"/>
      <c r="C4484" s="18"/>
      <c r="D4484" s="18"/>
      <c r="E4484" s="10" t="str">
        <f>IF(B4484="","",IFERROR(INDEX(Harytlar!$C$5:$C$44,MATCH(B4484,Harytlar!$A$5:$A$44,0)),""))</f>
        <v/>
      </c>
      <c r="F4484" s="10" t="str">
        <f t="shared" si="69"/>
        <v/>
      </c>
      <c r="G4484" s="10" t="str">
        <f>IF(OR(C4484="",B4484=""),"",IFERROR(C4484*INDEX(Harytlar!$D$5:$D$44,MATCH(B4484,Harytlar!$A$5:$A$44,0)),""))</f>
        <v/>
      </c>
    </row>
    <row r="4485" spans="1:7" x14ac:dyDescent="0.3">
      <c r="A4485" s="17"/>
      <c r="B4485" s="18"/>
      <c r="C4485" s="18"/>
      <c r="D4485" s="18"/>
      <c r="E4485" s="10" t="str">
        <f>IF(B4485="","",IFERROR(INDEX(Harytlar!$C$5:$C$44,MATCH(B4485,Harytlar!$A$5:$A$44,0)),""))</f>
        <v/>
      </c>
      <c r="F4485" s="10" t="str">
        <f t="shared" si="69"/>
        <v/>
      </c>
      <c r="G4485" s="10" t="str">
        <f>IF(OR(C4485="",B4485=""),"",IFERROR(C4485*INDEX(Harytlar!$D$5:$D$44,MATCH(B4485,Harytlar!$A$5:$A$44,0)),""))</f>
        <v/>
      </c>
    </row>
    <row r="4486" spans="1:7" x14ac:dyDescent="0.3">
      <c r="A4486" s="17"/>
      <c r="B4486" s="18"/>
      <c r="C4486" s="18"/>
      <c r="D4486" s="18"/>
      <c r="E4486" s="10" t="str">
        <f>IF(B4486="","",IFERROR(INDEX(Harytlar!$C$5:$C$44,MATCH(B4486,Harytlar!$A$5:$A$44,0)),""))</f>
        <v/>
      </c>
      <c r="F4486" s="10" t="str">
        <f t="shared" ref="F4486:F4549" si="70">IF(OR(C4486="",E4486=""),"",C4486*E4486)</f>
        <v/>
      </c>
      <c r="G4486" s="10" t="str">
        <f>IF(OR(C4486="",B4486=""),"",IFERROR(C4486*INDEX(Harytlar!$D$5:$D$44,MATCH(B4486,Harytlar!$A$5:$A$44,0)),""))</f>
        <v/>
      </c>
    </row>
    <row r="4487" spans="1:7" x14ac:dyDescent="0.3">
      <c r="A4487" s="17"/>
      <c r="B4487" s="18"/>
      <c r="C4487" s="18"/>
      <c r="D4487" s="18"/>
      <c r="E4487" s="10" t="str">
        <f>IF(B4487="","",IFERROR(INDEX(Harytlar!$C$5:$C$44,MATCH(B4487,Harytlar!$A$5:$A$44,0)),""))</f>
        <v/>
      </c>
      <c r="F4487" s="10" t="str">
        <f t="shared" si="70"/>
        <v/>
      </c>
      <c r="G4487" s="10" t="str">
        <f>IF(OR(C4487="",B4487=""),"",IFERROR(C4487*INDEX(Harytlar!$D$5:$D$44,MATCH(B4487,Harytlar!$A$5:$A$44,0)),""))</f>
        <v/>
      </c>
    </row>
    <row r="4488" spans="1:7" x14ac:dyDescent="0.3">
      <c r="A4488" s="17"/>
      <c r="B4488" s="18"/>
      <c r="C4488" s="18"/>
      <c r="D4488" s="18"/>
      <c r="E4488" s="10" t="str">
        <f>IF(B4488="","",IFERROR(INDEX(Harytlar!$C$5:$C$44,MATCH(B4488,Harytlar!$A$5:$A$44,0)),""))</f>
        <v/>
      </c>
      <c r="F4488" s="10" t="str">
        <f t="shared" si="70"/>
        <v/>
      </c>
      <c r="G4488" s="10" t="str">
        <f>IF(OR(C4488="",B4488=""),"",IFERROR(C4488*INDEX(Harytlar!$D$5:$D$44,MATCH(B4488,Harytlar!$A$5:$A$44,0)),""))</f>
        <v/>
      </c>
    </row>
    <row r="4489" spans="1:7" x14ac:dyDescent="0.3">
      <c r="A4489" s="17"/>
      <c r="B4489" s="18"/>
      <c r="C4489" s="18"/>
      <c r="D4489" s="18"/>
      <c r="E4489" s="10" t="str">
        <f>IF(B4489="","",IFERROR(INDEX(Harytlar!$C$5:$C$44,MATCH(B4489,Harytlar!$A$5:$A$44,0)),""))</f>
        <v/>
      </c>
      <c r="F4489" s="10" t="str">
        <f t="shared" si="70"/>
        <v/>
      </c>
      <c r="G4489" s="10" t="str">
        <f>IF(OR(C4489="",B4489=""),"",IFERROR(C4489*INDEX(Harytlar!$D$5:$D$44,MATCH(B4489,Harytlar!$A$5:$A$44,0)),""))</f>
        <v/>
      </c>
    </row>
    <row r="4490" spans="1:7" x14ac:dyDescent="0.3">
      <c r="A4490" s="17"/>
      <c r="B4490" s="18"/>
      <c r="C4490" s="18"/>
      <c r="D4490" s="18"/>
      <c r="E4490" s="10" t="str">
        <f>IF(B4490="","",IFERROR(INDEX(Harytlar!$C$5:$C$44,MATCH(B4490,Harytlar!$A$5:$A$44,0)),""))</f>
        <v/>
      </c>
      <c r="F4490" s="10" t="str">
        <f t="shared" si="70"/>
        <v/>
      </c>
      <c r="G4490" s="10" t="str">
        <f>IF(OR(C4490="",B4490=""),"",IFERROR(C4490*INDEX(Harytlar!$D$5:$D$44,MATCH(B4490,Harytlar!$A$5:$A$44,0)),""))</f>
        <v/>
      </c>
    </row>
    <row r="4491" spans="1:7" x14ac:dyDescent="0.3">
      <c r="A4491" s="17"/>
      <c r="B4491" s="18"/>
      <c r="C4491" s="18"/>
      <c r="D4491" s="18"/>
      <c r="E4491" s="10" t="str">
        <f>IF(B4491="","",IFERROR(INDEX(Harytlar!$C$5:$C$44,MATCH(B4491,Harytlar!$A$5:$A$44,0)),""))</f>
        <v/>
      </c>
      <c r="F4491" s="10" t="str">
        <f t="shared" si="70"/>
        <v/>
      </c>
      <c r="G4491" s="10" t="str">
        <f>IF(OR(C4491="",B4491=""),"",IFERROR(C4491*INDEX(Harytlar!$D$5:$D$44,MATCH(B4491,Harytlar!$A$5:$A$44,0)),""))</f>
        <v/>
      </c>
    </row>
    <row r="4492" spans="1:7" x14ac:dyDescent="0.3">
      <c r="A4492" s="17"/>
      <c r="B4492" s="18"/>
      <c r="C4492" s="18"/>
      <c r="D4492" s="18"/>
      <c r="E4492" s="10" t="str">
        <f>IF(B4492="","",IFERROR(INDEX(Harytlar!$C$5:$C$44,MATCH(B4492,Harytlar!$A$5:$A$44,0)),""))</f>
        <v/>
      </c>
      <c r="F4492" s="10" t="str">
        <f t="shared" si="70"/>
        <v/>
      </c>
      <c r="G4492" s="10" t="str">
        <f>IF(OR(C4492="",B4492=""),"",IFERROR(C4492*INDEX(Harytlar!$D$5:$D$44,MATCH(B4492,Harytlar!$A$5:$A$44,0)),""))</f>
        <v/>
      </c>
    </row>
    <row r="4493" spans="1:7" x14ac:dyDescent="0.3">
      <c r="A4493" s="17"/>
      <c r="B4493" s="18"/>
      <c r="C4493" s="18"/>
      <c r="D4493" s="18"/>
      <c r="E4493" s="10" t="str">
        <f>IF(B4493="","",IFERROR(INDEX(Harytlar!$C$5:$C$44,MATCH(B4493,Harytlar!$A$5:$A$44,0)),""))</f>
        <v/>
      </c>
      <c r="F4493" s="10" t="str">
        <f t="shared" si="70"/>
        <v/>
      </c>
      <c r="G4493" s="10" t="str">
        <f>IF(OR(C4493="",B4493=""),"",IFERROR(C4493*INDEX(Harytlar!$D$5:$D$44,MATCH(B4493,Harytlar!$A$5:$A$44,0)),""))</f>
        <v/>
      </c>
    </row>
    <row r="4494" spans="1:7" x14ac:dyDescent="0.3">
      <c r="A4494" s="17"/>
      <c r="B4494" s="18"/>
      <c r="C4494" s="18"/>
      <c r="D4494" s="18"/>
      <c r="E4494" s="10" t="str">
        <f>IF(B4494="","",IFERROR(INDEX(Harytlar!$C$5:$C$44,MATCH(B4494,Harytlar!$A$5:$A$44,0)),""))</f>
        <v/>
      </c>
      <c r="F4494" s="10" t="str">
        <f t="shared" si="70"/>
        <v/>
      </c>
      <c r="G4494" s="10" t="str">
        <f>IF(OR(C4494="",B4494=""),"",IFERROR(C4494*INDEX(Harytlar!$D$5:$D$44,MATCH(B4494,Harytlar!$A$5:$A$44,0)),""))</f>
        <v/>
      </c>
    </row>
    <row r="4495" spans="1:7" x14ac:dyDescent="0.3">
      <c r="A4495" s="17"/>
      <c r="B4495" s="18"/>
      <c r="C4495" s="18"/>
      <c r="D4495" s="18"/>
      <c r="E4495" s="10" t="str">
        <f>IF(B4495="","",IFERROR(INDEX(Harytlar!$C$5:$C$44,MATCH(B4495,Harytlar!$A$5:$A$44,0)),""))</f>
        <v/>
      </c>
      <c r="F4495" s="10" t="str">
        <f t="shared" si="70"/>
        <v/>
      </c>
      <c r="G4495" s="10" t="str">
        <f>IF(OR(C4495="",B4495=""),"",IFERROR(C4495*INDEX(Harytlar!$D$5:$D$44,MATCH(B4495,Harytlar!$A$5:$A$44,0)),""))</f>
        <v/>
      </c>
    </row>
    <row r="4496" spans="1:7" x14ac:dyDescent="0.3">
      <c r="A4496" s="17"/>
      <c r="B4496" s="18"/>
      <c r="C4496" s="18"/>
      <c r="D4496" s="18"/>
      <c r="E4496" s="10" t="str">
        <f>IF(B4496="","",IFERROR(INDEX(Harytlar!$C$5:$C$44,MATCH(B4496,Harytlar!$A$5:$A$44,0)),""))</f>
        <v/>
      </c>
      <c r="F4496" s="10" t="str">
        <f t="shared" si="70"/>
        <v/>
      </c>
      <c r="G4496" s="10" t="str">
        <f>IF(OR(C4496="",B4496=""),"",IFERROR(C4496*INDEX(Harytlar!$D$5:$D$44,MATCH(B4496,Harytlar!$A$5:$A$44,0)),""))</f>
        <v/>
      </c>
    </row>
    <row r="4497" spans="1:7" x14ac:dyDescent="0.3">
      <c r="A4497" s="17"/>
      <c r="B4497" s="18"/>
      <c r="C4497" s="18"/>
      <c r="D4497" s="18"/>
      <c r="E4497" s="10" t="str">
        <f>IF(B4497="","",IFERROR(INDEX(Harytlar!$C$5:$C$44,MATCH(B4497,Harytlar!$A$5:$A$44,0)),""))</f>
        <v/>
      </c>
      <c r="F4497" s="10" t="str">
        <f t="shared" si="70"/>
        <v/>
      </c>
      <c r="G4497" s="10" t="str">
        <f>IF(OR(C4497="",B4497=""),"",IFERROR(C4497*INDEX(Harytlar!$D$5:$D$44,MATCH(B4497,Harytlar!$A$5:$A$44,0)),""))</f>
        <v/>
      </c>
    </row>
    <row r="4498" spans="1:7" x14ac:dyDescent="0.3">
      <c r="A4498" s="17"/>
      <c r="B4498" s="18"/>
      <c r="C4498" s="18"/>
      <c r="D4498" s="18"/>
      <c r="E4498" s="10" t="str">
        <f>IF(B4498="","",IFERROR(INDEX(Harytlar!$C$5:$C$44,MATCH(B4498,Harytlar!$A$5:$A$44,0)),""))</f>
        <v/>
      </c>
      <c r="F4498" s="10" t="str">
        <f t="shared" si="70"/>
        <v/>
      </c>
      <c r="G4498" s="10" t="str">
        <f>IF(OR(C4498="",B4498=""),"",IFERROR(C4498*INDEX(Harytlar!$D$5:$D$44,MATCH(B4498,Harytlar!$A$5:$A$44,0)),""))</f>
        <v/>
      </c>
    </row>
    <row r="4499" spans="1:7" x14ac:dyDescent="0.3">
      <c r="A4499" s="17"/>
      <c r="B4499" s="18"/>
      <c r="C4499" s="18"/>
      <c r="D4499" s="18"/>
      <c r="E4499" s="10" t="str">
        <f>IF(B4499="","",IFERROR(INDEX(Harytlar!$C$5:$C$44,MATCH(B4499,Harytlar!$A$5:$A$44,0)),""))</f>
        <v/>
      </c>
      <c r="F4499" s="10" t="str">
        <f t="shared" si="70"/>
        <v/>
      </c>
      <c r="G4499" s="10" t="str">
        <f>IF(OR(C4499="",B4499=""),"",IFERROR(C4499*INDEX(Harytlar!$D$5:$D$44,MATCH(B4499,Harytlar!$A$5:$A$44,0)),""))</f>
        <v/>
      </c>
    </row>
    <row r="4500" spans="1:7" x14ac:dyDescent="0.3">
      <c r="A4500" s="17"/>
      <c r="B4500" s="18"/>
      <c r="C4500" s="18"/>
      <c r="D4500" s="18"/>
      <c r="E4500" s="10" t="str">
        <f>IF(B4500="","",IFERROR(INDEX(Harytlar!$C$5:$C$44,MATCH(B4500,Harytlar!$A$5:$A$44,0)),""))</f>
        <v/>
      </c>
      <c r="F4500" s="10" t="str">
        <f t="shared" si="70"/>
        <v/>
      </c>
      <c r="G4500" s="10" t="str">
        <f>IF(OR(C4500="",B4500=""),"",IFERROR(C4500*INDEX(Harytlar!$D$5:$D$44,MATCH(B4500,Harytlar!$A$5:$A$44,0)),""))</f>
        <v/>
      </c>
    </row>
    <row r="4501" spans="1:7" x14ac:dyDescent="0.3">
      <c r="A4501" s="17"/>
      <c r="B4501" s="18"/>
      <c r="C4501" s="18"/>
      <c r="D4501" s="18"/>
      <c r="E4501" s="10" t="str">
        <f>IF(B4501="","",IFERROR(INDEX(Harytlar!$C$5:$C$44,MATCH(B4501,Harytlar!$A$5:$A$44,0)),""))</f>
        <v/>
      </c>
      <c r="F4501" s="10" t="str">
        <f t="shared" si="70"/>
        <v/>
      </c>
      <c r="G4501" s="10" t="str">
        <f>IF(OR(C4501="",B4501=""),"",IFERROR(C4501*INDEX(Harytlar!$D$5:$D$44,MATCH(B4501,Harytlar!$A$5:$A$44,0)),""))</f>
        <v/>
      </c>
    </row>
    <row r="4502" spans="1:7" x14ac:dyDescent="0.3">
      <c r="A4502" s="17"/>
      <c r="B4502" s="18"/>
      <c r="C4502" s="18"/>
      <c r="D4502" s="18"/>
      <c r="E4502" s="10" t="str">
        <f>IF(B4502="","",IFERROR(INDEX(Harytlar!$C$5:$C$44,MATCH(B4502,Harytlar!$A$5:$A$44,0)),""))</f>
        <v/>
      </c>
      <c r="F4502" s="10" t="str">
        <f t="shared" si="70"/>
        <v/>
      </c>
      <c r="G4502" s="10" t="str">
        <f>IF(OR(C4502="",B4502=""),"",IFERROR(C4502*INDEX(Harytlar!$D$5:$D$44,MATCH(B4502,Harytlar!$A$5:$A$44,0)),""))</f>
        <v/>
      </c>
    </row>
    <row r="4503" spans="1:7" x14ac:dyDescent="0.3">
      <c r="A4503" s="17"/>
      <c r="B4503" s="18"/>
      <c r="C4503" s="18"/>
      <c r="D4503" s="18"/>
      <c r="E4503" s="10" t="str">
        <f>IF(B4503="","",IFERROR(INDEX(Harytlar!$C$5:$C$44,MATCH(B4503,Harytlar!$A$5:$A$44,0)),""))</f>
        <v/>
      </c>
      <c r="F4503" s="10" t="str">
        <f t="shared" si="70"/>
        <v/>
      </c>
      <c r="G4503" s="10" t="str">
        <f>IF(OR(C4503="",B4503=""),"",IFERROR(C4503*INDEX(Harytlar!$D$5:$D$44,MATCH(B4503,Harytlar!$A$5:$A$44,0)),""))</f>
        <v/>
      </c>
    </row>
    <row r="4504" spans="1:7" x14ac:dyDescent="0.3">
      <c r="A4504" s="17"/>
      <c r="B4504" s="18"/>
      <c r="C4504" s="18"/>
      <c r="D4504" s="18"/>
      <c r="E4504" s="10" t="str">
        <f>IF(B4504="","",IFERROR(INDEX(Harytlar!$C$5:$C$44,MATCH(B4504,Harytlar!$A$5:$A$44,0)),""))</f>
        <v/>
      </c>
      <c r="F4504" s="10" t="str">
        <f t="shared" si="70"/>
        <v/>
      </c>
      <c r="G4504" s="10" t="str">
        <f>IF(OR(C4504="",B4504=""),"",IFERROR(C4504*INDEX(Harytlar!$D$5:$D$44,MATCH(B4504,Harytlar!$A$5:$A$44,0)),""))</f>
        <v/>
      </c>
    </row>
    <row r="4505" spans="1:7" x14ac:dyDescent="0.3">
      <c r="A4505" s="17"/>
      <c r="B4505" s="18"/>
      <c r="C4505" s="18"/>
      <c r="D4505" s="18"/>
      <c r="E4505" s="10" t="str">
        <f>IF(B4505="","",IFERROR(INDEX(Harytlar!$C$5:$C$44,MATCH(B4505,Harytlar!$A$5:$A$44,0)),""))</f>
        <v/>
      </c>
      <c r="F4505" s="10" t="str">
        <f t="shared" si="70"/>
        <v/>
      </c>
      <c r="G4505" s="10" t="str">
        <f>IF(OR(C4505="",B4505=""),"",IFERROR(C4505*INDEX(Harytlar!$D$5:$D$44,MATCH(B4505,Harytlar!$A$5:$A$44,0)),""))</f>
        <v/>
      </c>
    </row>
    <row r="4506" spans="1:7" x14ac:dyDescent="0.3">
      <c r="A4506" s="17"/>
      <c r="B4506" s="18"/>
      <c r="C4506" s="18"/>
      <c r="D4506" s="18"/>
      <c r="E4506" s="10" t="str">
        <f>IF(B4506="","",IFERROR(INDEX(Harytlar!$C$5:$C$44,MATCH(B4506,Harytlar!$A$5:$A$44,0)),""))</f>
        <v/>
      </c>
      <c r="F4506" s="10" t="str">
        <f t="shared" si="70"/>
        <v/>
      </c>
      <c r="G4506" s="10" t="str">
        <f>IF(OR(C4506="",B4506=""),"",IFERROR(C4506*INDEX(Harytlar!$D$5:$D$44,MATCH(B4506,Harytlar!$A$5:$A$44,0)),""))</f>
        <v/>
      </c>
    </row>
    <row r="4507" spans="1:7" x14ac:dyDescent="0.3">
      <c r="A4507" s="17"/>
      <c r="B4507" s="18"/>
      <c r="C4507" s="18"/>
      <c r="D4507" s="18"/>
      <c r="E4507" s="10" t="str">
        <f>IF(B4507="","",IFERROR(INDEX(Harytlar!$C$5:$C$44,MATCH(B4507,Harytlar!$A$5:$A$44,0)),""))</f>
        <v/>
      </c>
      <c r="F4507" s="10" t="str">
        <f t="shared" si="70"/>
        <v/>
      </c>
      <c r="G4507" s="10" t="str">
        <f>IF(OR(C4507="",B4507=""),"",IFERROR(C4507*INDEX(Harytlar!$D$5:$D$44,MATCH(B4507,Harytlar!$A$5:$A$44,0)),""))</f>
        <v/>
      </c>
    </row>
    <row r="4508" spans="1:7" x14ac:dyDescent="0.3">
      <c r="A4508" s="17"/>
      <c r="B4508" s="18"/>
      <c r="C4508" s="18"/>
      <c r="D4508" s="18"/>
      <c r="E4508" s="10" t="str">
        <f>IF(B4508="","",IFERROR(INDEX(Harytlar!$C$5:$C$44,MATCH(B4508,Harytlar!$A$5:$A$44,0)),""))</f>
        <v/>
      </c>
      <c r="F4508" s="10" t="str">
        <f t="shared" si="70"/>
        <v/>
      </c>
      <c r="G4508" s="10" t="str">
        <f>IF(OR(C4508="",B4508=""),"",IFERROR(C4508*INDEX(Harytlar!$D$5:$D$44,MATCH(B4508,Harytlar!$A$5:$A$44,0)),""))</f>
        <v/>
      </c>
    </row>
    <row r="4509" spans="1:7" x14ac:dyDescent="0.3">
      <c r="A4509" s="17"/>
      <c r="B4509" s="18"/>
      <c r="C4509" s="18"/>
      <c r="D4509" s="18"/>
      <c r="E4509" s="10" t="str">
        <f>IF(B4509="","",IFERROR(INDEX(Harytlar!$C$5:$C$44,MATCH(B4509,Harytlar!$A$5:$A$44,0)),""))</f>
        <v/>
      </c>
      <c r="F4509" s="10" t="str">
        <f t="shared" si="70"/>
        <v/>
      </c>
      <c r="G4509" s="10" t="str">
        <f>IF(OR(C4509="",B4509=""),"",IFERROR(C4509*INDEX(Harytlar!$D$5:$D$44,MATCH(B4509,Harytlar!$A$5:$A$44,0)),""))</f>
        <v/>
      </c>
    </row>
    <row r="4510" spans="1:7" x14ac:dyDescent="0.3">
      <c r="A4510" s="17"/>
      <c r="B4510" s="18"/>
      <c r="C4510" s="18"/>
      <c r="D4510" s="18"/>
      <c r="E4510" s="10" t="str">
        <f>IF(B4510="","",IFERROR(INDEX(Harytlar!$C$5:$C$44,MATCH(B4510,Harytlar!$A$5:$A$44,0)),""))</f>
        <v/>
      </c>
      <c r="F4510" s="10" t="str">
        <f t="shared" si="70"/>
        <v/>
      </c>
      <c r="G4510" s="10" t="str">
        <f>IF(OR(C4510="",B4510=""),"",IFERROR(C4510*INDEX(Harytlar!$D$5:$D$44,MATCH(B4510,Harytlar!$A$5:$A$44,0)),""))</f>
        <v/>
      </c>
    </row>
    <row r="4511" spans="1:7" x14ac:dyDescent="0.3">
      <c r="A4511" s="17"/>
      <c r="B4511" s="18"/>
      <c r="C4511" s="18"/>
      <c r="D4511" s="18"/>
      <c r="E4511" s="10" t="str">
        <f>IF(B4511="","",IFERROR(INDEX(Harytlar!$C$5:$C$44,MATCH(B4511,Harytlar!$A$5:$A$44,0)),""))</f>
        <v/>
      </c>
      <c r="F4511" s="10" t="str">
        <f t="shared" si="70"/>
        <v/>
      </c>
      <c r="G4511" s="10" t="str">
        <f>IF(OR(C4511="",B4511=""),"",IFERROR(C4511*INDEX(Harytlar!$D$5:$D$44,MATCH(B4511,Harytlar!$A$5:$A$44,0)),""))</f>
        <v/>
      </c>
    </row>
    <row r="4512" spans="1:7" x14ac:dyDescent="0.3">
      <c r="A4512" s="17"/>
      <c r="B4512" s="18"/>
      <c r="C4512" s="18"/>
      <c r="D4512" s="18"/>
      <c r="E4512" s="10" t="str">
        <f>IF(B4512="","",IFERROR(INDEX(Harytlar!$C$5:$C$44,MATCH(B4512,Harytlar!$A$5:$A$44,0)),""))</f>
        <v/>
      </c>
      <c r="F4512" s="10" t="str">
        <f t="shared" si="70"/>
        <v/>
      </c>
      <c r="G4512" s="10" t="str">
        <f>IF(OR(C4512="",B4512=""),"",IFERROR(C4512*INDEX(Harytlar!$D$5:$D$44,MATCH(B4512,Harytlar!$A$5:$A$44,0)),""))</f>
        <v/>
      </c>
    </row>
    <row r="4513" spans="1:7" x14ac:dyDescent="0.3">
      <c r="A4513" s="17"/>
      <c r="B4513" s="18"/>
      <c r="C4513" s="18"/>
      <c r="D4513" s="18"/>
      <c r="E4513" s="10" t="str">
        <f>IF(B4513="","",IFERROR(INDEX(Harytlar!$C$5:$C$44,MATCH(B4513,Harytlar!$A$5:$A$44,0)),""))</f>
        <v/>
      </c>
      <c r="F4513" s="10" t="str">
        <f t="shared" si="70"/>
        <v/>
      </c>
      <c r="G4513" s="10" t="str">
        <f>IF(OR(C4513="",B4513=""),"",IFERROR(C4513*INDEX(Harytlar!$D$5:$D$44,MATCH(B4513,Harytlar!$A$5:$A$44,0)),""))</f>
        <v/>
      </c>
    </row>
    <row r="4514" spans="1:7" x14ac:dyDescent="0.3">
      <c r="A4514" s="17"/>
      <c r="B4514" s="18"/>
      <c r="C4514" s="18"/>
      <c r="D4514" s="18"/>
      <c r="E4514" s="10" t="str">
        <f>IF(B4514="","",IFERROR(INDEX(Harytlar!$C$5:$C$44,MATCH(B4514,Harytlar!$A$5:$A$44,0)),""))</f>
        <v/>
      </c>
      <c r="F4514" s="10" t="str">
        <f t="shared" si="70"/>
        <v/>
      </c>
      <c r="G4514" s="10" t="str">
        <f>IF(OR(C4514="",B4514=""),"",IFERROR(C4514*INDEX(Harytlar!$D$5:$D$44,MATCH(B4514,Harytlar!$A$5:$A$44,0)),""))</f>
        <v/>
      </c>
    </row>
    <row r="4515" spans="1:7" x14ac:dyDescent="0.3">
      <c r="A4515" s="17"/>
      <c r="B4515" s="18"/>
      <c r="C4515" s="18"/>
      <c r="D4515" s="18"/>
      <c r="E4515" s="10" t="str">
        <f>IF(B4515="","",IFERROR(INDEX(Harytlar!$C$5:$C$44,MATCH(B4515,Harytlar!$A$5:$A$44,0)),""))</f>
        <v/>
      </c>
      <c r="F4515" s="10" t="str">
        <f t="shared" si="70"/>
        <v/>
      </c>
      <c r="G4515" s="10" t="str">
        <f>IF(OR(C4515="",B4515=""),"",IFERROR(C4515*INDEX(Harytlar!$D$5:$D$44,MATCH(B4515,Harytlar!$A$5:$A$44,0)),""))</f>
        <v/>
      </c>
    </row>
    <row r="4516" spans="1:7" x14ac:dyDescent="0.3">
      <c r="A4516" s="17"/>
      <c r="B4516" s="18"/>
      <c r="C4516" s="18"/>
      <c r="D4516" s="18"/>
      <c r="E4516" s="10" t="str">
        <f>IF(B4516="","",IFERROR(INDEX(Harytlar!$C$5:$C$44,MATCH(B4516,Harytlar!$A$5:$A$44,0)),""))</f>
        <v/>
      </c>
      <c r="F4516" s="10" t="str">
        <f t="shared" si="70"/>
        <v/>
      </c>
      <c r="G4516" s="10" t="str">
        <f>IF(OR(C4516="",B4516=""),"",IFERROR(C4516*INDEX(Harytlar!$D$5:$D$44,MATCH(B4516,Harytlar!$A$5:$A$44,0)),""))</f>
        <v/>
      </c>
    </row>
    <row r="4517" spans="1:7" x14ac:dyDescent="0.3">
      <c r="A4517" s="17"/>
      <c r="B4517" s="18"/>
      <c r="C4517" s="18"/>
      <c r="D4517" s="18"/>
      <c r="E4517" s="10" t="str">
        <f>IF(B4517="","",IFERROR(INDEX(Harytlar!$C$5:$C$44,MATCH(B4517,Harytlar!$A$5:$A$44,0)),""))</f>
        <v/>
      </c>
      <c r="F4517" s="10" t="str">
        <f t="shared" si="70"/>
        <v/>
      </c>
      <c r="G4517" s="10" t="str">
        <f>IF(OR(C4517="",B4517=""),"",IFERROR(C4517*INDEX(Harytlar!$D$5:$D$44,MATCH(B4517,Harytlar!$A$5:$A$44,0)),""))</f>
        <v/>
      </c>
    </row>
    <row r="4518" spans="1:7" x14ac:dyDescent="0.3">
      <c r="A4518" s="17"/>
      <c r="B4518" s="18"/>
      <c r="C4518" s="18"/>
      <c r="D4518" s="18"/>
      <c r="E4518" s="10" t="str">
        <f>IF(B4518="","",IFERROR(INDEX(Harytlar!$C$5:$C$44,MATCH(B4518,Harytlar!$A$5:$A$44,0)),""))</f>
        <v/>
      </c>
      <c r="F4518" s="10" t="str">
        <f t="shared" si="70"/>
        <v/>
      </c>
      <c r="G4518" s="10" t="str">
        <f>IF(OR(C4518="",B4518=""),"",IFERROR(C4518*INDEX(Harytlar!$D$5:$D$44,MATCH(B4518,Harytlar!$A$5:$A$44,0)),""))</f>
        <v/>
      </c>
    </row>
    <row r="4519" spans="1:7" x14ac:dyDescent="0.3">
      <c r="A4519" s="17"/>
      <c r="B4519" s="18"/>
      <c r="C4519" s="18"/>
      <c r="D4519" s="18"/>
      <c r="E4519" s="10" t="str">
        <f>IF(B4519="","",IFERROR(INDEX(Harytlar!$C$5:$C$44,MATCH(B4519,Harytlar!$A$5:$A$44,0)),""))</f>
        <v/>
      </c>
      <c r="F4519" s="10" t="str">
        <f t="shared" si="70"/>
        <v/>
      </c>
      <c r="G4519" s="10" t="str">
        <f>IF(OR(C4519="",B4519=""),"",IFERROR(C4519*INDEX(Harytlar!$D$5:$D$44,MATCH(B4519,Harytlar!$A$5:$A$44,0)),""))</f>
        <v/>
      </c>
    </row>
    <row r="4520" spans="1:7" x14ac:dyDescent="0.3">
      <c r="A4520" s="17"/>
      <c r="B4520" s="18"/>
      <c r="C4520" s="18"/>
      <c r="D4520" s="18"/>
      <c r="E4520" s="10" t="str">
        <f>IF(B4520="","",IFERROR(INDEX(Harytlar!$C$5:$C$44,MATCH(B4520,Harytlar!$A$5:$A$44,0)),""))</f>
        <v/>
      </c>
      <c r="F4520" s="10" t="str">
        <f t="shared" si="70"/>
        <v/>
      </c>
      <c r="G4520" s="10" t="str">
        <f>IF(OR(C4520="",B4520=""),"",IFERROR(C4520*INDEX(Harytlar!$D$5:$D$44,MATCH(B4520,Harytlar!$A$5:$A$44,0)),""))</f>
        <v/>
      </c>
    </row>
    <row r="4521" spans="1:7" x14ac:dyDescent="0.3">
      <c r="A4521" s="17"/>
      <c r="B4521" s="18"/>
      <c r="C4521" s="18"/>
      <c r="D4521" s="18"/>
      <c r="E4521" s="10" t="str">
        <f>IF(B4521="","",IFERROR(INDEX(Harytlar!$C$5:$C$44,MATCH(B4521,Harytlar!$A$5:$A$44,0)),""))</f>
        <v/>
      </c>
      <c r="F4521" s="10" t="str">
        <f t="shared" si="70"/>
        <v/>
      </c>
      <c r="G4521" s="10" t="str">
        <f>IF(OR(C4521="",B4521=""),"",IFERROR(C4521*INDEX(Harytlar!$D$5:$D$44,MATCH(B4521,Harytlar!$A$5:$A$44,0)),""))</f>
        <v/>
      </c>
    </row>
    <row r="4522" spans="1:7" x14ac:dyDescent="0.3">
      <c r="A4522" s="17"/>
      <c r="B4522" s="18"/>
      <c r="C4522" s="18"/>
      <c r="D4522" s="18"/>
      <c r="E4522" s="10" t="str">
        <f>IF(B4522="","",IFERROR(INDEX(Harytlar!$C$5:$C$44,MATCH(B4522,Harytlar!$A$5:$A$44,0)),""))</f>
        <v/>
      </c>
      <c r="F4522" s="10" t="str">
        <f t="shared" si="70"/>
        <v/>
      </c>
      <c r="G4522" s="10" t="str">
        <f>IF(OR(C4522="",B4522=""),"",IFERROR(C4522*INDEX(Harytlar!$D$5:$D$44,MATCH(B4522,Harytlar!$A$5:$A$44,0)),""))</f>
        <v/>
      </c>
    </row>
    <row r="4523" spans="1:7" x14ac:dyDescent="0.3">
      <c r="A4523" s="17"/>
      <c r="B4523" s="18"/>
      <c r="C4523" s="18"/>
      <c r="D4523" s="18"/>
      <c r="E4523" s="10" t="str">
        <f>IF(B4523="","",IFERROR(INDEX(Harytlar!$C$5:$C$44,MATCH(B4523,Harytlar!$A$5:$A$44,0)),""))</f>
        <v/>
      </c>
      <c r="F4523" s="10" t="str">
        <f t="shared" si="70"/>
        <v/>
      </c>
      <c r="G4523" s="10" t="str">
        <f>IF(OR(C4523="",B4523=""),"",IFERROR(C4523*INDEX(Harytlar!$D$5:$D$44,MATCH(B4523,Harytlar!$A$5:$A$44,0)),""))</f>
        <v/>
      </c>
    </row>
    <row r="4524" spans="1:7" x14ac:dyDescent="0.3">
      <c r="A4524" s="17"/>
      <c r="B4524" s="18"/>
      <c r="C4524" s="18"/>
      <c r="D4524" s="18"/>
      <c r="E4524" s="10" t="str">
        <f>IF(B4524="","",IFERROR(INDEX(Harytlar!$C$5:$C$44,MATCH(B4524,Harytlar!$A$5:$A$44,0)),""))</f>
        <v/>
      </c>
      <c r="F4524" s="10" t="str">
        <f t="shared" si="70"/>
        <v/>
      </c>
      <c r="G4524" s="10" t="str">
        <f>IF(OR(C4524="",B4524=""),"",IFERROR(C4524*INDEX(Harytlar!$D$5:$D$44,MATCH(B4524,Harytlar!$A$5:$A$44,0)),""))</f>
        <v/>
      </c>
    </row>
    <row r="4525" spans="1:7" x14ac:dyDescent="0.3">
      <c r="A4525" s="17"/>
      <c r="B4525" s="18"/>
      <c r="C4525" s="18"/>
      <c r="D4525" s="18"/>
      <c r="E4525" s="10" t="str">
        <f>IF(B4525="","",IFERROR(INDEX(Harytlar!$C$5:$C$44,MATCH(B4525,Harytlar!$A$5:$A$44,0)),""))</f>
        <v/>
      </c>
      <c r="F4525" s="10" t="str">
        <f t="shared" si="70"/>
        <v/>
      </c>
      <c r="G4525" s="10" t="str">
        <f>IF(OR(C4525="",B4525=""),"",IFERROR(C4525*INDEX(Harytlar!$D$5:$D$44,MATCH(B4525,Harytlar!$A$5:$A$44,0)),""))</f>
        <v/>
      </c>
    </row>
    <row r="4526" spans="1:7" x14ac:dyDescent="0.3">
      <c r="A4526" s="17"/>
      <c r="B4526" s="18"/>
      <c r="C4526" s="18"/>
      <c r="D4526" s="18"/>
      <c r="E4526" s="10" t="str">
        <f>IF(B4526="","",IFERROR(INDEX(Harytlar!$C$5:$C$44,MATCH(B4526,Harytlar!$A$5:$A$44,0)),""))</f>
        <v/>
      </c>
      <c r="F4526" s="10" t="str">
        <f t="shared" si="70"/>
        <v/>
      </c>
      <c r="G4526" s="10" t="str">
        <f>IF(OR(C4526="",B4526=""),"",IFERROR(C4526*INDEX(Harytlar!$D$5:$D$44,MATCH(B4526,Harytlar!$A$5:$A$44,0)),""))</f>
        <v/>
      </c>
    </row>
    <row r="4527" spans="1:7" x14ac:dyDescent="0.3">
      <c r="A4527" s="17"/>
      <c r="B4527" s="18"/>
      <c r="C4527" s="18"/>
      <c r="D4527" s="18"/>
      <c r="E4527" s="10" t="str">
        <f>IF(B4527="","",IFERROR(INDEX(Harytlar!$C$5:$C$44,MATCH(B4527,Harytlar!$A$5:$A$44,0)),""))</f>
        <v/>
      </c>
      <c r="F4527" s="10" t="str">
        <f t="shared" si="70"/>
        <v/>
      </c>
      <c r="G4527" s="10" t="str">
        <f>IF(OR(C4527="",B4527=""),"",IFERROR(C4527*INDEX(Harytlar!$D$5:$D$44,MATCH(B4527,Harytlar!$A$5:$A$44,0)),""))</f>
        <v/>
      </c>
    </row>
    <row r="4528" spans="1:7" x14ac:dyDescent="0.3">
      <c r="A4528" s="17"/>
      <c r="B4528" s="18"/>
      <c r="C4528" s="18"/>
      <c r="D4528" s="18"/>
      <c r="E4528" s="10" t="str">
        <f>IF(B4528="","",IFERROR(INDEX(Harytlar!$C$5:$C$44,MATCH(B4528,Harytlar!$A$5:$A$44,0)),""))</f>
        <v/>
      </c>
      <c r="F4528" s="10" t="str">
        <f t="shared" si="70"/>
        <v/>
      </c>
      <c r="G4528" s="10" t="str">
        <f>IF(OR(C4528="",B4528=""),"",IFERROR(C4528*INDEX(Harytlar!$D$5:$D$44,MATCH(B4528,Harytlar!$A$5:$A$44,0)),""))</f>
        <v/>
      </c>
    </row>
    <row r="4529" spans="1:7" x14ac:dyDescent="0.3">
      <c r="A4529" s="17"/>
      <c r="B4529" s="18"/>
      <c r="C4529" s="18"/>
      <c r="D4529" s="18"/>
      <c r="E4529" s="10" t="str">
        <f>IF(B4529="","",IFERROR(INDEX(Harytlar!$C$5:$C$44,MATCH(B4529,Harytlar!$A$5:$A$44,0)),""))</f>
        <v/>
      </c>
      <c r="F4529" s="10" t="str">
        <f t="shared" si="70"/>
        <v/>
      </c>
      <c r="G4529" s="10" t="str">
        <f>IF(OR(C4529="",B4529=""),"",IFERROR(C4529*INDEX(Harytlar!$D$5:$D$44,MATCH(B4529,Harytlar!$A$5:$A$44,0)),""))</f>
        <v/>
      </c>
    </row>
    <row r="4530" spans="1:7" x14ac:dyDescent="0.3">
      <c r="A4530" s="17"/>
      <c r="B4530" s="18"/>
      <c r="C4530" s="18"/>
      <c r="D4530" s="18"/>
      <c r="E4530" s="10" t="str">
        <f>IF(B4530="","",IFERROR(INDEX(Harytlar!$C$5:$C$44,MATCH(B4530,Harytlar!$A$5:$A$44,0)),""))</f>
        <v/>
      </c>
      <c r="F4530" s="10" t="str">
        <f t="shared" si="70"/>
        <v/>
      </c>
      <c r="G4530" s="10" t="str">
        <f>IF(OR(C4530="",B4530=""),"",IFERROR(C4530*INDEX(Harytlar!$D$5:$D$44,MATCH(B4530,Harytlar!$A$5:$A$44,0)),""))</f>
        <v/>
      </c>
    </row>
    <row r="4531" spans="1:7" x14ac:dyDescent="0.3">
      <c r="A4531" s="17"/>
      <c r="B4531" s="18"/>
      <c r="C4531" s="18"/>
      <c r="D4531" s="18"/>
      <c r="E4531" s="10" t="str">
        <f>IF(B4531="","",IFERROR(INDEX(Harytlar!$C$5:$C$44,MATCH(B4531,Harytlar!$A$5:$A$44,0)),""))</f>
        <v/>
      </c>
      <c r="F4531" s="10" t="str">
        <f t="shared" si="70"/>
        <v/>
      </c>
      <c r="G4531" s="10" t="str">
        <f>IF(OR(C4531="",B4531=""),"",IFERROR(C4531*INDEX(Harytlar!$D$5:$D$44,MATCH(B4531,Harytlar!$A$5:$A$44,0)),""))</f>
        <v/>
      </c>
    </row>
    <row r="4532" spans="1:7" x14ac:dyDescent="0.3">
      <c r="A4532" s="17"/>
      <c r="B4532" s="18"/>
      <c r="C4532" s="18"/>
      <c r="D4532" s="18"/>
      <c r="E4532" s="10" t="str">
        <f>IF(B4532="","",IFERROR(INDEX(Harytlar!$C$5:$C$44,MATCH(B4532,Harytlar!$A$5:$A$44,0)),""))</f>
        <v/>
      </c>
      <c r="F4532" s="10" t="str">
        <f t="shared" si="70"/>
        <v/>
      </c>
      <c r="G4532" s="10" t="str">
        <f>IF(OR(C4532="",B4532=""),"",IFERROR(C4532*INDEX(Harytlar!$D$5:$D$44,MATCH(B4532,Harytlar!$A$5:$A$44,0)),""))</f>
        <v/>
      </c>
    </row>
    <row r="4533" spans="1:7" x14ac:dyDescent="0.3">
      <c r="A4533" s="17"/>
      <c r="B4533" s="18"/>
      <c r="C4533" s="18"/>
      <c r="D4533" s="18"/>
      <c r="E4533" s="10" t="str">
        <f>IF(B4533="","",IFERROR(INDEX(Harytlar!$C$5:$C$44,MATCH(B4533,Harytlar!$A$5:$A$44,0)),""))</f>
        <v/>
      </c>
      <c r="F4533" s="10" t="str">
        <f t="shared" si="70"/>
        <v/>
      </c>
      <c r="G4533" s="10" t="str">
        <f>IF(OR(C4533="",B4533=""),"",IFERROR(C4533*INDEX(Harytlar!$D$5:$D$44,MATCH(B4533,Harytlar!$A$5:$A$44,0)),""))</f>
        <v/>
      </c>
    </row>
    <row r="4534" spans="1:7" x14ac:dyDescent="0.3">
      <c r="A4534" s="17"/>
      <c r="B4534" s="18"/>
      <c r="C4534" s="18"/>
      <c r="D4534" s="18"/>
      <c r="E4534" s="10" t="str">
        <f>IF(B4534="","",IFERROR(INDEX(Harytlar!$C$5:$C$44,MATCH(B4534,Harytlar!$A$5:$A$44,0)),""))</f>
        <v/>
      </c>
      <c r="F4534" s="10" t="str">
        <f t="shared" si="70"/>
        <v/>
      </c>
      <c r="G4534" s="10" t="str">
        <f>IF(OR(C4534="",B4534=""),"",IFERROR(C4534*INDEX(Harytlar!$D$5:$D$44,MATCH(B4534,Harytlar!$A$5:$A$44,0)),""))</f>
        <v/>
      </c>
    </row>
    <row r="4535" spans="1:7" x14ac:dyDescent="0.3">
      <c r="A4535" s="17"/>
      <c r="B4535" s="18"/>
      <c r="C4535" s="18"/>
      <c r="D4535" s="18"/>
      <c r="E4535" s="10" t="str">
        <f>IF(B4535="","",IFERROR(INDEX(Harytlar!$C$5:$C$44,MATCH(B4535,Harytlar!$A$5:$A$44,0)),""))</f>
        <v/>
      </c>
      <c r="F4535" s="10" t="str">
        <f t="shared" si="70"/>
        <v/>
      </c>
      <c r="G4535" s="10" t="str">
        <f>IF(OR(C4535="",B4535=""),"",IFERROR(C4535*INDEX(Harytlar!$D$5:$D$44,MATCH(B4535,Harytlar!$A$5:$A$44,0)),""))</f>
        <v/>
      </c>
    </row>
    <row r="4536" spans="1:7" x14ac:dyDescent="0.3">
      <c r="A4536" s="17"/>
      <c r="B4536" s="18"/>
      <c r="C4536" s="18"/>
      <c r="D4536" s="18"/>
      <c r="E4536" s="10" t="str">
        <f>IF(B4536="","",IFERROR(INDEX(Harytlar!$C$5:$C$44,MATCH(B4536,Harytlar!$A$5:$A$44,0)),""))</f>
        <v/>
      </c>
      <c r="F4536" s="10" t="str">
        <f t="shared" si="70"/>
        <v/>
      </c>
      <c r="G4536" s="10" t="str">
        <f>IF(OR(C4536="",B4536=""),"",IFERROR(C4536*INDEX(Harytlar!$D$5:$D$44,MATCH(B4536,Harytlar!$A$5:$A$44,0)),""))</f>
        <v/>
      </c>
    </row>
    <row r="4537" spans="1:7" x14ac:dyDescent="0.3">
      <c r="A4537" s="17"/>
      <c r="B4537" s="18"/>
      <c r="C4537" s="18"/>
      <c r="D4537" s="18"/>
      <c r="E4537" s="10" t="str">
        <f>IF(B4537="","",IFERROR(INDEX(Harytlar!$C$5:$C$44,MATCH(B4537,Harytlar!$A$5:$A$44,0)),""))</f>
        <v/>
      </c>
      <c r="F4537" s="10" t="str">
        <f t="shared" si="70"/>
        <v/>
      </c>
      <c r="G4537" s="10" t="str">
        <f>IF(OR(C4537="",B4537=""),"",IFERROR(C4537*INDEX(Harytlar!$D$5:$D$44,MATCH(B4537,Harytlar!$A$5:$A$44,0)),""))</f>
        <v/>
      </c>
    </row>
    <row r="4538" spans="1:7" x14ac:dyDescent="0.3">
      <c r="A4538" s="17"/>
      <c r="B4538" s="18"/>
      <c r="C4538" s="18"/>
      <c r="D4538" s="18"/>
      <c r="E4538" s="10" t="str">
        <f>IF(B4538="","",IFERROR(INDEX(Harytlar!$C$5:$C$44,MATCH(B4538,Harytlar!$A$5:$A$44,0)),""))</f>
        <v/>
      </c>
      <c r="F4538" s="10" t="str">
        <f t="shared" si="70"/>
        <v/>
      </c>
      <c r="G4538" s="10" t="str">
        <f>IF(OR(C4538="",B4538=""),"",IFERROR(C4538*INDEX(Harytlar!$D$5:$D$44,MATCH(B4538,Harytlar!$A$5:$A$44,0)),""))</f>
        <v/>
      </c>
    </row>
    <row r="4539" spans="1:7" x14ac:dyDescent="0.3">
      <c r="A4539" s="17"/>
      <c r="B4539" s="18"/>
      <c r="C4539" s="18"/>
      <c r="D4539" s="18"/>
      <c r="E4539" s="10" t="str">
        <f>IF(B4539="","",IFERROR(INDEX(Harytlar!$C$5:$C$44,MATCH(B4539,Harytlar!$A$5:$A$44,0)),""))</f>
        <v/>
      </c>
      <c r="F4539" s="10" t="str">
        <f t="shared" si="70"/>
        <v/>
      </c>
      <c r="G4539" s="10" t="str">
        <f>IF(OR(C4539="",B4539=""),"",IFERROR(C4539*INDEX(Harytlar!$D$5:$D$44,MATCH(B4539,Harytlar!$A$5:$A$44,0)),""))</f>
        <v/>
      </c>
    </row>
    <row r="4540" spans="1:7" x14ac:dyDescent="0.3">
      <c r="A4540" s="17"/>
      <c r="B4540" s="18"/>
      <c r="C4540" s="18"/>
      <c r="D4540" s="18"/>
      <c r="E4540" s="10" t="str">
        <f>IF(B4540="","",IFERROR(INDEX(Harytlar!$C$5:$C$44,MATCH(B4540,Harytlar!$A$5:$A$44,0)),""))</f>
        <v/>
      </c>
      <c r="F4540" s="10" t="str">
        <f t="shared" si="70"/>
        <v/>
      </c>
      <c r="G4540" s="10" t="str">
        <f>IF(OR(C4540="",B4540=""),"",IFERROR(C4540*INDEX(Harytlar!$D$5:$D$44,MATCH(B4540,Harytlar!$A$5:$A$44,0)),""))</f>
        <v/>
      </c>
    </row>
    <row r="4541" spans="1:7" x14ac:dyDescent="0.3">
      <c r="A4541" s="17"/>
      <c r="B4541" s="18"/>
      <c r="C4541" s="18"/>
      <c r="D4541" s="18"/>
      <c r="E4541" s="10" t="str">
        <f>IF(B4541="","",IFERROR(INDEX(Harytlar!$C$5:$C$44,MATCH(B4541,Harytlar!$A$5:$A$44,0)),""))</f>
        <v/>
      </c>
      <c r="F4541" s="10" t="str">
        <f t="shared" si="70"/>
        <v/>
      </c>
      <c r="G4541" s="10" t="str">
        <f>IF(OR(C4541="",B4541=""),"",IFERROR(C4541*INDEX(Harytlar!$D$5:$D$44,MATCH(B4541,Harytlar!$A$5:$A$44,0)),""))</f>
        <v/>
      </c>
    </row>
    <row r="4542" spans="1:7" x14ac:dyDescent="0.3">
      <c r="A4542" s="17"/>
      <c r="B4542" s="18"/>
      <c r="C4542" s="18"/>
      <c r="D4542" s="18"/>
      <c r="E4542" s="10" t="str">
        <f>IF(B4542="","",IFERROR(INDEX(Harytlar!$C$5:$C$44,MATCH(B4542,Harytlar!$A$5:$A$44,0)),""))</f>
        <v/>
      </c>
      <c r="F4542" s="10" t="str">
        <f t="shared" si="70"/>
        <v/>
      </c>
      <c r="G4542" s="10" t="str">
        <f>IF(OR(C4542="",B4542=""),"",IFERROR(C4542*INDEX(Harytlar!$D$5:$D$44,MATCH(B4542,Harytlar!$A$5:$A$44,0)),""))</f>
        <v/>
      </c>
    </row>
    <row r="4543" spans="1:7" x14ac:dyDescent="0.3">
      <c r="A4543" s="17"/>
      <c r="B4543" s="18"/>
      <c r="C4543" s="18"/>
      <c r="D4543" s="18"/>
      <c r="E4543" s="10" t="str">
        <f>IF(B4543="","",IFERROR(INDEX(Harytlar!$C$5:$C$44,MATCH(B4543,Harytlar!$A$5:$A$44,0)),""))</f>
        <v/>
      </c>
      <c r="F4543" s="10" t="str">
        <f t="shared" si="70"/>
        <v/>
      </c>
      <c r="G4543" s="10" t="str">
        <f>IF(OR(C4543="",B4543=""),"",IFERROR(C4543*INDEX(Harytlar!$D$5:$D$44,MATCH(B4543,Harytlar!$A$5:$A$44,0)),""))</f>
        <v/>
      </c>
    </row>
    <row r="4544" spans="1:7" x14ac:dyDescent="0.3">
      <c r="A4544" s="17"/>
      <c r="B4544" s="18"/>
      <c r="C4544" s="18"/>
      <c r="D4544" s="18"/>
      <c r="E4544" s="10" t="str">
        <f>IF(B4544="","",IFERROR(INDEX(Harytlar!$C$5:$C$44,MATCH(B4544,Harytlar!$A$5:$A$44,0)),""))</f>
        <v/>
      </c>
      <c r="F4544" s="10" t="str">
        <f t="shared" si="70"/>
        <v/>
      </c>
      <c r="G4544" s="10" t="str">
        <f>IF(OR(C4544="",B4544=""),"",IFERROR(C4544*INDEX(Harytlar!$D$5:$D$44,MATCH(B4544,Harytlar!$A$5:$A$44,0)),""))</f>
        <v/>
      </c>
    </row>
    <row r="4545" spans="1:7" x14ac:dyDescent="0.3">
      <c r="A4545" s="17"/>
      <c r="B4545" s="18"/>
      <c r="C4545" s="18"/>
      <c r="D4545" s="18"/>
      <c r="E4545" s="10" t="str">
        <f>IF(B4545="","",IFERROR(INDEX(Harytlar!$C$5:$C$44,MATCH(B4545,Harytlar!$A$5:$A$44,0)),""))</f>
        <v/>
      </c>
      <c r="F4545" s="10" t="str">
        <f t="shared" si="70"/>
        <v/>
      </c>
      <c r="G4545" s="10" t="str">
        <f>IF(OR(C4545="",B4545=""),"",IFERROR(C4545*INDEX(Harytlar!$D$5:$D$44,MATCH(B4545,Harytlar!$A$5:$A$44,0)),""))</f>
        <v/>
      </c>
    </row>
    <row r="4546" spans="1:7" x14ac:dyDescent="0.3">
      <c r="A4546" s="17"/>
      <c r="B4546" s="18"/>
      <c r="C4546" s="18"/>
      <c r="D4546" s="18"/>
      <c r="E4546" s="10" t="str">
        <f>IF(B4546="","",IFERROR(INDEX(Harytlar!$C$5:$C$44,MATCH(B4546,Harytlar!$A$5:$A$44,0)),""))</f>
        <v/>
      </c>
      <c r="F4546" s="10" t="str">
        <f t="shared" si="70"/>
        <v/>
      </c>
      <c r="G4546" s="10" t="str">
        <f>IF(OR(C4546="",B4546=""),"",IFERROR(C4546*INDEX(Harytlar!$D$5:$D$44,MATCH(B4546,Harytlar!$A$5:$A$44,0)),""))</f>
        <v/>
      </c>
    </row>
    <row r="4547" spans="1:7" x14ac:dyDescent="0.3">
      <c r="A4547" s="17"/>
      <c r="B4547" s="18"/>
      <c r="C4547" s="18"/>
      <c r="D4547" s="18"/>
      <c r="E4547" s="10" t="str">
        <f>IF(B4547="","",IFERROR(INDEX(Harytlar!$C$5:$C$44,MATCH(B4547,Harytlar!$A$5:$A$44,0)),""))</f>
        <v/>
      </c>
      <c r="F4547" s="10" t="str">
        <f t="shared" si="70"/>
        <v/>
      </c>
      <c r="G4547" s="10" t="str">
        <f>IF(OR(C4547="",B4547=""),"",IFERROR(C4547*INDEX(Harytlar!$D$5:$D$44,MATCH(B4547,Harytlar!$A$5:$A$44,0)),""))</f>
        <v/>
      </c>
    </row>
    <row r="4548" spans="1:7" x14ac:dyDescent="0.3">
      <c r="A4548" s="17"/>
      <c r="B4548" s="18"/>
      <c r="C4548" s="18"/>
      <c r="D4548" s="18"/>
      <c r="E4548" s="10" t="str">
        <f>IF(B4548="","",IFERROR(INDEX(Harytlar!$C$5:$C$44,MATCH(B4548,Harytlar!$A$5:$A$44,0)),""))</f>
        <v/>
      </c>
      <c r="F4548" s="10" t="str">
        <f t="shared" si="70"/>
        <v/>
      </c>
      <c r="G4548" s="10" t="str">
        <f>IF(OR(C4548="",B4548=""),"",IFERROR(C4548*INDEX(Harytlar!$D$5:$D$44,MATCH(B4548,Harytlar!$A$5:$A$44,0)),""))</f>
        <v/>
      </c>
    </row>
    <row r="4549" spans="1:7" x14ac:dyDescent="0.3">
      <c r="A4549" s="17"/>
      <c r="B4549" s="18"/>
      <c r="C4549" s="18"/>
      <c r="D4549" s="18"/>
      <c r="E4549" s="10" t="str">
        <f>IF(B4549="","",IFERROR(INDEX(Harytlar!$C$5:$C$44,MATCH(B4549,Harytlar!$A$5:$A$44,0)),""))</f>
        <v/>
      </c>
      <c r="F4549" s="10" t="str">
        <f t="shared" si="70"/>
        <v/>
      </c>
      <c r="G4549" s="10" t="str">
        <f>IF(OR(C4549="",B4549=""),"",IFERROR(C4549*INDEX(Harytlar!$D$5:$D$44,MATCH(B4549,Harytlar!$A$5:$A$44,0)),""))</f>
        <v/>
      </c>
    </row>
    <row r="4550" spans="1:7" x14ac:dyDescent="0.3">
      <c r="A4550" s="17"/>
      <c r="B4550" s="18"/>
      <c r="C4550" s="18"/>
      <c r="D4550" s="18"/>
      <c r="E4550" s="10" t="str">
        <f>IF(B4550="","",IFERROR(INDEX(Harytlar!$C$5:$C$44,MATCH(B4550,Harytlar!$A$5:$A$44,0)),""))</f>
        <v/>
      </c>
      <c r="F4550" s="10" t="str">
        <f t="shared" ref="F4550:F4613" si="71">IF(OR(C4550="",E4550=""),"",C4550*E4550)</f>
        <v/>
      </c>
      <c r="G4550" s="10" t="str">
        <f>IF(OR(C4550="",B4550=""),"",IFERROR(C4550*INDEX(Harytlar!$D$5:$D$44,MATCH(B4550,Harytlar!$A$5:$A$44,0)),""))</f>
        <v/>
      </c>
    </row>
    <row r="4551" spans="1:7" x14ac:dyDescent="0.3">
      <c r="A4551" s="17"/>
      <c r="B4551" s="18"/>
      <c r="C4551" s="18"/>
      <c r="D4551" s="18"/>
      <c r="E4551" s="10" t="str">
        <f>IF(B4551="","",IFERROR(INDEX(Harytlar!$C$5:$C$44,MATCH(B4551,Harytlar!$A$5:$A$44,0)),""))</f>
        <v/>
      </c>
      <c r="F4551" s="10" t="str">
        <f t="shared" si="71"/>
        <v/>
      </c>
      <c r="G4551" s="10" t="str">
        <f>IF(OR(C4551="",B4551=""),"",IFERROR(C4551*INDEX(Harytlar!$D$5:$D$44,MATCH(B4551,Harytlar!$A$5:$A$44,0)),""))</f>
        <v/>
      </c>
    </row>
    <row r="4552" spans="1:7" x14ac:dyDescent="0.3">
      <c r="A4552" s="17"/>
      <c r="B4552" s="18"/>
      <c r="C4552" s="18"/>
      <c r="D4552" s="18"/>
      <c r="E4552" s="10" t="str">
        <f>IF(B4552="","",IFERROR(INDEX(Harytlar!$C$5:$C$44,MATCH(B4552,Harytlar!$A$5:$A$44,0)),""))</f>
        <v/>
      </c>
      <c r="F4552" s="10" t="str">
        <f t="shared" si="71"/>
        <v/>
      </c>
      <c r="G4552" s="10" t="str">
        <f>IF(OR(C4552="",B4552=""),"",IFERROR(C4552*INDEX(Harytlar!$D$5:$D$44,MATCH(B4552,Harytlar!$A$5:$A$44,0)),""))</f>
        <v/>
      </c>
    </row>
    <row r="4553" spans="1:7" x14ac:dyDescent="0.3">
      <c r="A4553" s="17"/>
      <c r="B4553" s="18"/>
      <c r="C4553" s="18"/>
      <c r="D4553" s="18"/>
      <c r="E4553" s="10" t="str">
        <f>IF(B4553="","",IFERROR(INDEX(Harytlar!$C$5:$C$44,MATCH(B4553,Harytlar!$A$5:$A$44,0)),""))</f>
        <v/>
      </c>
      <c r="F4553" s="10" t="str">
        <f t="shared" si="71"/>
        <v/>
      </c>
      <c r="G4553" s="10" t="str">
        <f>IF(OR(C4553="",B4553=""),"",IFERROR(C4553*INDEX(Harytlar!$D$5:$D$44,MATCH(B4553,Harytlar!$A$5:$A$44,0)),""))</f>
        <v/>
      </c>
    </row>
    <row r="4554" spans="1:7" x14ac:dyDescent="0.3">
      <c r="A4554" s="17"/>
      <c r="B4554" s="18"/>
      <c r="C4554" s="18"/>
      <c r="D4554" s="18"/>
      <c r="E4554" s="10" t="str">
        <f>IF(B4554="","",IFERROR(INDEX(Harytlar!$C$5:$C$44,MATCH(B4554,Harytlar!$A$5:$A$44,0)),""))</f>
        <v/>
      </c>
      <c r="F4554" s="10" t="str">
        <f t="shared" si="71"/>
        <v/>
      </c>
      <c r="G4554" s="10" t="str">
        <f>IF(OR(C4554="",B4554=""),"",IFERROR(C4554*INDEX(Harytlar!$D$5:$D$44,MATCH(B4554,Harytlar!$A$5:$A$44,0)),""))</f>
        <v/>
      </c>
    </row>
    <row r="4555" spans="1:7" x14ac:dyDescent="0.3">
      <c r="A4555" s="17"/>
      <c r="B4555" s="18"/>
      <c r="C4555" s="18"/>
      <c r="D4555" s="18"/>
      <c r="E4555" s="10" t="str">
        <f>IF(B4555="","",IFERROR(INDEX(Harytlar!$C$5:$C$44,MATCH(B4555,Harytlar!$A$5:$A$44,0)),""))</f>
        <v/>
      </c>
      <c r="F4555" s="10" t="str">
        <f t="shared" si="71"/>
        <v/>
      </c>
      <c r="G4555" s="10" t="str">
        <f>IF(OR(C4555="",B4555=""),"",IFERROR(C4555*INDEX(Harytlar!$D$5:$D$44,MATCH(B4555,Harytlar!$A$5:$A$44,0)),""))</f>
        <v/>
      </c>
    </row>
    <row r="4556" spans="1:7" x14ac:dyDescent="0.3">
      <c r="A4556" s="17"/>
      <c r="B4556" s="18"/>
      <c r="C4556" s="18"/>
      <c r="D4556" s="18"/>
      <c r="E4556" s="10" t="str">
        <f>IF(B4556="","",IFERROR(INDEX(Harytlar!$C$5:$C$44,MATCH(B4556,Harytlar!$A$5:$A$44,0)),""))</f>
        <v/>
      </c>
      <c r="F4556" s="10" t="str">
        <f t="shared" si="71"/>
        <v/>
      </c>
      <c r="G4556" s="10" t="str">
        <f>IF(OR(C4556="",B4556=""),"",IFERROR(C4556*INDEX(Harytlar!$D$5:$D$44,MATCH(B4556,Harytlar!$A$5:$A$44,0)),""))</f>
        <v/>
      </c>
    </row>
    <row r="4557" spans="1:7" x14ac:dyDescent="0.3">
      <c r="A4557" s="17"/>
      <c r="B4557" s="18"/>
      <c r="C4557" s="18"/>
      <c r="D4557" s="18"/>
      <c r="E4557" s="10" t="str">
        <f>IF(B4557="","",IFERROR(INDEX(Harytlar!$C$5:$C$44,MATCH(B4557,Harytlar!$A$5:$A$44,0)),""))</f>
        <v/>
      </c>
      <c r="F4557" s="10" t="str">
        <f t="shared" si="71"/>
        <v/>
      </c>
      <c r="G4557" s="10" t="str">
        <f>IF(OR(C4557="",B4557=""),"",IFERROR(C4557*INDEX(Harytlar!$D$5:$D$44,MATCH(B4557,Harytlar!$A$5:$A$44,0)),""))</f>
        <v/>
      </c>
    </row>
    <row r="4558" spans="1:7" x14ac:dyDescent="0.3">
      <c r="A4558" s="17"/>
      <c r="B4558" s="18"/>
      <c r="C4558" s="18"/>
      <c r="D4558" s="18"/>
      <c r="E4558" s="10" t="str">
        <f>IF(B4558="","",IFERROR(INDEX(Harytlar!$C$5:$C$44,MATCH(B4558,Harytlar!$A$5:$A$44,0)),""))</f>
        <v/>
      </c>
      <c r="F4558" s="10" t="str">
        <f t="shared" si="71"/>
        <v/>
      </c>
      <c r="G4558" s="10" t="str">
        <f>IF(OR(C4558="",B4558=""),"",IFERROR(C4558*INDEX(Harytlar!$D$5:$D$44,MATCH(B4558,Harytlar!$A$5:$A$44,0)),""))</f>
        <v/>
      </c>
    </row>
    <row r="4559" spans="1:7" x14ac:dyDescent="0.3">
      <c r="A4559" s="17"/>
      <c r="B4559" s="18"/>
      <c r="C4559" s="18"/>
      <c r="D4559" s="18"/>
      <c r="E4559" s="10" t="str">
        <f>IF(B4559="","",IFERROR(INDEX(Harytlar!$C$5:$C$44,MATCH(B4559,Harytlar!$A$5:$A$44,0)),""))</f>
        <v/>
      </c>
      <c r="F4559" s="10" t="str">
        <f t="shared" si="71"/>
        <v/>
      </c>
      <c r="G4559" s="10" t="str">
        <f>IF(OR(C4559="",B4559=""),"",IFERROR(C4559*INDEX(Harytlar!$D$5:$D$44,MATCH(B4559,Harytlar!$A$5:$A$44,0)),""))</f>
        <v/>
      </c>
    </row>
    <row r="4560" spans="1:7" x14ac:dyDescent="0.3">
      <c r="A4560" s="17"/>
      <c r="B4560" s="18"/>
      <c r="C4560" s="18"/>
      <c r="D4560" s="18"/>
      <c r="E4560" s="10" t="str">
        <f>IF(B4560="","",IFERROR(INDEX(Harytlar!$C$5:$C$44,MATCH(B4560,Harytlar!$A$5:$A$44,0)),""))</f>
        <v/>
      </c>
      <c r="F4560" s="10" t="str">
        <f t="shared" si="71"/>
        <v/>
      </c>
      <c r="G4560" s="10" t="str">
        <f>IF(OR(C4560="",B4560=""),"",IFERROR(C4560*INDEX(Harytlar!$D$5:$D$44,MATCH(B4560,Harytlar!$A$5:$A$44,0)),""))</f>
        <v/>
      </c>
    </row>
    <row r="4561" spans="1:7" x14ac:dyDescent="0.3">
      <c r="A4561" s="17"/>
      <c r="B4561" s="18"/>
      <c r="C4561" s="18"/>
      <c r="D4561" s="18"/>
      <c r="E4561" s="10" t="str">
        <f>IF(B4561="","",IFERROR(INDEX(Harytlar!$C$5:$C$44,MATCH(B4561,Harytlar!$A$5:$A$44,0)),""))</f>
        <v/>
      </c>
      <c r="F4561" s="10" t="str">
        <f t="shared" si="71"/>
        <v/>
      </c>
      <c r="G4561" s="10" t="str">
        <f>IF(OR(C4561="",B4561=""),"",IFERROR(C4561*INDEX(Harytlar!$D$5:$D$44,MATCH(B4561,Harytlar!$A$5:$A$44,0)),""))</f>
        <v/>
      </c>
    </row>
    <row r="4562" spans="1:7" x14ac:dyDescent="0.3">
      <c r="A4562" s="17"/>
      <c r="B4562" s="18"/>
      <c r="C4562" s="18"/>
      <c r="D4562" s="18"/>
      <c r="E4562" s="10" t="str">
        <f>IF(B4562="","",IFERROR(INDEX(Harytlar!$C$5:$C$44,MATCH(B4562,Harytlar!$A$5:$A$44,0)),""))</f>
        <v/>
      </c>
      <c r="F4562" s="10" t="str">
        <f t="shared" si="71"/>
        <v/>
      </c>
      <c r="G4562" s="10" t="str">
        <f>IF(OR(C4562="",B4562=""),"",IFERROR(C4562*INDEX(Harytlar!$D$5:$D$44,MATCH(B4562,Harytlar!$A$5:$A$44,0)),""))</f>
        <v/>
      </c>
    </row>
    <row r="4563" spans="1:7" x14ac:dyDescent="0.3">
      <c r="A4563" s="17"/>
      <c r="B4563" s="18"/>
      <c r="C4563" s="18"/>
      <c r="D4563" s="18"/>
      <c r="E4563" s="10" t="str">
        <f>IF(B4563="","",IFERROR(INDEX(Harytlar!$C$5:$C$44,MATCH(B4563,Harytlar!$A$5:$A$44,0)),""))</f>
        <v/>
      </c>
      <c r="F4563" s="10" t="str">
        <f t="shared" si="71"/>
        <v/>
      </c>
      <c r="G4563" s="10" t="str">
        <f>IF(OR(C4563="",B4563=""),"",IFERROR(C4563*INDEX(Harytlar!$D$5:$D$44,MATCH(B4563,Harytlar!$A$5:$A$44,0)),""))</f>
        <v/>
      </c>
    </row>
    <row r="4564" spans="1:7" x14ac:dyDescent="0.3">
      <c r="A4564" s="17"/>
      <c r="B4564" s="18"/>
      <c r="C4564" s="18"/>
      <c r="D4564" s="18"/>
      <c r="E4564" s="10" t="str">
        <f>IF(B4564="","",IFERROR(INDEX(Harytlar!$C$5:$C$44,MATCH(B4564,Harytlar!$A$5:$A$44,0)),""))</f>
        <v/>
      </c>
      <c r="F4564" s="10" t="str">
        <f t="shared" si="71"/>
        <v/>
      </c>
      <c r="G4564" s="10" t="str">
        <f>IF(OR(C4564="",B4564=""),"",IFERROR(C4564*INDEX(Harytlar!$D$5:$D$44,MATCH(B4564,Harytlar!$A$5:$A$44,0)),""))</f>
        <v/>
      </c>
    </row>
    <row r="4565" spans="1:7" x14ac:dyDescent="0.3">
      <c r="A4565" s="17"/>
      <c r="B4565" s="18"/>
      <c r="C4565" s="18"/>
      <c r="D4565" s="18"/>
      <c r="E4565" s="10" t="str">
        <f>IF(B4565="","",IFERROR(INDEX(Harytlar!$C$5:$C$44,MATCH(B4565,Harytlar!$A$5:$A$44,0)),""))</f>
        <v/>
      </c>
      <c r="F4565" s="10" t="str">
        <f t="shared" si="71"/>
        <v/>
      </c>
      <c r="G4565" s="10" t="str">
        <f>IF(OR(C4565="",B4565=""),"",IFERROR(C4565*INDEX(Harytlar!$D$5:$D$44,MATCH(B4565,Harytlar!$A$5:$A$44,0)),""))</f>
        <v/>
      </c>
    </row>
    <row r="4566" spans="1:7" x14ac:dyDescent="0.3">
      <c r="A4566" s="17"/>
      <c r="B4566" s="18"/>
      <c r="C4566" s="18"/>
      <c r="D4566" s="18"/>
      <c r="E4566" s="10" t="str">
        <f>IF(B4566="","",IFERROR(INDEX(Harytlar!$C$5:$C$44,MATCH(B4566,Harytlar!$A$5:$A$44,0)),""))</f>
        <v/>
      </c>
      <c r="F4566" s="10" t="str">
        <f t="shared" si="71"/>
        <v/>
      </c>
      <c r="G4566" s="10" t="str">
        <f>IF(OR(C4566="",B4566=""),"",IFERROR(C4566*INDEX(Harytlar!$D$5:$D$44,MATCH(B4566,Harytlar!$A$5:$A$44,0)),""))</f>
        <v/>
      </c>
    </row>
    <row r="4567" spans="1:7" x14ac:dyDescent="0.3">
      <c r="A4567" s="17"/>
      <c r="B4567" s="18"/>
      <c r="C4567" s="18"/>
      <c r="D4567" s="18"/>
      <c r="E4567" s="10" t="str">
        <f>IF(B4567="","",IFERROR(INDEX(Harytlar!$C$5:$C$44,MATCH(B4567,Harytlar!$A$5:$A$44,0)),""))</f>
        <v/>
      </c>
      <c r="F4567" s="10" t="str">
        <f t="shared" si="71"/>
        <v/>
      </c>
      <c r="G4567" s="10" t="str">
        <f>IF(OR(C4567="",B4567=""),"",IFERROR(C4567*INDEX(Harytlar!$D$5:$D$44,MATCH(B4567,Harytlar!$A$5:$A$44,0)),""))</f>
        <v/>
      </c>
    </row>
    <row r="4568" spans="1:7" x14ac:dyDescent="0.3">
      <c r="A4568" s="17"/>
      <c r="B4568" s="18"/>
      <c r="C4568" s="18"/>
      <c r="D4568" s="18"/>
      <c r="E4568" s="10" t="str">
        <f>IF(B4568="","",IFERROR(INDEX(Harytlar!$C$5:$C$44,MATCH(B4568,Harytlar!$A$5:$A$44,0)),""))</f>
        <v/>
      </c>
      <c r="F4568" s="10" t="str">
        <f t="shared" si="71"/>
        <v/>
      </c>
      <c r="G4568" s="10" t="str">
        <f>IF(OR(C4568="",B4568=""),"",IFERROR(C4568*INDEX(Harytlar!$D$5:$D$44,MATCH(B4568,Harytlar!$A$5:$A$44,0)),""))</f>
        <v/>
      </c>
    </row>
    <row r="4569" spans="1:7" x14ac:dyDescent="0.3">
      <c r="A4569" s="17"/>
      <c r="B4569" s="18"/>
      <c r="C4569" s="18"/>
      <c r="D4569" s="18"/>
      <c r="E4569" s="10" t="str">
        <f>IF(B4569="","",IFERROR(INDEX(Harytlar!$C$5:$C$44,MATCH(B4569,Harytlar!$A$5:$A$44,0)),""))</f>
        <v/>
      </c>
      <c r="F4569" s="10" t="str">
        <f t="shared" si="71"/>
        <v/>
      </c>
      <c r="G4569" s="10" t="str">
        <f>IF(OR(C4569="",B4569=""),"",IFERROR(C4569*INDEX(Harytlar!$D$5:$D$44,MATCH(B4569,Harytlar!$A$5:$A$44,0)),""))</f>
        <v/>
      </c>
    </row>
    <row r="4570" spans="1:7" x14ac:dyDescent="0.3">
      <c r="A4570" s="17"/>
      <c r="B4570" s="18"/>
      <c r="C4570" s="18"/>
      <c r="D4570" s="18"/>
      <c r="E4570" s="10" t="str">
        <f>IF(B4570="","",IFERROR(INDEX(Harytlar!$C$5:$C$44,MATCH(B4570,Harytlar!$A$5:$A$44,0)),""))</f>
        <v/>
      </c>
      <c r="F4570" s="10" t="str">
        <f t="shared" si="71"/>
        <v/>
      </c>
      <c r="G4570" s="10" t="str">
        <f>IF(OR(C4570="",B4570=""),"",IFERROR(C4570*INDEX(Harytlar!$D$5:$D$44,MATCH(B4570,Harytlar!$A$5:$A$44,0)),""))</f>
        <v/>
      </c>
    </row>
    <row r="4571" spans="1:7" x14ac:dyDescent="0.3">
      <c r="A4571" s="17"/>
      <c r="B4571" s="18"/>
      <c r="C4571" s="18"/>
      <c r="D4571" s="18"/>
      <c r="E4571" s="10" t="str">
        <f>IF(B4571="","",IFERROR(INDEX(Harytlar!$C$5:$C$44,MATCH(B4571,Harytlar!$A$5:$A$44,0)),""))</f>
        <v/>
      </c>
      <c r="F4571" s="10" t="str">
        <f t="shared" si="71"/>
        <v/>
      </c>
      <c r="G4571" s="10" t="str">
        <f>IF(OR(C4571="",B4571=""),"",IFERROR(C4571*INDEX(Harytlar!$D$5:$D$44,MATCH(B4571,Harytlar!$A$5:$A$44,0)),""))</f>
        <v/>
      </c>
    </row>
    <row r="4572" spans="1:7" x14ac:dyDescent="0.3">
      <c r="A4572" s="17"/>
      <c r="B4572" s="18"/>
      <c r="C4572" s="18"/>
      <c r="D4572" s="18"/>
      <c r="E4572" s="10" t="str">
        <f>IF(B4572="","",IFERROR(INDEX(Harytlar!$C$5:$C$44,MATCH(B4572,Harytlar!$A$5:$A$44,0)),""))</f>
        <v/>
      </c>
      <c r="F4572" s="10" t="str">
        <f t="shared" si="71"/>
        <v/>
      </c>
      <c r="G4572" s="10" t="str">
        <f>IF(OR(C4572="",B4572=""),"",IFERROR(C4572*INDEX(Harytlar!$D$5:$D$44,MATCH(B4572,Harytlar!$A$5:$A$44,0)),""))</f>
        <v/>
      </c>
    </row>
    <row r="4573" spans="1:7" x14ac:dyDescent="0.3">
      <c r="A4573" s="17"/>
      <c r="B4573" s="18"/>
      <c r="C4573" s="18"/>
      <c r="D4573" s="18"/>
      <c r="E4573" s="10" t="str">
        <f>IF(B4573="","",IFERROR(INDEX(Harytlar!$C$5:$C$44,MATCH(B4573,Harytlar!$A$5:$A$44,0)),""))</f>
        <v/>
      </c>
      <c r="F4573" s="10" t="str">
        <f t="shared" si="71"/>
        <v/>
      </c>
      <c r="G4573" s="10" t="str">
        <f>IF(OR(C4573="",B4573=""),"",IFERROR(C4573*INDEX(Harytlar!$D$5:$D$44,MATCH(B4573,Harytlar!$A$5:$A$44,0)),""))</f>
        <v/>
      </c>
    </row>
    <row r="4574" spans="1:7" x14ac:dyDescent="0.3">
      <c r="A4574" s="17"/>
      <c r="B4574" s="18"/>
      <c r="C4574" s="18"/>
      <c r="D4574" s="18"/>
      <c r="E4574" s="10" t="str">
        <f>IF(B4574="","",IFERROR(INDEX(Harytlar!$C$5:$C$44,MATCH(B4574,Harytlar!$A$5:$A$44,0)),""))</f>
        <v/>
      </c>
      <c r="F4574" s="10" t="str">
        <f t="shared" si="71"/>
        <v/>
      </c>
      <c r="G4574" s="10" t="str">
        <f>IF(OR(C4574="",B4574=""),"",IFERROR(C4574*INDEX(Harytlar!$D$5:$D$44,MATCH(B4574,Harytlar!$A$5:$A$44,0)),""))</f>
        <v/>
      </c>
    </row>
    <row r="4575" spans="1:7" x14ac:dyDescent="0.3">
      <c r="A4575" s="17"/>
      <c r="B4575" s="18"/>
      <c r="C4575" s="18"/>
      <c r="D4575" s="18"/>
      <c r="E4575" s="10" t="str">
        <f>IF(B4575="","",IFERROR(INDEX(Harytlar!$C$5:$C$44,MATCH(B4575,Harytlar!$A$5:$A$44,0)),""))</f>
        <v/>
      </c>
      <c r="F4575" s="10" t="str">
        <f t="shared" si="71"/>
        <v/>
      </c>
      <c r="G4575" s="10" t="str">
        <f>IF(OR(C4575="",B4575=""),"",IFERROR(C4575*INDEX(Harytlar!$D$5:$D$44,MATCH(B4575,Harytlar!$A$5:$A$44,0)),""))</f>
        <v/>
      </c>
    </row>
    <row r="4576" spans="1:7" x14ac:dyDescent="0.3">
      <c r="A4576" s="17"/>
      <c r="B4576" s="18"/>
      <c r="C4576" s="18"/>
      <c r="D4576" s="18"/>
      <c r="E4576" s="10" t="str">
        <f>IF(B4576="","",IFERROR(INDEX(Harytlar!$C$5:$C$44,MATCH(B4576,Harytlar!$A$5:$A$44,0)),""))</f>
        <v/>
      </c>
      <c r="F4576" s="10" t="str">
        <f t="shared" si="71"/>
        <v/>
      </c>
      <c r="G4576" s="10" t="str">
        <f>IF(OR(C4576="",B4576=""),"",IFERROR(C4576*INDEX(Harytlar!$D$5:$D$44,MATCH(B4576,Harytlar!$A$5:$A$44,0)),""))</f>
        <v/>
      </c>
    </row>
    <row r="4577" spans="1:7" x14ac:dyDescent="0.3">
      <c r="A4577" s="17"/>
      <c r="B4577" s="18"/>
      <c r="C4577" s="18"/>
      <c r="D4577" s="18"/>
      <c r="E4577" s="10" t="str">
        <f>IF(B4577="","",IFERROR(INDEX(Harytlar!$C$5:$C$44,MATCH(B4577,Harytlar!$A$5:$A$44,0)),""))</f>
        <v/>
      </c>
      <c r="F4577" s="10" t="str">
        <f t="shared" si="71"/>
        <v/>
      </c>
      <c r="G4577" s="10" t="str">
        <f>IF(OR(C4577="",B4577=""),"",IFERROR(C4577*INDEX(Harytlar!$D$5:$D$44,MATCH(B4577,Harytlar!$A$5:$A$44,0)),""))</f>
        <v/>
      </c>
    </row>
    <row r="4578" spans="1:7" x14ac:dyDescent="0.3">
      <c r="A4578" s="17"/>
      <c r="B4578" s="18"/>
      <c r="C4578" s="18"/>
      <c r="D4578" s="18"/>
      <c r="E4578" s="10" t="str">
        <f>IF(B4578="","",IFERROR(INDEX(Harytlar!$C$5:$C$44,MATCH(B4578,Harytlar!$A$5:$A$44,0)),""))</f>
        <v/>
      </c>
      <c r="F4578" s="10" t="str">
        <f t="shared" si="71"/>
        <v/>
      </c>
      <c r="G4578" s="10" t="str">
        <f>IF(OR(C4578="",B4578=""),"",IFERROR(C4578*INDEX(Harytlar!$D$5:$D$44,MATCH(B4578,Harytlar!$A$5:$A$44,0)),""))</f>
        <v/>
      </c>
    </row>
    <row r="4579" spans="1:7" x14ac:dyDescent="0.3">
      <c r="A4579" s="17"/>
      <c r="B4579" s="18"/>
      <c r="C4579" s="18"/>
      <c r="D4579" s="18"/>
      <c r="E4579" s="10" t="str">
        <f>IF(B4579="","",IFERROR(INDEX(Harytlar!$C$5:$C$44,MATCH(B4579,Harytlar!$A$5:$A$44,0)),""))</f>
        <v/>
      </c>
      <c r="F4579" s="10" t="str">
        <f t="shared" si="71"/>
        <v/>
      </c>
      <c r="G4579" s="10" t="str">
        <f>IF(OR(C4579="",B4579=""),"",IFERROR(C4579*INDEX(Harytlar!$D$5:$D$44,MATCH(B4579,Harytlar!$A$5:$A$44,0)),""))</f>
        <v/>
      </c>
    </row>
    <row r="4580" spans="1:7" x14ac:dyDescent="0.3">
      <c r="A4580" s="17"/>
      <c r="B4580" s="18"/>
      <c r="C4580" s="18"/>
      <c r="D4580" s="18"/>
      <c r="E4580" s="10" t="str">
        <f>IF(B4580="","",IFERROR(INDEX(Harytlar!$C$5:$C$44,MATCH(B4580,Harytlar!$A$5:$A$44,0)),""))</f>
        <v/>
      </c>
      <c r="F4580" s="10" t="str">
        <f t="shared" si="71"/>
        <v/>
      </c>
      <c r="G4580" s="10" t="str">
        <f>IF(OR(C4580="",B4580=""),"",IFERROR(C4580*INDEX(Harytlar!$D$5:$D$44,MATCH(B4580,Harytlar!$A$5:$A$44,0)),""))</f>
        <v/>
      </c>
    </row>
    <row r="4581" spans="1:7" x14ac:dyDescent="0.3">
      <c r="A4581" s="17"/>
      <c r="B4581" s="18"/>
      <c r="C4581" s="18"/>
      <c r="D4581" s="18"/>
      <c r="E4581" s="10" t="str">
        <f>IF(B4581="","",IFERROR(INDEX(Harytlar!$C$5:$C$44,MATCH(B4581,Harytlar!$A$5:$A$44,0)),""))</f>
        <v/>
      </c>
      <c r="F4581" s="10" t="str">
        <f t="shared" si="71"/>
        <v/>
      </c>
      <c r="G4581" s="10" t="str">
        <f>IF(OR(C4581="",B4581=""),"",IFERROR(C4581*INDEX(Harytlar!$D$5:$D$44,MATCH(B4581,Harytlar!$A$5:$A$44,0)),""))</f>
        <v/>
      </c>
    </row>
    <row r="4582" spans="1:7" x14ac:dyDescent="0.3">
      <c r="A4582" s="17"/>
      <c r="B4582" s="18"/>
      <c r="C4582" s="18"/>
      <c r="D4582" s="18"/>
      <c r="E4582" s="10" t="str">
        <f>IF(B4582="","",IFERROR(INDEX(Harytlar!$C$5:$C$44,MATCH(B4582,Harytlar!$A$5:$A$44,0)),""))</f>
        <v/>
      </c>
      <c r="F4582" s="10" t="str">
        <f t="shared" si="71"/>
        <v/>
      </c>
      <c r="G4582" s="10" t="str">
        <f>IF(OR(C4582="",B4582=""),"",IFERROR(C4582*INDEX(Harytlar!$D$5:$D$44,MATCH(B4582,Harytlar!$A$5:$A$44,0)),""))</f>
        <v/>
      </c>
    </row>
    <row r="4583" spans="1:7" x14ac:dyDescent="0.3">
      <c r="A4583" s="17"/>
      <c r="B4583" s="18"/>
      <c r="C4583" s="18"/>
      <c r="D4583" s="18"/>
      <c r="E4583" s="10" t="str">
        <f>IF(B4583="","",IFERROR(INDEX(Harytlar!$C$5:$C$44,MATCH(B4583,Harytlar!$A$5:$A$44,0)),""))</f>
        <v/>
      </c>
      <c r="F4583" s="10" t="str">
        <f t="shared" si="71"/>
        <v/>
      </c>
      <c r="G4583" s="10" t="str">
        <f>IF(OR(C4583="",B4583=""),"",IFERROR(C4583*INDEX(Harytlar!$D$5:$D$44,MATCH(B4583,Harytlar!$A$5:$A$44,0)),""))</f>
        <v/>
      </c>
    </row>
    <row r="4584" spans="1:7" x14ac:dyDescent="0.3">
      <c r="A4584" s="17"/>
      <c r="B4584" s="18"/>
      <c r="C4584" s="18"/>
      <c r="D4584" s="18"/>
      <c r="E4584" s="10" t="str">
        <f>IF(B4584="","",IFERROR(INDEX(Harytlar!$C$5:$C$44,MATCH(B4584,Harytlar!$A$5:$A$44,0)),""))</f>
        <v/>
      </c>
      <c r="F4584" s="10" t="str">
        <f t="shared" si="71"/>
        <v/>
      </c>
      <c r="G4584" s="10" t="str">
        <f>IF(OR(C4584="",B4584=""),"",IFERROR(C4584*INDEX(Harytlar!$D$5:$D$44,MATCH(B4584,Harytlar!$A$5:$A$44,0)),""))</f>
        <v/>
      </c>
    </row>
    <row r="4585" spans="1:7" x14ac:dyDescent="0.3">
      <c r="A4585" s="17"/>
      <c r="B4585" s="18"/>
      <c r="C4585" s="18"/>
      <c r="D4585" s="18"/>
      <c r="E4585" s="10" t="str">
        <f>IF(B4585="","",IFERROR(INDEX(Harytlar!$C$5:$C$44,MATCH(B4585,Harytlar!$A$5:$A$44,0)),""))</f>
        <v/>
      </c>
      <c r="F4585" s="10" t="str">
        <f t="shared" si="71"/>
        <v/>
      </c>
      <c r="G4585" s="10" t="str">
        <f>IF(OR(C4585="",B4585=""),"",IFERROR(C4585*INDEX(Harytlar!$D$5:$D$44,MATCH(B4585,Harytlar!$A$5:$A$44,0)),""))</f>
        <v/>
      </c>
    </row>
    <row r="4586" spans="1:7" x14ac:dyDescent="0.3">
      <c r="A4586" s="17"/>
      <c r="B4586" s="18"/>
      <c r="C4586" s="18"/>
      <c r="D4586" s="18"/>
      <c r="E4586" s="10" t="str">
        <f>IF(B4586="","",IFERROR(INDEX(Harytlar!$C$5:$C$44,MATCH(B4586,Harytlar!$A$5:$A$44,0)),""))</f>
        <v/>
      </c>
      <c r="F4586" s="10" t="str">
        <f t="shared" si="71"/>
        <v/>
      </c>
      <c r="G4586" s="10" t="str">
        <f>IF(OR(C4586="",B4586=""),"",IFERROR(C4586*INDEX(Harytlar!$D$5:$D$44,MATCH(B4586,Harytlar!$A$5:$A$44,0)),""))</f>
        <v/>
      </c>
    </row>
    <row r="4587" spans="1:7" x14ac:dyDescent="0.3">
      <c r="A4587" s="17"/>
      <c r="B4587" s="18"/>
      <c r="C4587" s="18"/>
      <c r="D4587" s="18"/>
      <c r="E4587" s="10" t="str">
        <f>IF(B4587="","",IFERROR(INDEX(Harytlar!$C$5:$C$44,MATCH(B4587,Harytlar!$A$5:$A$44,0)),""))</f>
        <v/>
      </c>
      <c r="F4587" s="10" t="str">
        <f t="shared" si="71"/>
        <v/>
      </c>
      <c r="G4587" s="10" t="str">
        <f>IF(OR(C4587="",B4587=""),"",IFERROR(C4587*INDEX(Harytlar!$D$5:$D$44,MATCH(B4587,Harytlar!$A$5:$A$44,0)),""))</f>
        <v/>
      </c>
    </row>
    <row r="4588" spans="1:7" x14ac:dyDescent="0.3">
      <c r="A4588" s="17"/>
      <c r="B4588" s="18"/>
      <c r="C4588" s="18"/>
      <c r="D4588" s="18"/>
      <c r="E4588" s="10" t="str">
        <f>IF(B4588="","",IFERROR(INDEX(Harytlar!$C$5:$C$44,MATCH(B4588,Harytlar!$A$5:$A$44,0)),""))</f>
        <v/>
      </c>
      <c r="F4588" s="10" t="str">
        <f t="shared" si="71"/>
        <v/>
      </c>
      <c r="G4588" s="10" t="str">
        <f>IF(OR(C4588="",B4588=""),"",IFERROR(C4588*INDEX(Harytlar!$D$5:$D$44,MATCH(B4588,Harytlar!$A$5:$A$44,0)),""))</f>
        <v/>
      </c>
    </row>
    <row r="4589" spans="1:7" x14ac:dyDescent="0.3">
      <c r="A4589" s="17"/>
      <c r="B4589" s="18"/>
      <c r="C4589" s="18"/>
      <c r="D4589" s="18"/>
      <c r="E4589" s="10" t="str">
        <f>IF(B4589="","",IFERROR(INDEX(Harytlar!$C$5:$C$44,MATCH(B4589,Harytlar!$A$5:$A$44,0)),""))</f>
        <v/>
      </c>
      <c r="F4589" s="10" t="str">
        <f t="shared" si="71"/>
        <v/>
      </c>
      <c r="G4589" s="10" t="str">
        <f>IF(OR(C4589="",B4589=""),"",IFERROR(C4589*INDEX(Harytlar!$D$5:$D$44,MATCH(B4589,Harytlar!$A$5:$A$44,0)),""))</f>
        <v/>
      </c>
    </row>
    <row r="4590" spans="1:7" x14ac:dyDescent="0.3">
      <c r="A4590" s="17"/>
      <c r="B4590" s="18"/>
      <c r="C4590" s="18"/>
      <c r="D4590" s="18"/>
      <c r="E4590" s="10" t="str">
        <f>IF(B4590="","",IFERROR(INDEX(Harytlar!$C$5:$C$44,MATCH(B4590,Harytlar!$A$5:$A$44,0)),""))</f>
        <v/>
      </c>
      <c r="F4590" s="10" t="str">
        <f t="shared" si="71"/>
        <v/>
      </c>
      <c r="G4590" s="10" t="str">
        <f>IF(OR(C4590="",B4590=""),"",IFERROR(C4590*INDEX(Harytlar!$D$5:$D$44,MATCH(B4590,Harytlar!$A$5:$A$44,0)),""))</f>
        <v/>
      </c>
    </row>
    <row r="4591" spans="1:7" x14ac:dyDescent="0.3">
      <c r="A4591" s="17"/>
      <c r="B4591" s="18"/>
      <c r="C4591" s="18"/>
      <c r="D4591" s="18"/>
      <c r="E4591" s="10" t="str">
        <f>IF(B4591="","",IFERROR(INDEX(Harytlar!$C$5:$C$44,MATCH(B4591,Harytlar!$A$5:$A$44,0)),""))</f>
        <v/>
      </c>
      <c r="F4591" s="10" t="str">
        <f t="shared" si="71"/>
        <v/>
      </c>
      <c r="G4591" s="10" t="str">
        <f>IF(OR(C4591="",B4591=""),"",IFERROR(C4591*INDEX(Harytlar!$D$5:$D$44,MATCH(B4591,Harytlar!$A$5:$A$44,0)),""))</f>
        <v/>
      </c>
    </row>
    <row r="4592" spans="1:7" x14ac:dyDescent="0.3">
      <c r="A4592" s="17"/>
      <c r="B4592" s="18"/>
      <c r="C4592" s="18"/>
      <c r="D4592" s="18"/>
      <c r="E4592" s="10" t="str">
        <f>IF(B4592="","",IFERROR(INDEX(Harytlar!$C$5:$C$44,MATCH(B4592,Harytlar!$A$5:$A$44,0)),""))</f>
        <v/>
      </c>
      <c r="F4592" s="10" t="str">
        <f t="shared" si="71"/>
        <v/>
      </c>
      <c r="G4592" s="10" t="str">
        <f>IF(OR(C4592="",B4592=""),"",IFERROR(C4592*INDEX(Harytlar!$D$5:$D$44,MATCH(B4592,Harytlar!$A$5:$A$44,0)),""))</f>
        <v/>
      </c>
    </row>
    <row r="4593" spans="1:7" x14ac:dyDescent="0.3">
      <c r="A4593" s="17"/>
      <c r="B4593" s="18"/>
      <c r="C4593" s="18"/>
      <c r="D4593" s="18"/>
      <c r="E4593" s="10" t="str">
        <f>IF(B4593="","",IFERROR(INDEX(Harytlar!$C$5:$C$44,MATCH(B4593,Harytlar!$A$5:$A$44,0)),""))</f>
        <v/>
      </c>
      <c r="F4593" s="10" t="str">
        <f t="shared" si="71"/>
        <v/>
      </c>
      <c r="G4593" s="10" t="str">
        <f>IF(OR(C4593="",B4593=""),"",IFERROR(C4593*INDEX(Harytlar!$D$5:$D$44,MATCH(B4593,Harytlar!$A$5:$A$44,0)),""))</f>
        <v/>
      </c>
    </row>
    <row r="4594" spans="1:7" x14ac:dyDescent="0.3">
      <c r="A4594" s="17"/>
      <c r="B4594" s="18"/>
      <c r="C4594" s="18"/>
      <c r="D4594" s="18"/>
      <c r="E4594" s="10" t="str">
        <f>IF(B4594="","",IFERROR(INDEX(Harytlar!$C$5:$C$44,MATCH(B4594,Harytlar!$A$5:$A$44,0)),""))</f>
        <v/>
      </c>
      <c r="F4594" s="10" t="str">
        <f t="shared" si="71"/>
        <v/>
      </c>
      <c r="G4594" s="10" t="str">
        <f>IF(OR(C4594="",B4594=""),"",IFERROR(C4594*INDEX(Harytlar!$D$5:$D$44,MATCH(B4594,Harytlar!$A$5:$A$44,0)),""))</f>
        <v/>
      </c>
    </row>
    <row r="4595" spans="1:7" x14ac:dyDescent="0.3">
      <c r="A4595" s="17"/>
      <c r="B4595" s="18"/>
      <c r="C4595" s="18"/>
      <c r="D4595" s="18"/>
      <c r="E4595" s="10" t="str">
        <f>IF(B4595="","",IFERROR(INDEX(Harytlar!$C$5:$C$44,MATCH(B4595,Harytlar!$A$5:$A$44,0)),""))</f>
        <v/>
      </c>
      <c r="F4595" s="10" t="str">
        <f t="shared" si="71"/>
        <v/>
      </c>
      <c r="G4595" s="10" t="str">
        <f>IF(OR(C4595="",B4595=""),"",IFERROR(C4595*INDEX(Harytlar!$D$5:$D$44,MATCH(B4595,Harytlar!$A$5:$A$44,0)),""))</f>
        <v/>
      </c>
    </row>
    <row r="4596" spans="1:7" x14ac:dyDescent="0.3">
      <c r="A4596" s="17"/>
      <c r="B4596" s="18"/>
      <c r="C4596" s="18"/>
      <c r="D4596" s="18"/>
      <c r="E4596" s="10" t="str">
        <f>IF(B4596="","",IFERROR(INDEX(Harytlar!$C$5:$C$44,MATCH(B4596,Harytlar!$A$5:$A$44,0)),""))</f>
        <v/>
      </c>
      <c r="F4596" s="10" t="str">
        <f t="shared" si="71"/>
        <v/>
      </c>
      <c r="G4596" s="10" t="str">
        <f>IF(OR(C4596="",B4596=""),"",IFERROR(C4596*INDEX(Harytlar!$D$5:$D$44,MATCH(B4596,Harytlar!$A$5:$A$44,0)),""))</f>
        <v/>
      </c>
    </row>
    <row r="4597" spans="1:7" x14ac:dyDescent="0.3">
      <c r="A4597" s="17"/>
      <c r="B4597" s="18"/>
      <c r="C4597" s="18"/>
      <c r="D4597" s="18"/>
      <c r="E4597" s="10" t="str">
        <f>IF(B4597="","",IFERROR(INDEX(Harytlar!$C$5:$C$44,MATCH(B4597,Harytlar!$A$5:$A$44,0)),""))</f>
        <v/>
      </c>
      <c r="F4597" s="10" t="str">
        <f t="shared" si="71"/>
        <v/>
      </c>
      <c r="G4597" s="10" t="str">
        <f>IF(OR(C4597="",B4597=""),"",IFERROR(C4597*INDEX(Harytlar!$D$5:$D$44,MATCH(B4597,Harytlar!$A$5:$A$44,0)),""))</f>
        <v/>
      </c>
    </row>
    <row r="4598" spans="1:7" x14ac:dyDescent="0.3">
      <c r="A4598" s="17"/>
      <c r="B4598" s="18"/>
      <c r="C4598" s="18"/>
      <c r="D4598" s="18"/>
      <c r="E4598" s="10" t="str">
        <f>IF(B4598="","",IFERROR(INDEX(Harytlar!$C$5:$C$44,MATCH(B4598,Harytlar!$A$5:$A$44,0)),""))</f>
        <v/>
      </c>
      <c r="F4598" s="10" t="str">
        <f t="shared" si="71"/>
        <v/>
      </c>
      <c r="G4598" s="10" t="str">
        <f>IF(OR(C4598="",B4598=""),"",IFERROR(C4598*INDEX(Harytlar!$D$5:$D$44,MATCH(B4598,Harytlar!$A$5:$A$44,0)),""))</f>
        <v/>
      </c>
    </row>
    <row r="4599" spans="1:7" x14ac:dyDescent="0.3">
      <c r="A4599" s="17"/>
      <c r="B4599" s="18"/>
      <c r="C4599" s="18"/>
      <c r="D4599" s="18"/>
      <c r="E4599" s="10" t="str">
        <f>IF(B4599="","",IFERROR(INDEX(Harytlar!$C$5:$C$44,MATCH(B4599,Harytlar!$A$5:$A$44,0)),""))</f>
        <v/>
      </c>
      <c r="F4599" s="10" t="str">
        <f t="shared" si="71"/>
        <v/>
      </c>
      <c r="G4599" s="10" t="str">
        <f>IF(OR(C4599="",B4599=""),"",IFERROR(C4599*INDEX(Harytlar!$D$5:$D$44,MATCH(B4599,Harytlar!$A$5:$A$44,0)),""))</f>
        <v/>
      </c>
    </row>
    <row r="4600" spans="1:7" x14ac:dyDescent="0.3">
      <c r="A4600" s="17"/>
      <c r="B4600" s="18"/>
      <c r="C4600" s="18"/>
      <c r="D4600" s="18"/>
      <c r="E4600" s="10" t="str">
        <f>IF(B4600="","",IFERROR(INDEX(Harytlar!$C$5:$C$44,MATCH(B4600,Harytlar!$A$5:$A$44,0)),""))</f>
        <v/>
      </c>
      <c r="F4600" s="10" t="str">
        <f t="shared" si="71"/>
        <v/>
      </c>
      <c r="G4600" s="10" t="str">
        <f>IF(OR(C4600="",B4600=""),"",IFERROR(C4600*INDEX(Harytlar!$D$5:$D$44,MATCH(B4600,Harytlar!$A$5:$A$44,0)),""))</f>
        <v/>
      </c>
    </row>
    <row r="4601" spans="1:7" x14ac:dyDescent="0.3">
      <c r="A4601" s="17"/>
      <c r="B4601" s="18"/>
      <c r="C4601" s="18"/>
      <c r="D4601" s="18"/>
      <c r="E4601" s="10" t="str">
        <f>IF(B4601="","",IFERROR(INDEX(Harytlar!$C$5:$C$44,MATCH(B4601,Harytlar!$A$5:$A$44,0)),""))</f>
        <v/>
      </c>
      <c r="F4601" s="10" t="str">
        <f t="shared" si="71"/>
        <v/>
      </c>
      <c r="G4601" s="10" t="str">
        <f>IF(OR(C4601="",B4601=""),"",IFERROR(C4601*INDEX(Harytlar!$D$5:$D$44,MATCH(B4601,Harytlar!$A$5:$A$44,0)),""))</f>
        <v/>
      </c>
    </row>
    <row r="4602" spans="1:7" x14ac:dyDescent="0.3">
      <c r="A4602" s="17"/>
      <c r="B4602" s="18"/>
      <c r="C4602" s="18"/>
      <c r="D4602" s="18"/>
      <c r="E4602" s="10" t="str">
        <f>IF(B4602="","",IFERROR(INDEX(Harytlar!$C$5:$C$44,MATCH(B4602,Harytlar!$A$5:$A$44,0)),""))</f>
        <v/>
      </c>
      <c r="F4602" s="10" t="str">
        <f t="shared" si="71"/>
        <v/>
      </c>
      <c r="G4602" s="10" t="str">
        <f>IF(OR(C4602="",B4602=""),"",IFERROR(C4602*INDEX(Harytlar!$D$5:$D$44,MATCH(B4602,Harytlar!$A$5:$A$44,0)),""))</f>
        <v/>
      </c>
    </row>
    <row r="4603" spans="1:7" x14ac:dyDescent="0.3">
      <c r="A4603" s="17"/>
      <c r="B4603" s="18"/>
      <c r="C4603" s="18"/>
      <c r="D4603" s="18"/>
      <c r="E4603" s="10" t="str">
        <f>IF(B4603="","",IFERROR(INDEX(Harytlar!$C$5:$C$44,MATCH(B4603,Harytlar!$A$5:$A$44,0)),""))</f>
        <v/>
      </c>
      <c r="F4603" s="10" t="str">
        <f t="shared" si="71"/>
        <v/>
      </c>
      <c r="G4603" s="10" t="str">
        <f>IF(OR(C4603="",B4603=""),"",IFERROR(C4603*INDEX(Harytlar!$D$5:$D$44,MATCH(B4603,Harytlar!$A$5:$A$44,0)),""))</f>
        <v/>
      </c>
    </row>
    <row r="4604" spans="1:7" x14ac:dyDescent="0.3">
      <c r="A4604" s="17"/>
      <c r="B4604" s="18"/>
      <c r="C4604" s="18"/>
      <c r="D4604" s="18"/>
      <c r="E4604" s="10" t="str">
        <f>IF(B4604="","",IFERROR(INDEX(Harytlar!$C$5:$C$44,MATCH(B4604,Harytlar!$A$5:$A$44,0)),""))</f>
        <v/>
      </c>
      <c r="F4604" s="10" t="str">
        <f t="shared" si="71"/>
        <v/>
      </c>
      <c r="G4604" s="10" t="str">
        <f>IF(OR(C4604="",B4604=""),"",IFERROR(C4604*INDEX(Harytlar!$D$5:$D$44,MATCH(B4604,Harytlar!$A$5:$A$44,0)),""))</f>
        <v/>
      </c>
    </row>
    <row r="4605" spans="1:7" x14ac:dyDescent="0.3">
      <c r="A4605" s="17"/>
      <c r="B4605" s="18"/>
      <c r="C4605" s="18"/>
      <c r="D4605" s="18"/>
      <c r="E4605" s="10" t="str">
        <f>IF(B4605="","",IFERROR(INDEX(Harytlar!$C$5:$C$44,MATCH(B4605,Harytlar!$A$5:$A$44,0)),""))</f>
        <v/>
      </c>
      <c r="F4605" s="10" t="str">
        <f t="shared" si="71"/>
        <v/>
      </c>
      <c r="G4605" s="10" t="str">
        <f>IF(OR(C4605="",B4605=""),"",IFERROR(C4605*INDEX(Harytlar!$D$5:$D$44,MATCH(B4605,Harytlar!$A$5:$A$44,0)),""))</f>
        <v/>
      </c>
    </row>
    <row r="4606" spans="1:7" x14ac:dyDescent="0.3">
      <c r="A4606" s="17"/>
      <c r="B4606" s="18"/>
      <c r="C4606" s="18"/>
      <c r="D4606" s="18"/>
      <c r="E4606" s="10" t="str">
        <f>IF(B4606="","",IFERROR(INDEX(Harytlar!$C$5:$C$44,MATCH(B4606,Harytlar!$A$5:$A$44,0)),""))</f>
        <v/>
      </c>
      <c r="F4606" s="10" t="str">
        <f t="shared" si="71"/>
        <v/>
      </c>
      <c r="G4606" s="10" t="str">
        <f>IF(OR(C4606="",B4606=""),"",IFERROR(C4606*INDEX(Harytlar!$D$5:$D$44,MATCH(B4606,Harytlar!$A$5:$A$44,0)),""))</f>
        <v/>
      </c>
    </row>
    <row r="4607" spans="1:7" x14ac:dyDescent="0.3">
      <c r="A4607" s="17"/>
      <c r="B4607" s="18"/>
      <c r="C4607" s="18"/>
      <c r="D4607" s="18"/>
      <c r="E4607" s="10" t="str">
        <f>IF(B4607="","",IFERROR(INDEX(Harytlar!$C$5:$C$44,MATCH(B4607,Harytlar!$A$5:$A$44,0)),""))</f>
        <v/>
      </c>
      <c r="F4607" s="10" t="str">
        <f t="shared" si="71"/>
        <v/>
      </c>
      <c r="G4607" s="10" t="str">
        <f>IF(OR(C4607="",B4607=""),"",IFERROR(C4607*INDEX(Harytlar!$D$5:$D$44,MATCH(B4607,Harytlar!$A$5:$A$44,0)),""))</f>
        <v/>
      </c>
    </row>
    <row r="4608" spans="1:7" x14ac:dyDescent="0.3">
      <c r="A4608" s="17"/>
      <c r="B4608" s="18"/>
      <c r="C4608" s="18"/>
      <c r="D4608" s="18"/>
      <c r="E4608" s="10" t="str">
        <f>IF(B4608="","",IFERROR(INDEX(Harytlar!$C$5:$C$44,MATCH(B4608,Harytlar!$A$5:$A$44,0)),""))</f>
        <v/>
      </c>
      <c r="F4608" s="10" t="str">
        <f t="shared" si="71"/>
        <v/>
      </c>
      <c r="G4608" s="10" t="str">
        <f>IF(OR(C4608="",B4608=""),"",IFERROR(C4608*INDEX(Harytlar!$D$5:$D$44,MATCH(B4608,Harytlar!$A$5:$A$44,0)),""))</f>
        <v/>
      </c>
    </row>
    <row r="4609" spans="1:7" x14ac:dyDescent="0.3">
      <c r="A4609" s="17"/>
      <c r="B4609" s="18"/>
      <c r="C4609" s="18"/>
      <c r="D4609" s="18"/>
      <c r="E4609" s="10" t="str">
        <f>IF(B4609="","",IFERROR(INDEX(Harytlar!$C$5:$C$44,MATCH(B4609,Harytlar!$A$5:$A$44,0)),""))</f>
        <v/>
      </c>
      <c r="F4609" s="10" t="str">
        <f t="shared" si="71"/>
        <v/>
      </c>
      <c r="G4609" s="10" t="str">
        <f>IF(OR(C4609="",B4609=""),"",IFERROR(C4609*INDEX(Harytlar!$D$5:$D$44,MATCH(B4609,Harytlar!$A$5:$A$44,0)),""))</f>
        <v/>
      </c>
    </row>
    <row r="4610" spans="1:7" x14ac:dyDescent="0.3">
      <c r="A4610" s="17"/>
      <c r="B4610" s="18"/>
      <c r="C4610" s="18"/>
      <c r="D4610" s="18"/>
      <c r="E4610" s="10" t="str">
        <f>IF(B4610="","",IFERROR(INDEX(Harytlar!$C$5:$C$44,MATCH(B4610,Harytlar!$A$5:$A$44,0)),""))</f>
        <v/>
      </c>
      <c r="F4610" s="10" t="str">
        <f t="shared" si="71"/>
        <v/>
      </c>
      <c r="G4610" s="10" t="str">
        <f>IF(OR(C4610="",B4610=""),"",IFERROR(C4610*INDEX(Harytlar!$D$5:$D$44,MATCH(B4610,Harytlar!$A$5:$A$44,0)),""))</f>
        <v/>
      </c>
    </row>
    <row r="4611" spans="1:7" x14ac:dyDescent="0.3">
      <c r="A4611" s="17"/>
      <c r="B4611" s="18"/>
      <c r="C4611" s="18"/>
      <c r="D4611" s="18"/>
      <c r="E4611" s="10" t="str">
        <f>IF(B4611="","",IFERROR(INDEX(Harytlar!$C$5:$C$44,MATCH(B4611,Harytlar!$A$5:$A$44,0)),""))</f>
        <v/>
      </c>
      <c r="F4611" s="10" t="str">
        <f t="shared" si="71"/>
        <v/>
      </c>
      <c r="G4611" s="10" t="str">
        <f>IF(OR(C4611="",B4611=""),"",IFERROR(C4611*INDEX(Harytlar!$D$5:$D$44,MATCH(B4611,Harytlar!$A$5:$A$44,0)),""))</f>
        <v/>
      </c>
    </row>
    <row r="4612" spans="1:7" x14ac:dyDescent="0.3">
      <c r="A4612" s="17"/>
      <c r="B4612" s="18"/>
      <c r="C4612" s="18"/>
      <c r="D4612" s="18"/>
      <c r="E4612" s="10" t="str">
        <f>IF(B4612="","",IFERROR(INDEX(Harytlar!$C$5:$C$44,MATCH(B4612,Harytlar!$A$5:$A$44,0)),""))</f>
        <v/>
      </c>
      <c r="F4612" s="10" t="str">
        <f t="shared" si="71"/>
        <v/>
      </c>
      <c r="G4612" s="10" t="str">
        <f>IF(OR(C4612="",B4612=""),"",IFERROR(C4612*INDEX(Harytlar!$D$5:$D$44,MATCH(B4612,Harytlar!$A$5:$A$44,0)),""))</f>
        <v/>
      </c>
    </row>
    <row r="4613" spans="1:7" x14ac:dyDescent="0.3">
      <c r="A4613" s="17"/>
      <c r="B4613" s="18"/>
      <c r="C4613" s="18"/>
      <c r="D4613" s="18"/>
      <c r="E4613" s="10" t="str">
        <f>IF(B4613="","",IFERROR(INDEX(Harytlar!$C$5:$C$44,MATCH(B4613,Harytlar!$A$5:$A$44,0)),""))</f>
        <v/>
      </c>
      <c r="F4613" s="10" t="str">
        <f t="shared" si="71"/>
        <v/>
      </c>
      <c r="G4613" s="10" t="str">
        <f>IF(OR(C4613="",B4613=""),"",IFERROR(C4613*INDEX(Harytlar!$D$5:$D$44,MATCH(B4613,Harytlar!$A$5:$A$44,0)),""))</f>
        <v/>
      </c>
    </row>
    <row r="4614" spans="1:7" x14ac:dyDescent="0.3">
      <c r="A4614" s="17"/>
      <c r="B4614" s="18"/>
      <c r="C4614" s="18"/>
      <c r="D4614" s="18"/>
      <c r="E4614" s="10" t="str">
        <f>IF(B4614="","",IFERROR(INDEX(Harytlar!$C$5:$C$44,MATCH(B4614,Harytlar!$A$5:$A$44,0)),""))</f>
        <v/>
      </c>
      <c r="F4614" s="10" t="str">
        <f t="shared" ref="F4614:F4677" si="72">IF(OR(C4614="",E4614=""),"",C4614*E4614)</f>
        <v/>
      </c>
      <c r="G4614" s="10" t="str">
        <f>IF(OR(C4614="",B4614=""),"",IFERROR(C4614*INDEX(Harytlar!$D$5:$D$44,MATCH(B4614,Harytlar!$A$5:$A$44,0)),""))</f>
        <v/>
      </c>
    </row>
    <row r="4615" spans="1:7" x14ac:dyDescent="0.3">
      <c r="A4615" s="17"/>
      <c r="B4615" s="18"/>
      <c r="C4615" s="18"/>
      <c r="D4615" s="18"/>
      <c r="E4615" s="10" t="str">
        <f>IF(B4615="","",IFERROR(INDEX(Harytlar!$C$5:$C$44,MATCH(B4615,Harytlar!$A$5:$A$44,0)),""))</f>
        <v/>
      </c>
      <c r="F4615" s="10" t="str">
        <f t="shared" si="72"/>
        <v/>
      </c>
      <c r="G4615" s="10" t="str">
        <f>IF(OR(C4615="",B4615=""),"",IFERROR(C4615*INDEX(Harytlar!$D$5:$D$44,MATCH(B4615,Harytlar!$A$5:$A$44,0)),""))</f>
        <v/>
      </c>
    </row>
    <row r="4616" spans="1:7" x14ac:dyDescent="0.3">
      <c r="A4616" s="17"/>
      <c r="B4616" s="18"/>
      <c r="C4616" s="18"/>
      <c r="D4616" s="18"/>
      <c r="E4616" s="10" t="str">
        <f>IF(B4616="","",IFERROR(INDEX(Harytlar!$C$5:$C$44,MATCH(B4616,Harytlar!$A$5:$A$44,0)),""))</f>
        <v/>
      </c>
      <c r="F4616" s="10" t="str">
        <f t="shared" si="72"/>
        <v/>
      </c>
      <c r="G4616" s="10" t="str">
        <f>IF(OR(C4616="",B4616=""),"",IFERROR(C4616*INDEX(Harytlar!$D$5:$D$44,MATCH(B4616,Harytlar!$A$5:$A$44,0)),""))</f>
        <v/>
      </c>
    </row>
    <row r="4617" spans="1:7" x14ac:dyDescent="0.3">
      <c r="A4617" s="17"/>
      <c r="B4617" s="18"/>
      <c r="C4617" s="18"/>
      <c r="D4617" s="18"/>
      <c r="E4617" s="10" t="str">
        <f>IF(B4617="","",IFERROR(INDEX(Harytlar!$C$5:$C$44,MATCH(B4617,Harytlar!$A$5:$A$44,0)),""))</f>
        <v/>
      </c>
      <c r="F4617" s="10" t="str">
        <f t="shared" si="72"/>
        <v/>
      </c>
      <c r="G4617" s="10" t="str">
        <f>IF(OR(C4617="",B4617=""),"",IFERROR(C4617*INDEX(Harytlar!$D$5:$D$44,MATCH(B4617,Harytlar!$A$5:$A$44,0)),""))</f>
        <v/>
      </c>
    </row>
    <row r="4618" spans="1:7" x14ac:dyDescent="0.3">
      <c r="A4618" s="17"/>
      <c r="B4618" s="18"/>
      <c r="C4618" s="18"/>
      <c r="D4618" s="18"/>
      <c r="E4618" s="10" t="str">
        <f>IF(B4618="","",IFERROR(INDEX(Harytlar!$C$5:$C$44,MATCH(B4618,Harytlar!$A$5:$A$44,0)),""))</f>
        <v/>
      </c>
      <c r="F4618" s="10" t="str">
        <f t="shared" si="72"/>
        <v/>
      </c>
      <c r="G4618" s="10" t="str">
        <f>IF(OR(C4618="",B4618=""),"",IFERROR(C4618*INDEX(Harytlar!$D$5:$D$44,MATCH(B4618,Harytlar!$A$5:$A$44,0)),""))</f>
        <v/>
      </c>
    </row>
    <row r="4619" spans="1:7" x14ac:dyDescent="0.3">
      <c r="A4619" s="17"/>
      <c r="B4619" s="18"/>
      <c r="C4619" s="18"/>
      <c r="D4619" s="18"/>
      <c r="E4619" s="10" t="str">
        <f>IF(B4619="","",IFERROR(INDEX(Harytlar!$C$5:$C$44,MATCH(B4619,Harytlar!$A$5:$A$44,0)),""))</f>
        <v/>
      </c>
      <c r="F4619" s="10" t="str">
        <f t="shared" si="72"/>
        <v/>
      </c>
      <c r="G4619" s="10" t="str">
        <f>IF(OR(C4619="",B4619=""),"",IFERROR(C4619*INDEX(Harytlar!$D$5:$D$44,MATCH(B4619,Harytlar!$A$5:$A$44,0)),""))</f>
        <v/>
      </c>
    </row>
    <row r="4620" spans="1:7" x14ac:dyDescent="0.3">
      <c r="A4620" s="17"/>
      <c r="B4620" s="18"/>
      <c r="C4620" s="18"/>
      <c r="D4620" s="18"/>
      <c r="E4620" s="10" t="str">
        <f>IF(B4620="","",IFERROR(INDEX(Harytlar!$C$5:$C$44,MATCH(B4620,Harytlar!$A$5:$A$44,0)),""))</f>
        <v/>
      </c>
      <c r="F4620" s="10" t="str">
        <f t="shared" si="72"/>
        <v/>
      </c>
      <c r="G4620" s="10" t="str">
        <f>IF(OR(C4620="",B4620=""),"",IFERROR(C4620*INDEX(Harytlar!$D$5:$D$44,MATCH(B4620,Harytlar!$A$5:$A$44,0)),""))</f>
        <v/>
      </c>
    </row>
    <row r="4621" spans="1:7" x14ac:dyDescent="0.3">
      <c r="A4621" s="17"/>
      <c r="B4621" s="18"/>
      <c r="C4621" s="18"/>
      <c r="D4621" s="18"/>
      <c r="E4621" s="10" t="str">
        <f>IF(B4621="","",IFERROR(INDEX(Harytlar!$C$5:$C$44,MATCH(B4621,Harytlar!$A$5:$A$44,0)),""))</f>
        <v/>
      </c>
      <c r="F4621" s="10" t="str">
        <f t="shared" si="72"/>
        <v/>
      </c>
      <c r="G4621" s="10" t="str">
        <f>IF(OR(C4621="",B4621=""),"",IFERROR(C4621*INDEX(Harytlar!$D$5:$D$44,MATCH(B4621,Harytlar!$A$5:$A$44,0)),""))</f>
        <v/>
      </c>
    </row>
    <row r="4622" spans="1:7" x14ac:dyDescent="0.3">
      <c r="A4622" s="17"/>
      <c r="B4622" s="18"/>
      <c r="C4622" s="18"/>
      <c r="D4622" s="18"/>
      <c r="E4622" s="10" t="str">
        <f>IF(B4622="","",IFERROR(INDEX(Harytlar!$C$5:$C$44,MATCH(B4622,Harytlar!$A$5:$A$44,0)),""))</f>
        <v/>
      </c>
      <c r="F4622" s="10" t="str">
        <f t="shared" si="72"/>
        <v/>
      </c>
      <c r="G4622" s="10" t="str">
        <f>IF(OR(C4622="",B4622=""),"",IFERROR(C4622*INDEX(Harytlar!$D$5:$D$44,MATCH(B4622,Harytlar!$A$5:$A$44,0)),""))</f>
        <v/>
      </c>
    </row>
    <row r="4623" spans="1:7" x14ac:dyDescent="0.3">
      <c r="A4623" s="17"/>
      <c r="B4623" s="18"/>
      <c r="C4623" s="18"/>
      <c r="D4623" s="18"/>
      <c r="E4623" s="10" t="str">
        <f>IF(B4623="","",IFERROR(INDEX(Harytlar!$C$5:$C$44,MATCH(B4623,Harytlar!$A$5:$A$44,0)),""))</f>
        <v/>
      </c>
      <c r="F4623" s="10" t="str">
        <f t="shared" si="72"/>
        <v/>
      </c>
      <c r="G4623" s="10" t="str">
        <f>IF(OR(C4623="",B4623=""),"",IFERROR(C4623*INDEX(Harytlar!$D$5:$D$44,MATCH(B4623,Harytlar!$A$5:$A$44,0)),""))</f>
        <v/>
      </c>
    </row>
    <row r="4624" spans="1:7" x14ac:dyDescent="0.3">
      <c r="A4624" s="17"/>
      <c r="B4624" s="18"/>
      <c r="C4624" s="18"/>
      <c r="D4624" s="18"/>
      <c r="E4624" s="10" t="str">
        <f>IF(B4624="","",IFERROR(INDEX(Harytlar!$C$5:$C$44,MATCH(B4624,Harytlar!$A$5:$A$44,0)),""))</f>
        <v/>
      </c>
      <c r="F4624" s="10" t="str">
        <f t="shared" si="72"/>
        <v/>
      </c>
      <c r="G4624" s="10" t="str">
        <f>IF(OR(C4624="",B4624=""),"",IFERROR(C4624*INDEX(Harytlar!$D$5:$D$44,MATCH(B4624,Harytlar!$A$5:$A$44,0)),""))</f>
        <v/>
      </c>
    </row>
    <row r="4625" spans="1:7" x14ac:dyDescent="0.3">
      <c r="A4625" s="17"/>
      <c r="B4625" s="18"/>
      <c r="C4625" s="18"/>
      <c r="D4625" s="18"/>
      <c r="E4625" s="10" t="str">
        <f>IF(B4625="","",IFERROR(INDEX(Harytlar!$C$5:$C$44,MATCH(B4625,Harytlar!$A$5:$A$44,0)),""))</f>
        <v/>
      </c>
      <c r="F4625" s="10" t="str">
        <f t="shared" si="72"/>
        <v/>
      </c>
      <c r="G4625" s="10" t="str">
        <f>IF(OR(C4625="",B4625=""),"",IFERROR(C4625*INDEX(Harytlar!$D$5:$D$44,MATCH(B4625,Harytlar!$A$5:$A$44,0)),""))</f>
        <v/>
      </c>
    </row>
    <row r="4626" spans="1:7" x14ac:dyDescent="0.3">
      <c r="A4626" s="17"/>
      <c r="B4626" s="18"/>
      <c r="C4626" s="18"/>
      <c r="D4626" s="18"/>
      <c r="E4626" s="10" t="str">
        <f>IF(B4626="","",IFERROR(INDEX(Harytlar!$C$5:$C$44,MATCH(B4626,Harytlar!$A$5:$A$44,0)),""))</f>
        <v/>
      </c>
      <c r="F4626" s="10" t="str">
        <f t="shared" si="72"/>
        <v/>
      </c>
      <c r="G4626" s="10" t="str">
        <f>IF(OR(C4626="",B4626=""),"",IFERROR(C4626*INDEX(Harytlar!$D$5:$D$44,MATCH(B4626,Harytlar!$A$5:$A$44,0)),""))</f>
        <v/>
      </c>
    </row>
    <row r="4627" spans="1:7" x14ac:dyDescent="0.3">
      <c r="A4627" s="17"/>
      <c r="B4627" s="18"/>
      <c r="C4627" s="18"/>
      <c r="D4627" s="18"/>
      <c r="E4627" s="10" t="str">
        <f>IF(B4627="","",IFERROR(INDEX(Harytlar!$C$5:$C$44,MATCH(B4627,Harytlar!$A$5:$A$44,0)),""))</f>
        <v/>
      </c>
      <c r="F4627" s="10" t="str">
        <f t="shared" si="72"/>
        <v/>
      </c>
      <c r="G4627" s="10" t="str">
        <f>IF(OR(C4627="",B4627=""),"",IFERROR(C4627*INDEX(Harytlar!$D$5:$D$44,MATCH(B4627,Harytlar!$A$5:$A$44,0)),""))</f>
        <v/>
      </c>
    </row>
    <row r="4628" spans="1:7" x14ac:dyDescent="0.3">
      <c r="A4628" s="17"/>
      <c r="B4628" s="18"/>
      <c r="C4628" s="18"/>
      <c r="D4628" s="18"/>
      <c r="E4628" s="10" t="str">
        <f>IF(B4628="","",IFERROR(INDEX(Harytlar!$C$5:$C$44,MATCH(B4628,Harytlar!$A$5:$A$44,0)),""))</f>
        <v/>
      </c>
      <c r="F4628" s="10" t="str">
        <f t="shared" si="72"/>
        <v/>
      </c>
      <c r="G4628" s="10" t="str">
        <f>IF(OR(C4628="",B4628=""),"",IFERROR(C4628*INDEX(Harytlar!$D$5:$D$44,MATCH(B4628,Harytlar!$A$5:$A$44,0)),""))</f>
        <v/>
      </c>
    </row>
    <row r="4629" spans="1:7" x14ac:dyDescent="0.3">
      <c r="A4629" s="17"/>
      <c r="B4629" s="18"/>
      <c r="C4629" s="18"/>
      <c r="D4629" s="18"/>
      <c r="E4629" s="10" t="str">
        <f>IF(B4629="","",IFERROR(INDEX(Harytlar!$C$5:$C$44,MATCH(B4629,Harytlar!$A$5:$A$44,0)),""))</f>
        <v/>
      </c>
      <c r="F4629" s="10" t="str">
        <f t="shared" si="72"/>
        <v/>
      </c>
      <c r="G4629" s="10" t="str">
        <f>IF(OR(C4629="",B4629=""),"",IFERROR(C4629*INDEX(Harytlar!$D$5:$D$44,MATCH(B4629,Harytlar!$A$5:$A$44,0)),""))</f>
        <v/>
      </c>
    </row>
    <row r="4630" spans="1:7" x14ac:dyDescent="0.3">
      <c r="A4630" s="17"/>
      <c r="B4630" s="18"/>
      <c r="C4630" s="18"/>
      <c r="D4630" s="18"/>
      <c r="E4630" s="10" t="str">
        <f>IF(B4630="","",IFERROR(INDEX(Harytlar!$C$5:$C$44,MATCH(B4630,Harytlar!$A$5:$A$44,0)),""))</f>
        <v/>
      </c>
      <c r="F4630" s="10" t="str">
        <f t="shared" si="72"/>
        <v/>
      </c>
      <c r="G4630" s="10" t="str">
        <f>IF(OR(C4630="",B4630=""),"",IFERROR(C4630*INDEX(Harytlar!$D$5:$D$44,MATCH(B4630,Harytlar!$A$5:$A$44,0)),""))</f>
        <v/>
      </c>
    </row>
    <row r="4631" spans="1:7" x14ac:dyDescent="0.3">
      <c r="A4631" s="17"/>
      <c r="B4631" s="18"/>
      <c r="C4631" s="18"/>
      <c r="D4631" s="18"/>
      <c r="E4631" s="10" t="str">
        <f>IF(B4631="","",IFERROR(INDEX(Harytlar!$C$5:$C$44,MATCH(B4631,Harytlar!$A$5:$A$44,0)),""))</f>
        <v/>
      </c>
      <c r="F4631" s="10" t="str">
        <f t="shared" si="72"/>
        <v/>
      </c>
      <c r="G4631" s="10" t="str">
        <f>IF(OR(C4631="",B4631=""),"",IFERROR(C4631*INDEX(Harytlar!$D$5:$D$44,MATCH(B4631,Harytlar!$A$5:$A$44,0)),""))</f>
        <v/>
      </c>
    </row>
    <row r="4632" spans="1:7" x14ac:dyDescent="0.3">
      <c r="A4632" s="17"/>
      <c r="B4632" s="18"/>
      <c r="C4632" s="18"/>
      <c r="D4632" s="18"/>
      <c r="E4632" s="10" t="str">
        <f>IF(B4632="","",IFERROR(INDEX(Harytlar!$C$5:$C$44,MATCH(B4632,Harytlar!$A$5:$A$44,0)),""))</f>
        <v/>
      </c>
      <c r="F4632" s="10" t="str">
        <f t="shared" si="72"/>
        <v/>
      </c>
      <c r="G4632" s="10" t="str">
        <f>IF(OR(C4632="",B4632=""),"",IFERROR(C4632*INDEX(Harytlar!$D$5:$D$44,MATCH(B4632,Harytlar!$A$5:$A$44,0)),""))</f>
        <v/>
      </c>
    </row>
    <row r="4633" spans="1:7" x14ac:dyDescent="0.3">
      <c r="A4633" s="17"/>
      <c r="B4633" s="18"/>
      <c r="C4633" s="18"/>
      <c r="D4633" s="18"/>
      <c r="E4633" s="10" t="str">
        <f>IF(B4633="","",IFERROR(INDEX(Harytlar!$C$5:$C$44,MATCH(B4633,Harytlar!$A$5:$A$44,0)),""))</f>
        <v/>
      </c>
      <c r="F4633" s="10" t="str">
        <f t="shared" si="72"/>
        <v/>
      </c>
      <c r="G4633" s="10" t="str">
        <f>IF(OR(C4633="",B4633=""),"",IFERROR(C4633*INDEX(Harytlar!$D$5:$D$44,MATCH(B4633,Harytlar!$A$5:$A$44,0)),""))</f>
        <v/>
      </c>
    </row>
    <row r="4634" spans="1:7" x14ac:dyDescent="0.3">
      <c r="A4634" s="17"/>
      <c r="B4634" s="18"/>
      <c r="C4634" s="18"/>
      <c r="D4634" s="18"/>
      <c r="E4634" s="10" t="str">
        <f>IF(B4634="","",IFERROR(INDEX(Harytlar!$C$5:$C$44,MATCH(B4634,Harytlar!$A$5:$A$44,0)),""))</f>
        <v/>
      </c>
      <c r="F4634" s="10" t="str">
        <f t="shared" si="72"/>
        <v/>
      </c>
      <c r="G4634" s="10" t="str">
        <f>IF(OR(C4634="",B4634=""),"",IFERROR(C4634*INDEX(Harytlar!$D$5:$D$44,MATCH(B4634,Harytlar!$A$5:$A$44,0)),""))</f>
        <v/>
      </c>
    </row>
    <row r="4635" spans="1:7" x14ac:dyDescent="0.3">
      <c r="A4635" s="17"/>
      <c r="B4635" s="18"/>
      <c r="C4635" s="18"/>
      <c r="D4635" s="18"/>
      <c r="E4635" s="10" t="str">
        <f>IF(B4635="","",IFERROR(INDEX(Harytlar!$C$5:$C$44,MATCH(B4635,Harytlar!$A$5:$A$44,0)),""))</f>
        <v/>
      </c>
      <c r="F4635" s="10" t="str">
        <f t="shared" si="72"/>
        <v/>
      </c>
      <c r="G4635" s="10" t="str">
        <f>IF(OR(C4635="",B4635=""),"",IFERROR(C4635*INDEX(Harytlar!$D$5:$D$44,MATCH(B4635,Harytlar!$A$5:$A$44,0)),""))</f>
        <v/>
      </c>
    </row>
    <row r="4636" spans="1:7" x14ac:dyDescent="0.3">
      <c r="A4636" s="17"/>
      <c r="B4636" s="18"/>
      <c r="C4636" s="18"/>
      <c r="D4636" s="18"/>
      <c r="E4636" s="10" t="str">
        <f>IF(B4636="","",IFERROR(INDEX(Harytlar!$C$5:$C$44,MATCH(B4636,Harytlar!$A$5:$A$44,0)),""))</f>
        <v/>
      </c>
      <c r="F4636" s="10" t="str">
        <f t="shared" si="72"/>
        <v/>
      </c>
      <c r="G4636" s="10" t="str">
        <f>IF(OR(C4636="",B4636=""),"",IFERROR(C4636*INDEX(Harytlar!$D$5:$D$44,MATCH(B4636,Harytlar!$A$5:$A$44,0)),""))</f>
        <v/>
      </c>
    </row>
    <row r="4637" spans="1:7" x14ac:dyDescent="0.3">
      <c r="A4637" s="17"/>
      <c r="B4637" s="18"/>
      <c r="C4637" s="18"/>
      <c r="D4637" s="18"/>
      <c r="E4637" s="10" t="str">
        <f>IF(B4637="","",IFERROR(INDEX(Harytlar!$C$5:$C$44,MATCH(B4637,Harytlar!$A$5:$A$44,0)),""))</f>
        <v/>
      </c>
      <c r="F4637" s="10" t="str">
        <f t="shared" si="72"/>
        <v/>
      </c>
      <c r="G4637" s="10" t="str">
        <f>IF(OR(C4637="",B4637=""),"",IFERROR(C4637*INDEX(Harytlar!$D$5:$D$44,MATCH(B4637,Harytlar!$A$5:$A$44,0)),""))</f>
        <v/>
      </c>
    </row>
    <row r="4638" spans="1:7" x14ac:dyDescent="0.3">
      <c r="A4638" s="17"/>
      <c r="B4638" s="18"/>
      <c r="C4638" s="18"/>
      <c r="D4638" s="18"/>
      <c r="E4638" s="10" t="str">
        <f>IF(B4638="","",IFERROR(INDEX(Harytlar!$C$5:$C$44,MATCH(B4638,Harytlar!$A$5:$A$44,0)),""))</f>
        <v/>
      </c>
      <c r="F4638" s="10" t="str">
        <f t="shared" si="72"/>
        <v/>
      </c>
      <c r="G4638" s="10" t="str">
        <f>IF(OR(C4638="",B4638=""),"",IFERROR(C4638*INDEX(Harytlar!$D$5:$D$44,MATCH(B4638,Harytlar!$A$5:$A$44,0)),""))</f>
        <v/>
      </c>
    </row>
    <row r="4639" spans="1:7" x14ac:dyDescent="0.3">
      <c r="A4639" s="17"/>
      <c r="B4639" s="18"/>
      <c r="C4639" s="18"/>
      <c r="D4639" s="18"/>
      <c r="E4639" s="10" t="str">
        <f>IF(B4639="","",IFERROR(INDEX(Harytlar!$C$5:$C$44,MATCH(B4639,Harytlar!$A$5:$A$44,0)),""))</f>
        <v/>
      </c>
      <c r="F4639" s="10" t="str">
        <f t="shared" si="72"/>
        <v/>
      </c>
      <c r="G4639" s="10" t="str">
        <f>IF(OR(C4639="",B4639=""),"",IFERROR(C4639*INDEX(Harytlar!$D$5:$D$44,MATCH(B4639,Harytlar!$A$5:$A$44,0)),""))</f>
        <v/>
      </c>
    </row>
    <row r="4640" spans="1:7" x14ac:dyDescent="0.3">
      <c r="A4640" s="17"/>
      <c r="B4640" s="18"/>
      <c r="C4640" s="18"/>
      <c r="D4640" s="18"/>
      <c r="E4640" s="10" t="str">
        <f>IF(B4640="","",IFERROR(INDEX(Harytlar!$C$5:$C$44,MATCH(B4640,Harytlar!$A$5:$A$44,0)),""))</f>
        <v/>
      </c>
      <c r="F4640" s="10" t="str">
        <f t="shared" si="72"/>
        <v/>
      </c>
      <c r="G4640" s="10" t="str">
        <f>IF(OR(C4640="",B4640=""),"",IFERROR(C4640*INDEX(Harytlar!$D$5:$D$44,MATCH(B4640,Harytlar!$A$5:$A$44,0)),""))</f>
        <v/>
      </c>
    </row>
    <row r="4641" spans="1:7" x14ac:dyDescent="0.3">
      <c r="A4641" s="17"/>
      <c r="B4641" s="18"/>
      <c r="C4641" s="18"/>
      <c r="D4641" s="18"/>
      <c r="E4641" s="10" t="str">
        <f>IF(B4641="","",IFERROR(INDEX(Harytlar!$C$5:$C$44,MATCH(B4641,Harytlar!$A$5:$A$44,0)),""))</f>
        <v/>
      </c>
      <c r="F4641" s="10" t="str">
        <f t="shared" si="72"/>
        <v/>
      </c>
      <c r="G4641" s="10" t="str">
        <f>IF(OR(C4641="",B4641=""),"",IFERROR(C4641*INDEX(Harytlar!$D$5:$D$44,MATCH(B4641,Harytlar!$A$5:$A$44,0)),""))</f>
        <v/>
      </c>
    </row>
    <row r="4642" spans="1:7" x14ac:dyDescent="0.3">
      <c r="A4642" s="17"/>
      <c r="B4642" s="18"/>
      <c r="C4642" s="18"/>
      <c r="D4642" s="18"/>
      <c r="E4642" s="10" t="str">
        <f>IF(B4642="","",IFERROR(INDEX(Harytlar!$C$5:$C$44,MATCH(B4642,Harytlar!$A$5:$A$44,0)),""))</f>
        <v/>
      </c>
      <c r="F4642" s="10" t="str">
        <f t="shared" si="72"/>
        <v/>
      </c>
      <c r="G4642" s="10" t="str">
        <f>IF(OR(C4642="",B4642=""),"",IFERROR(C4642*INDEX(Harytlar!$D$5:$D$44,MATCH(B4642,Harytlar!$A$5:$A$44,0)),""))</f>
        <v/>
      </c>
    </row>
    <row r="4643" spans="1:7" x14ac:dyDescent="0.3">
      <c r="A4643" s="17"/>
      <c r="B4643" s="18"/>
      <c r="C4643" s="18"/>
      <c r="D4643" s="18"/>
      <c r="E4643" s="10" t="str">
        <f>IF(B4643="","",IFERROR(INDEX(Harytlar!$C$5:$C$44,MATCH(B4643,Harytlar!$A$5:$A$44,0)),""))</f>
        <v/>
      </c>
      <c r="F4643" s="10" t="str">
        <f t="shared" si="72"/>
        <v/>
      </c>
      <c r="G4643" s="10" t="str">
        <f>IF(OR(C4643="",B4643=""),"",IFERROR(C4643*INDEX(Harytlar!$D$5:$D$44,MATCH(B4643,Harytlar!$A$5:$A$44,0)),""))</f>
        <v/>
      </c>
    </row>
    <row r="4644" spans="1:7" x14ac:dyDescent="0.3">
      <c r="A4644" s="17"/>
      <c r="B4644" s="18"/>
      <c r="C4644" s="18"/>
      <c r="D4644" s="18"/>
      <c r="E4644" s="10" t="str">
        <f>IF(B4644="","",IFERROR(INDEX(Harytlar!$C$5:$C$44,MATCH(B4644,Harytlar!$A$5:$A$44,0)),""))</f>
        <v/>
      </c>
      <c r="F4644" s="10" t="str">
        <f t="shared" si="72"/>
        <v/>
      </c>
      <c r="G4644" s="10" t="str">
        <f>IF(OR(C4644="",B4644=""),"",IFERROR(C4644*INDEX(Harytlar!$D$5:$D$44,MATCH(B4644,Harytlar!$A$5:$A$44,0)),""))</f>
        <v/>
      </c>
    </row>
    <row r="4645" spans="1:7" x14ac:dyDescent="0.3">
      <c r="A4645" s="17"/>
      <c r="B4645" s="18"/>
      <c r="C4645" s="18"/>
      <c r="D4645" s="18"/>
      <c r="E4645" s="10" t="str">
        <f>IF(B4645="","",IFERROR(INDEX(Harytlar!$C$5:$C$44,MATCH(B4645,Harytlar!$A$5:$A$44,0)),""))</f>
        <v/>
      </c>
      <c r="F4645" s="10" t="str">
        <f t="shared" si="72"/>
        <v/>
      </c>
      <c r="G4645" s="10" t="str">
        <f>IF(OR(C4645="",B4645=""),"",IFERROR(C4645*INDEX(Harytlar!$D$5:$D$44,MATCH(B4645,Harytlar!$A$5:$A$44,0)),""))</f>
        <v/>
      </c>
    </row>
    <row r="4646" spans="1:7" x14ac:dyDescent="0.3">
      <c r="A4646" s="17"/>
      <c r="B4646" s="18"/>
      <c r="C4646" s="18"/>
      <c r="D4646" s="18"/>
      <c r="E4646" s="10" t="str">
        <f>IF(B4646="","",IFERROR(INDEX(Harytlar!$C$5:$C$44,MATCH(B4646,Harytlar!$A$5:$A$44,0)),""))</f>
        <v/>
      </c>
      <c r="F4646" s="10" t="str">
        <f t="shared" si="72"/>
        <v/>
      </c>
      <c r="G4646" s="10" t="str">
        <f>IF(OR(C4646="",B4646=""),"",IFERROR(C4646*INDEX(Harytlar!$D$5:$D$44,MATCH(B4646,Harytlar!$A$5:$A$44,0)),""))</f>
        <v/>
      </c>
    </row>
    <row r="4647" spans="1:7" x14ac:dyDescent="0.3">
      <c r="A4647" s="17"/>
      <c r="B4647" s="18"/>
      <c r="C4647" s="18"/>
      <c r="D4647" s="18"/>
      <c r="E4647" s="10" t="str">
        <f>IF(B4647="","",IFERROR(INDEX(Harytlar!$C$5:$C$44,MATCH(B4647,Harytlar!$A$5:$A$44,0)),""))</f>
        <v/>
      </c>
      <c r="F4647" s="10" t="str">
        <f t="shared" si="72"/>
        <v/>
      </c>
      <c r="G4647" s="10" t="str">
        <f>IF(OR(C4647="",B4647=""),"",IFERROR(C4647*INDEX(Harytlar!$D$5:$D$44,MATCH(B4647,Harytlar!$A$5:$A$44,0)),""))</f>
        <v/>
      </c>
    </row>
    <row r="4648" spans="1:7" x14ac:dyDescent="0.3">
      <c r="A4648" s="17"/>
      <c r="B4648" s="18"/>
      <c r="C4648" s="18"/>
      <c r="D4648" s="18"/>
      <c r="E4648" s="10" t="str">
        <f>IF(B4648="","",IFERROR(INDEX(Harytlar!$C$5:$C$44,MATCH(B4648,Harytlar!$A$5:$A$44,0)),""))</f>
        <v/>
      </c>
      <c r="F4648" s="10" t="str">
        <f t="shared" si="72"/>
        <v/>
      </c>
      <c r="G4648" s="10" t="str">
        <f>IF(OR(C4648="",B4648=""),"",IFERROR(C4648*INDEX(Harytlar!$D$5:$D$44,MATCH(B4648,Harytlar!$A$5:$A$44,0)),""))</f>
        <v/>
      </c>
    </row>
    <row r="4649" spans="1:7" x14ac:dyDescent="0.3">
      <c r="A4649" s="17"/>
      <c r="B4649" s="18"/>
      <c r="C4649" s="18"/>
      <c r="D4649" s="18"/>
      <c r="E4649" s="10" t="str">
        <f>IF(B4649="","",IFERROR(INDEX(Harytlar!$C$5:$C$44,MATCH(B4649,Harytlar!$A$5:$A$44,0)),""))</f>
        <v/>
      </c>
      <c r="F4649" s="10" t="str">
        <f t="shared" si="72"/>
        <v/>
      </c>
      <c r="G4649" s="10" t="str">
        <f>IF(OR(C4649="",B4649=""),"",IFERROR(C4649*INDEX(Harytlar!$D$5:$D$44,MATCH(B4649,Harytlar!$A$5:$A$44,0)),""))</f>
        <v/>
      </c>
    </row>
    <row r="4650" spans="1:7" x14ac:dyDescent="0.3">
      <c r="A4650" s="17"/>
      <c r="B4650" s="18"/>
      <c r="C4650" s="18"/>
      <c r="D4650" s="18"/>
      <c r="E4650" s="10" t="str">
        <f>IF(B4650="","",IFERROR(INDEX(Harytlar!$C$5:$C$44,MATCH(B4650,Harytlar!$A$5:$A$44,0)),""))</f>
        <v/>
      </c>
      <c r="F4650" s="10" t="str">
        <f t="shared" si="72"/>
        <v/>
      </c>
      <c r="G4650" s="10" t="str">
        <f>IF(OR(C4650="",B4650=""),"",IFERROR(C4650*INDEX(Harytlar!$D$5:$D$44,MATCH(B4650,Harytlar!$A$5:$A$44,0)),""))</f>
        <v/>
      </c>
    </row>
    <row r="4651" spans="1:7" x14ac:dyDescent="0.3">
      <c r="A4651" s="17"/>
      <c r="B4651" s="18"/>
      <c r="C4651" s="18"/>
      <c r="D4651" s="18"/>
      <c r="E4651" s="10" t="str">
        <f>IF(B4651="","",IFERROR(INDEX(Harytlar!$C$5:$C$44,MATCH(B4651,Harytlar!$A$5:$A$44,0)),""))</f>
        <v/>
      </c>
      <c r="F4651" s="10" t="str">
        <f t="shared" si="72"/>
        <v/>
      </c>
      <c r="G4651" s="10" t="str">
        <f>IF(OR(C4651="",B4651=""),"",IFERROR(C4651*INDEX(Harytlar!$D$5:$D$44,MATCH(B4651,Harytlar!$A$5:$A$44,0)),""))</f>
        <v/>
      </c>
    </row>
    <row r="4652" spans="1:7" x14ac:dyDescent="0.3">
      <c r="A4652" s="17"/>
      <c r="B4652" s="18"/>
      <c r="C4652" s="18"/>
      <c r="D4652" s="18"/>
      <c r="E4652" s="10" t="str">
        <f>IF(B4652="","",IFERROR(INDEX(Harytlar!$C$5:$C$44,MATCH(B4652,Harytlar!$A$5:$A$44,0)),""))</f>
        <v/>
      </c>
      <c r="F4652" s="10" t="str">
        <f t="shared" si="72"/>
        <v/>
      </c>
      <c r="G4652" s="10" t="str">
        <f>IF(OR(C4652="",B4652=""),"",IFERROR(C4652*INDEX(Harytlar!$D$5:$D$44,MATCH(B4652,Harytlar!$A$5:$A$44,0)),""))</f>
        <v/>
      </c>
    </row>
    <row r="4653" spans="1:7" x14ac:dyDescent="0.3">
      <c r="A4653" s="17"/>
      <c r="B4653" s="18"/>
      <c r="C4653" s="18"/>
      <c r="D4653" s="18"/>
      <c r="E4653" s="10" t="str">
        <f>IF(B4653="","",IFERROR(INDEX(Harytlar!$C$5:$C$44,MATCH(B4653,Harytlar!$A$5:$A$44,0)),""))</f>
        <v/>
      </c>
      <c r="F4653" s="10" t="str">
        <f t="shared" si="72"/>
        <v/>
      </c>
      <c r="G4653" s="10" t="str">
        <f>IF(OR(C4653="",B4653=""),"",IFERROR(C4653*INDEX(Harytlar!$D$5:$D$44,MATCH(B4653,Harytlar!$A$5:$A$44,0)),""))</f>
        <v/>
      </c>
    </row>
    <row r="4654" spans="1:7" x14ac:dyDescent="0.3">
      <c r="A4654" s="17"/>
      <c r="B4654" s="18"/>
      <c r="C4654" s="18"/>
      <c r="D4654" s="18"/>
      <c r="E4654" s="10" t="str">
        <f>IF(B4654="","",IFERROR(INDEX(Harytlar!$C$5:$C$44,MATCH(B4654,Harytlar!$A$5:$A$44,0)),""))</f>
        <v/>
      </c>
      <c r="F4654" s="10" t="str">
        <f t="shared" si="72"/>
        <v/>
      </c>
      <c r="G4654" s="10" t="str">
        <f>IF(OR(C4654="",B4654=""),"",IFERROR(C4654*INDEX(Harytlar!$D$5:$D$44,MATCH(B4654,Harytlar!$A$5:$A$44,0)),""))</f>
        <v/>
      </c>
    </row>
    <row r="4655" spans="1:7" x14ac:dyDescent="0.3">
      <c r="A4655" s="17"/>
      <c r="B4655" s="18"/>
      <c r="C4655" s="18"/>
      <c r="D4655" s="18"/>
      <c r="E4655" s="10" t="str">
        <f>IF(B4655="","",IFERROR(INDEX(Harytlar!$C$5:$C$44,MATCH(B4655,Harytlar!$A$5:$A$44,0)),""))</f>
        <v/>
      </c>
      <c r="F4655" s="10" t="str">
        <f t="shared" si="72"/>
        <v/>
      </c>
      <c r="G4655" s="10" t="str">
        <f>IF(OR(C4655="",B4655=""),"",IFERROR(C4655*INDEX(Harytlar!$D$5:$D$44,MATCH(B4655,Harytlar!$A$5:$A$44,0)),""))</f>
        <v/>
      </c>
    </row>
    <row r="4656" spans="1:7" x14ac:dyDescent="0.3">
      <c r="A4656" s="17"/>
      <c r="B4656" s="18"/>
      <c r="C4656" s="18"/>
      <c r="D4656" s="18"/>
      <c r="E4656" s="10" t="str">
        <f>IF(B4656="","",IFERROR(INDEX(Harytlar!$C$5:$C$44,MATCH(B4656,Harytlar!$A$5:$A$44,0)),""))</f>
        <v/>
      </c>
      <c r="F4656" s="10" t="str">
        <f t="shared" si="72"/>
        <v/>
      </c>
      <c r="G4656" s="10" t="str">
        <f>IF(OR(C4656="",B4656=""),"",IFERROR(C4656*INDEX(Harytlar!$D$5:$D$44,MATCH(B4656,Harytlar!$A$5:$A$44,0)),""))</f>
        <v/>
      </c>
    </row>
    <row r="4657" spans="1:7" x14ac:dyDescent="0.3">
      <c r="A4657" s="17"/>
      <c r="B4657" s="18"/>
      <c r="C4657" s="18"/>
      <c r="D4657" s="18"/>
      <c r="E4657" s="10" t="str">
        <f>IF(B4657="","",IFERROR(INDEX(Harytlar!$C$5:$C$44,MATCH(B4657,Harytlar!$A$5:$A$44,0)),""))</f>
        <v/>
      </c>
      <c r="F4657" s="10" t="str">
        <f t="shared" si="72"/>
        <v/>
      </c>
      <c r="G4657" s="10" t="str">
        <f>IF(OR(C4657="",B4657=""),"",IFERROR(C4657*INDEX(Harytlar!$D$5:$D$44,MATCH(B4657,Harytlar!$A$5:$A$44,0)),""))</f>
        <v/>
      </c>
    </row>
    <row r="4658" spans="1:7" x14ac:dyDescent="0.3">
      <c r="A4658" s="17"/>
      <c r="B4658" s="18"/>
      <c r="C4658" s="18"/>
      <c r="D4658" s="18"/>
      <c r="E4658" s="10" t="str">
        <f>IF(B4658="","",IFERROR(INDEX(Harytlar!$C$5:$C$44,MATCH(B4658,Harytlar!$A$5:$A$44,0)),""))</f>
        <v/>
      </c>
      <c r="F4658" s="10" t="str">
        <f t="shared" si="72"/>
        <v/>
      </c>
      <c r="G4658" s="10" t="str">
        <f>IF(OR(C4658="",B4658=""),"",IFERROR(C4658*INDEX(Harytlar!$D$5:$D$44,MATCH(B4658,Harytlar!$A$5:$A$44,0)),""))</f>
        <v/>
      </c>
    </row>
    <row r="4659" spans="1:7" x14ac:dyDescent="0.3">
      <c r="A4659" s="17"/>
      <c r="B4659" s="18"/>
      <c r="C4659" s="18"/>
      <c r="D4659" s="18"/>
      <c r="E4659" s="10" t="str">
        <f>IF(B4659="","",IFERROR(INDEX(Harytlar!$C$5:$C$44,MATCH(B4659,Harytlar!$A$5:$A$44,0)),""))</f>
        <v/>
      </c>
      <c r="F4659" s="10" t="str">
        <f t="shared" si="72"/>
        <v/>
      </c>
      <c r="G4659" s="10" t="str">
        <f>IF(OR(C4659="",B4659=""),"",IFERROR(C4659*INDEX(Harytlar!$D$5:$D$44,MATCH(B4659,Harytlar!$A$5:$A$44,0)),""))</f>
        <v/>
      </c>
    </row>
    <row r="4660" spans="1:7" x14ac:dyDescent="0.3">
      <c r="A4660" s="17"/>
      <c r="B4660" s="18"/>
      <c r="C4660" s="18"/>
      <c r="D4660" s="18"/>
      <c r="E4660" s="10" t="str">
        <f>IF(B4660="","",IFERROR(INDEX(Harytlar!$C$5:$C$44,MATCH(B4660,Harytlar!$A$5:$A$44,0)),""))</f>
        <v/>
      </c>
      <c r="F4660" s="10" t="str">
        <f t="shared" si="72"/>
        <v/>
      </c>
      <c r="G4660" s="10" t="str">
        <f>IF(OR(C4660="",B4660=""),"",IFERROR(C4660*INDEX(Harytlar!$D$5:$D$44,MATCH(B4660,Harytlar!$A$5:$A$44,0)),""))</f>
        <v/>
      </c>
    </row>
    <row r="4661" spans="1:7" x14ac:dyDescent="0.3">
      <c r="A4661" s="17"/>
      <c r="B4661" s="18"/>
      <c r="C4661" s="18"/>
      <c r="D4661" s="18"/>
      <c r="E4661" s="10" t="str">
        <f>IF(B4661="","",IFERROR(INDEX(Harytlar!$C$5:$C$44,MATCH(B4661,Harytlar!$A$5:$A$44,0)),""))</f>
        <v/>
      </c>
      <c r="F4661" s="10" t="str">
        <f t="shared" si="72"/>
        <v/>
      </c>
      <c r="G4661" s="10" t="str">
        <f>IF(OR(C4661="",B4661=""),"",IFERROR(C4661*INDEX(Harytlar!$D$5:$D$44,MATCH(B4661,Harytlar!$A$5:$A$44,0)),""))</f>
        <v/>
      </c>
    </row>
    <row r="4662" spans="1:7" x14ac:dyDescent="0.3">
      <c r="A4662" s="17"/>
      <c r="B4662" s="18"/>
      <c r="C4662" s="18"/>
      <c r="D4662" s="18"/>
      <c r="E4662" s="10" t="str">
        <f>IF(B4662="","",IFERROR(INDEX(Harytlar!$C$5:$C$44,MATCH(B4662,Harytlar!$A$5:$A$44,0)),""))</f>
        <v/>
      </c>
      <c r="F4662" s="10" t="str">
        <f t="shared" si="72"/>
        <v/>
      </c>
      <c r="G4662" s="10" t="str">
        <f>IF(OR(C4662="",B4662=""),"",IFERROR(C4662*INDEX(Harytlar!$D$5:$D$44,MATCH(B4662,Harytlar!$A$5:$A$44,0)),""))</f>
        <v/>
      </c>
    </row>
    <row r="4663" spans="1:7" x14ac:dyDescent="0.3">
      <c r="A4663" s="17"/>
      <c r="B4663" s="18"/>
      <c r="C4663" s="18"/>
      <c r="D4663" s="18"/>
      <c r="E4663" s="10" t="str">
        <f>IF(B4663="","",IFERROR(INDEX(Harytlar!$C$5:$C$44,MATCH(B4663,Harytlar!$A$5:$A$44,0)),""))</f>
        <v/>
      </c>
      <c r="F4663" s="10" t="str">
        <f t="shared" si="72"/>
        <v/>
      </c>
      <c r="G4663" s="10" t="str">
        <f>IF(OR(C4663="",B4663=""),"",IFERROR(C4663*INDEX(Harytlar!$D$5:$D$44,MATCH(B4663,Harytlar!$A$5:$A$44,0)),""))</f>
        <v/>
      </c>
    </row>
    <row r="4664" spans="1:7" x14ac:dyDescent="0.3">
      <c r="A4664" s="17"/>
      <c r="B4664" s="18"/>
      <c r="C4664" s="18"/>
      <c r="D4664" s="18"/>
      <c r="E4664" s="10" t="str">
        <f>IF(B4664="","",IFERROR(INDEX(Harytlar!$C$5:$C$44,MATCH(B4664,Harytlar!$A$5:$A$44,0)),""))</f>
        <v/>
      </c>
      <c r="F4664" s="10" t="str">
        <f t="shared" si="72"/>
        <v/>
      </c>
      <c r="G4664" s="10" t="str">
        <f>IF(OR(C4664="",B4664=""),"",IFERROR(C4664*INDEX(Harytlar!$D$5:$D$44,MATCH(B4664,Harytlar!$A$5:$A$44,0)),""))</f>
        <v/>
      </c>
    </row>
    <row r="4665" spans="1:7" x14ac:dyDescent="0.3">
      <c r="A4665" s="17"/>
      <c r="B4665" s="18"/>
      <c r="C4665" s="18"/>
      <c r="D4665" s="18"/>
      <c r="E4665" s="10" t="str">
        <f>IF(B4665="","",IFERROR(INDEX(Harytlar!$C$5:$C$44,MATCH(B4665,Harytlar!$A$5:$A$44,0)),""))</f>
        <v/>
      </c>
      <c r="F4665" s="10" t="str">
        <f t="shared" si="72"/>
        <v/>
      </c>
      <c r="G4665" s="10" t="str">
        <f>IF(OR(C4665="",B4665=""),"",IFERROR(C4665*INDEX(Harytlar!$D$5:$D$44,MATCH(B4665,Harytlar!$A$5:$A$44,0)),""))</f>
        <v/>
      </c>
    </row>
    <row r="4666" spans="1:7" x14ac:dyDescent="0.3">
      <c r="A4666" s="17"/>
      <c r="B4666" s="18"/>
      <c r="C4666" s="18"/>
      <c r="D4666" s="18"/>
      <c r="E4666" s="10" t="str">
        <f>IF(B4666="","",IFERROR(INDEX(Harytlar!$C$5:$C$44,MATCH(B4666,Harytlar!$A$5:$A$44,0)),""))</f>
        <v/>
      </c>
      <c r="F4666" s="10" t="str">
        <f t="shared" si="72"/>
        <v/>
      </c>
      <c r="G4666" s="10" t="str">
        <f>IF(OR(C4666="",B4666=""),"",IFERROR(C4666*INDEX(Harytlar!$D$5:$D$44,MATCH(B4666,Harytlar!$A$5:$A$44,0)),""))</f>
        <v/>
      </c>
    </row>
    <row r="4667" spans="1:7" x14ac:dyDescent="0.3">
      <c r="A4667" s="17"/>
      <c r="B4667" s="18"/>
      <c r="C4667" s="18"/>
      <c r="D4667" s="18"/>
      <c r="E4667" s="10" t="str">
        <f>IF(B4667="","",IFERROR(INDEX(Harytlar!$C$5:$C$44,MATCH(B4667,Harytlar!$A$5:$A$44,0)),""))</f>
        <v/>
      </c>
      <c r="F4667" s="10" t="str">
        <f t="shared" si="72"/>
        <v/>
      </c>
      <c r="G4667" s="10" t="str">
        <f>IF(OR(C4667="",B4667=""),"",IFERROR(C4667*INDEX(Harytlar!$D$5:$D$44,MATCH(B4667,Harytlar!$A$5:$A$44,0)),""))</f>
        <v/>
      </c>
    </row>
    <row r="4668" spans="1:7" x14ac:dyDescent="0.3">
      <c r="A4668" s="17"/>
      <c r="B4668" s="18"/>
      <c r="C4668" s="18"/>
      <c r="D4668" s="18"/>
      <c r="E4668" s="10" t="str">
        <f>IF(B4668="","",IFERROR(INDEX(Harytlar!$C$5:$C$44,MATCH(B4668,Harytlar!$A$5:$A$44,0)),""))</f>
        <v/>
      </c>
      <c r="F4668" s="10" t="str">
        <f t="shared" si="72"/>
        <v/>
      </c>
      <c r="G4668" s="10" t="str">
        <f>IF(OR(C4668="",B4668=""),"",IFERROR(C4668*INDEX(Harytlar!$D$5:$D$44,MATCH(B4668,Harytlar!$A$5:$A$44,0)),""))</f>
        <v/>
      </c>
    </row>
    <row r="4669" spans="1:7" x14ac:dyDescent="0.3">
      <c r="A4669" s="17"/>
      <c r="B4669" s="18"/>
      <c r="C4669" s="18"/>
      <c r="D4669" s="18"/>
      <c r="E4669" s="10" t="str">
        <f>IF(B4669="","",IFERROR(INDEX(Harytlar!$C$5:$C$44,MATCH(B4669,Harytlar!$A$5:$A$44,0)),""))</f>
        <v/>
      </c>
      <c r="F4669" s="10" t="str">
        <f t="shared" si="72"/>
        <v/>
      </c>
      <c r="G4669" s="10" t="str">
        <f>IF(OR(C4669="",B4669=""),"",IFERROR(C4669*INDEX(Harytlar!$D$5:$D$44,MATCH(B4669,Harytlar!$A$5:$A$44,0)),""))</f>
        <v/>
      </c>
    </row>
    <row r="4670" spans="1:7" x14ac:dyDescent="0.3">
      <c r="A4670" s="17"/>
      <c r="B4670" s="18"/>
      <c r="C4670" s="18"/>
      <c r="D4670" s="18"/>
      <c r="E4670" s="10" t="str">
        <f>IF(B4670="","",IFERROR(INDEX(Harytlar!$C$5:$C$44,MATCH(B4670,Harytlar!$A$5:$A$44,0)),""))</f>
        <v/>
      </c>
      <c r="F4670" s="10" t="str">
        <f t="shared" si="72"/>
        <v/>
      </c>
      <c r="G4670" s="10" t="str">
        <f>IF(OR(C4670="",B4670=""),"",IFERROR(C4670*INDEX(Harytlar!$D$5:$D$44,MATCH(B4670,Harytlar!$A$5:$A$44,0)),""))</f>
        <v/>
      </c>
    </row>
    <row r="4671" spans="1:7" x14ac:dyDescent="0.3">
      <c r="A4671" s="17"/>
      <c r="B4671" s="18"/>
      <c r="C4671" s="18"/>
      <c r="D4671" s="18"/>
      <c r="E4671" s="10" t="str">
        <f>IF(B4671="","",IFERROR(INDEX(Harytlar!$C$5:$C$44,MATCH(B4671,Harytlar!$A$5:$A$44,0)),""))</f>
        <v/>
      </c>
      <c r="F4671" s="10" t="str">
        <f t="shared" si="72"/>
        <v/>
      </c>
      <c r="G4671" s="10" t="str">
        <f>IF(OR(C4671="",B4671=""),"",IFERROR(C4671*INDEX(Harytlar!$D$5:$D$44,MATCH(B4671,Harytlar!$A$5:$A$44,0)),""))</f>
        <v/>
      </c>
    </row>
    <row r="4672" spans="1:7" x14ac:dyDescent="0.3">
      <c r="A4672" s="17"/>
      <c r="B4672" s="18"/>
      <c r="C4672" s="18"/>
      <c r="D4672" s="18"/>
      <c r="E4672" s="10" t="str">
        <f>IF(B4672="","",IFERROR(INDEX(Harytlar!$C$5:$C$44,MATCH(B4672,Harytlar!$A$5:$A$44,0)),""))</f>
        <v/>
      </c>
      <c r="F4672" s="10" t="str">
        <f t="shared" si="72"/>
        <v/>
      </c>
      <c r="G4672" s="10" t="str">
        <f>IF(OR(C4672="",B4672=""),"",IFERROR(C4672*INDEX(Harytlar!$D$5:$D$44,MATCH(B4672,Harytlar!$A$5:$A$44,0)),""))</f>
        <v/>
      </c>
    </row>
    <row r="4673" spans="1:7" x14ac:dyDescent="0.3">
      <c r="A4673" s="17"/>
      <c r="B4673" s="18"/>
      <c r="C4673" s="18"/>
      <c r="D4673" s="18"/>
      <c r="E4673" s="10" t="str">
        <f>IF(B4673="","",IFERROR(INDEX(Harytlar!$C$5:$C$44,MATCH(B4673,Harytlar!$A$5:$A$44,0)),""))</f>
        <v/>
      </c>
      <c r="F4673" s="10" t="str">
        <f t="shared" si="72"/>
        <v/>
      </c>
      <c r="G4673" s="10" t="str">
        <f>IF(OR(C4673="",B4673=""),"",IFERROR(C4673*INDEX(Harytlar!$D$5:$D$44,MATCH(B4673,Harytlar!$A$5:$A$44,0)),""))</f>
        <v/>
      </c>
    </row>
    <row r="4674" spans="1:7" x14ac:dyDescent="0.3">
      <c r="A4674" s="17"/>
      <c r="B4674" s="18"/>
      <c r="C4674" s="18"/>
      <c r="D4674" s="18"/>
      <c r="E4674" s="10" t="str">
        <f>IF(B4674="","",IFERROR(INDEX(Harytlar!$C$5:$C$44,MATCH(B4674,Harytlar!$A$5:$A$44,0)),""))</f>
        <v/>
      </c>
      <c r="F4674" s="10" t="str">
        <f t="shared" si="72"/>
        <v/>
      </c>
      <c r="G4674" s="10" t="str">
        <f>IF(OR(C4674="",B4674=""),"",IFERROR(C4674*INDEX(Harytlar!$D$5:$D$44,MATCH(B4674,Harytlar!$A$5:$A$44,0)),""))</f>
        <v/>
      </c>
    </row>
    <row r="4675" spans="1:7" x14ac:dyDescent="0.3">
      <c r="A4675" s="17"/>
      <c r="B4675" s="18"/>
      <c r="C4675" s="18"/>
      <c r="D4675" s="18"/>
      <c r="E4675" s="10" t="str">
        <f>IF(B4675="","",IFERROR(INDEX(Harytlar!$C$5:$C$44,MATCH(B4675,Harytlar!$A$5:$A$44,0)),""))</f>
        <v/>
      </c>
      <c r="F4675" s="10" t="str">
        <f t="shared" si="72"/>
        <v/>
      </c>
      <c r="G4675" s="10" t="str">
        <f>IF(OR(C4675="",B4675=""),"",IFERROR(C4675*INDEX(Harytlar!$D$5:$D$44,MATCH(B4675,Harytlar!$A$5:$A$44,0)),""))</f>
        <v/>
      </c>
    </row>
    <row r="4676" spans="1:7" x14ac:dyDescent="0.3">
      <c r="A4676" s="17"/>
      <c r="B4676" s="18"/>
      <c r="C4676" s="18"/>
      <c r="D4676" s="18"/>
      <c r="E4676" s="10" t="str">
        <f>IF(B4676="","",IFERROR(INDEX(Harytlar!$C$5:$C$44,MATCH(B4676,Harytlar!$A$5:$A$44,0)),""))</f>
        <v/>
      </c>
      <c r="F4676" s="10" t="str">
        <f t="shared" si="72"/>
        <v/>
      </c>
      <c r="G4676" s="10" t="str">
        <f>IF(OR(C4676="",B4676=""),"",IFERROR(C4676*INDEX(Harytlar!$D$5:$D$44,MATCH(B4676,Harytlar!$A$5:$A$44,0)),""))</f>
        <v/>
      </c>
    </row>
    <row r="4677" spans="1:7" x14ac:dyDescent="0.3">
      <c r="A4677" s="17"/>
      <c r="B4677" s="18"/>
      <c r="C4677" s="18"/>
      <c r="D4677" s="18"/>
      <c r="E4677" s="10" t="str">
        <f>IF(B4677="","",IFERROR(INDEX(Harytlar!$C$5:$C$44,MATCH(B4677,Harytlar!$A$5:$A$44,0)),""))</f>
        <v/>
      </c>
      <c r="F4677" s="10" t="str">
        <f t="shared" si="72"/>
        <v/>
      </c>
      <c r="G4677" s="10" t="str">
        <f>IF(OR(C4677="",B4677=""),"",IFERROR(C4677*INDEX(Harytlar!$D$5:$D$44,MATCH(B4677,Harytlar!$A$5:$A$44,0)),""))</f>
        <v/>
      </c>
    </row>
    <row r="4678" spans="1:7" x14ac:dyDescent="0.3">
      <c r="A4678" s="17"/>
      <c r="B4678" s="18"/>
      <c r="C4678" s="18"/>
      <c r="D4678" s="18"/>
      <c r="E4678" s="10" t="str">
        <f>IF(B4678="","",IFERROR(INDEX(Harytlar!$C$5:$C$44,MATCH(B4678,Harytlar!$A$5:$A$44,0)),""))</f>
        <v/>
      </c>
      <c r="F4678" s="10" t="str">
        <f t="shared" ref="F4678:F4741" si="73">IF(OR(C4678="",E4678=""),"",C4678*E4678)</f>
        <v/>
      </c>
      <c r="G4678" s="10" t="str">
        <f>IF(OR(C4678="",B4678=""),"",IFERROR(C4678*INDEX(Harytlar!$D$5:$D$44,MATCH(B4678,Harytlar!$A$5:$A$44,0)),""))</f>
        <v/>
      </c>
    </row>
    <row r="4679" spans="1:7" x14ac:dyDescent="0.3">
      <c r="A4679" s="17"/>
      <c r="B4679" s="18"/>
      <c r="C4679" s="18"/>
      <c r="D4679" s="18"/>
      <c r="E4679" s="10" t="str">
        <f>IF(B4679="","",IFERROR(INDEX(Harytlar!$C$5:$C$44,MATCH(B4679,Harytlar!$A$5:$A$44,0)),""))</f>
        <v/>
      </c>
      <c r="F4679" s="10" t="str">
        <f t="shared" si="73"/>
        <v/>
      </c>
      <c r="G4679" s="10" t="str">
        <f>IF(OR(C4679="",B4679=""),"",IFERROR(C4679*INDEX(Harytlar!$D$5:$D$44,MATCH(B4679,Harytlar!$A$5:$A$44,0)),""))</f>
        <v/>
      </c>
    </row>
    <row r="4680" spans="1:7" x14ac:dyDescent="0.3">
      <c r="A4680" s="17"/>
      <c r="B4680" s="18"/>
      <c r="C4680" s="18"/>
      <c r="D4680" s="18"/>
      <c r="E4680" s="10" t="str">
        <f>IF(B4680="","",IFERROR(INDEX(Harytlar!$C$5:$C$44,MATCH(B4680,Harytlar!$A$5:$A$44,0)),""))</f>
        <v/>
      </c>
      <c r="F4680" s="10" t="str">
        <f t="shared" si="73"/>
        <v/>
      </c>
      <c r="G4680" s="10" t="str">
        <f>IF(OR(C4680="",B4680=""),"",IFERROR(C4680*INDEX(Harytlar!$D$5:$D$44,MATCH(B4680,Harytlar!$A$5:$A$44,0)),""))</f>
        <v/>
      </c>
    </row>
    <row r="4681" spans="1:7" x14ac:dyDescent="0.3">
      <c r="A4681" s="17"/>
      <c r="B4681" s="18"/>
      <c r="C4681" s="18"/>
      <c r="D4681" s="18"/>
      <c r="E4681" s="10" t="str">
        <f>IF(B4681="","",IFERROR(INDEX(Harytlar!$C$5:$C$44,MATCH(B4681,Harytlar!$A$5:$A$44,0)),""))</f>
        <v/>
      </c>
      <c r="F4681" s="10" t="str">
        <f t="shared" si="73"/>
        <v/>
      </c>
      <c r="G4681" s="10" t="str">
        <f>IF(OR(C4681="",B4681=""),"",IFERROR(C4681*INDEX(Harytlar!$D$5:$D$44,MATCH(B4681,Harytlar!$A$5:$A$44,0)),""))</f>
        <v/>
      </c>
    </row>
    <row r="4682" spans="1:7" x14ac:dyDescent="0.3">
      <c r="A4682" s="17"/>
      <c r="B4682" s="18"/>
      <c r="C4682" s="18"/>
      <c r="D4682" s="18"/>
      <c r="E4682" s="10" t="str">
        <f>IF(B4682="","",IFERROR(INDEX(Harytlar!$C$5:$C$44,MATCH(B4682,Harytlar!$A$5:$A$44,0)),""))</f>
        <v/>
      </c>
      <c r="F4682" s="10" t="str">
        <f t="shared" si="73"/>
        <v/>
      </c>
      <c r="G4682" s="10" t="str">
        <f>IF(OR(C4682="",B4682=""),"",IFERROR(C4682*INDEX(Harytlar!$D$5:$D$44,MATCH(B4682,Harytlar!$A$5:$A$44,0)),""))</f>
        <v/>
      </c>
    </row>
    <row r="4683" spans="1:7" x14ac:dyDescent="0.3">
      <c r="A4683" s="17"/>
      <c r="B4683" s="18"/>
      <c r="C4683" s="18"/>
      <c r="D4683" s="18"/>
      <c r="E4683" s="10" t="str">
        <f>IF(B4683="","",IFERROR(INDEX(Harytlar!$C$5:$C$44,MATCH(B4683,Harytlar!$A$5:$A$44,0)),""))</f>
        <v/>
      </c>
      <c r="F4683" s="10" t="str">
        <f t="shared" si="73"/>
        <v/>
      </c>
      <c r="G4683" s="10" t="str">
        <f>IF(OR(C4683="",B4683=""),"",IFERROR(C4683*INDEX(Harytlar!$D$5:$D$44,MATCH(B4683,Harytlar!$A$5:$A$44,0)),""))</f>
        <v/>
      </c>
    </row>
    <row r="4684" spans="1:7" x14ac:dyDescent="0.3">
      <c r="A4684" s="17"/>
      <c r="B4684" s="18"/>
      <c r="C4684" s="18"/>
      <c r="D4684" s="18"/>
      <c r="E4684" s="10" t="str">
        <f>IF(B4684="","",IFERROR(INDEX(Harytlar!$C$5:$C$44,MATCH(B4684,Harytlar!$A$5:$A$44,0)),""))</f>
        <v/>
      </c>
      <c r="F4684" s="10" t="str">
        <f t="shared" si="73"/>
        <v/>
      </c>
      <c r="G4684" s="10" t="str">
        <f>IF(OR(C4684="",B4684=""),"",IFERROR(C4684*INDEX(Harytlar!$D$5:$D$44,MATCH(B4684,Harytlar!$A$5:$A$44,0)),""))</f>
        <v/>
      </c>
    </row>
    <row r="4685" spans="1:7" x14ac:dyDescent="0.3">
      <c r="A4685" s="17"/>
      <c r="B4685" s="18"/>
      <c r="C4685" s="18"/>
      <c r="D4685" s="18"/>
      <c r="E4685" s="10" t="str">
        <f>IF(B4685="","",IFERROR(INDEX(Harytlar!$C$5:$C$44,MATCH(B4685,Harytlar!$A$5:$A$44,0)),""))</f>
        <v/>
      </c>
      <c r="F4685" s="10" t="str">
        <f t="shared" si="73"/>
        <v/>
      </c>
      <c r="G4685" s="10" t="str">
        <f>IF(OR(C4685="",B4685=""),"",IFERROR(C4685*INDEX(Harytlar!$D$5:$D$44,MATCH(B4685,Harytlar!$A$5:$A$44,0)),""))</f>
        <v/>
      </c>
    </row>
    <row r="4686" spans="1:7" x14ac:dyDescent="0.3">
      <c r="A4686" s="17"/>
      <c r="B4686" s="18"/>
      <c r="C4686" s="18"/>
      <c r="D4686" s="18"/>
      <c r="E4686" s="10" t="str">
        <f>IF(B4686="","",IFERROR(INDEX(Harytlar!$C$5:$C$44,MATCH(B4686,Harytlar!$A$5:$A$44,0)),""))</f>
        <v/>
      </c>
      <c r="F4686" s="10" t="str">
        <f t="shared" si="73"/>
        <v/>
      </c>
      <c r="G4686" s="10" t="str">
        <f>IF(OR(C4686="",B4686=""),"",IFERROR(C4686*INDEX(Harytlar!$D$5:$D$44,MATCH(B4686,Harytlar!$A$5:$A$44,0)),""))</f>
        <v/>
      </c>
    </row>
    <row r="4687" spans="1:7" x14ac:dyDescent="0.3">
      <c r="A4687" s="17"/>
      <c r="B4687" s="18"/>
      <c r="C4687" s="18"/>
      <c r="D4687" s="18"/>
      <c r="E4687" s="10" t="str">
        <f>IF(B4687="","",IFERROR(INDEX(Harytlar!$C$5:$C$44,MATCH(B4687,Harytlar!$A$5:$A$44,0)),""))</f>
        <v/>
      </c>
      <c r="F4687" s="10" t="str">
        <f t="shared" si="73"/>
        <v/>
      </c>
      <c r="G4687" s="10" t="str">
        <f>IF(OR(C4687="",B4687=""),"",IFERROR(C4687*INDEX(Harytlar!$D$5:$D$44,MATCH(B4687,Harytlar!$A$5:$A$44,0)),""))</f>
        <v/>
      </c>
    </row>
    <row r="4688" spans="1:7" x14ac:dyDescent="0.3">
      <c r="A4688" s="17"/>
      <c r="B4688" s="18"/>
      <c r="C4688" s="18"/>
      <c r="D4688" s="18"/>
      <c r="E4688" s="10" t="str">
        <f>IF(B4688="","",IFERROR(INDEX(Harytlar!$C$5:$C$44,MATCH(B4688,Harytlar!$A$5:$A$44,0)),""))</f>
        <v/>
      </c>
      <c r="F4688" s="10" t="str">
        <f t="shared" si="73"/>
        <v/>
      </c>
      <c r="G4688" s="10" t="str">
        <f>IF(OR(C4688="",B4688=""),"",IFERROR(C4688*INDEX(Harytlar!$D$5:$D$44,MATCH(B4688,Harytlar!$A$5:$A$44,0)),""))</f>
        <v/>
      </c>
    </row>
    <row r="4689" spans="1:7" x14ac:dyDescent="0.3">
      <c r="A4689" s="17"/>
      <c r="B4689" s="18"/>
      <c r="C4689" s="18"/>
      <c r="D4689" s="18"/>
      <c r="E4689" s="10" t="str">
        <f>IF(B4689="","",IFERROR(INDEX(Harytlar!$C$5:$C$44,MATCH(B4689,Harytlar!$A$5:$A$44,0)),""))</f>
        <v/>
      </c>
      <c r="F4689" s="10" t="str">
        <f t="shared" si="73"/>
        <v/>
      </c>
      <c r="G4689" s="10" t="str">
        <f>IF(OR(C4689="",B4689=""),"",IFERROR(C4689*INDEX(Harytlar!$D$5:$D$44,MATCH(B4689,Harytlar!$A$5:$A$44,0)),""))</f>
        <v/>
      </c>
    </row>
    <row r="4690" spans="1:7" x14ac:dyDescent="0.3">
      <c r="A4690" s="17"/>
      <c r="B4690" s="18"/>
      <c r="C4690" s="18"/>
      <c r="D4690" s="18"/>
      <c r="E4690" s="10" t="str">
        <f>IF(B4690="","",IFERROR(INDEX(Harytlar!$C$5:$C$44,MATCH(B4690,Harytlar!$A$5:$A$44,0)),""))</f>
        <v/>
      </c>
      <c r="F4690" s="10" t="str">
        <f t="shared" si="73"/>
        <v/>
      </c>
      <c r="G4690" s="10" t="str">
        <f>IF(OR(C4690="",B4690=""),"",IFERROR(C4690*INDEX(Harytlar!$D$5:$D$44,MATCH(B4690,Harytlar!$A$5:$A$44,0)),""))</f>
        <v/>
      </c>
    </row>
    <row r="4691" spans="1:7" x14ac:dyDescent="0.3">
      <c r="A4691" s="17"/>
      <c r="B4691" s="18"/>
      <c r="C4691" s="18"/>
      <c r="D4691" s="18"/>
      <c r="E4691" s="10" t="str">
        <f>IF(B4691="","",IFERROR(INDEX(Harytlar!$C$5:$C$44,MATCH(B4691,Harytlar!$A$5:$A$44,0)),""))</f>
        <v/>
      </c>
      <c r="F4691" s="10" t="str">
        <f t="shared" si="73"/>
        <v/>
      </c>
      <c r="G4691" s="10" t="str">
        <f>IF(OR(C4691="",B4691=""),"",IFERROR(C4691*INDEX(Harytlar!$D$5:$D$44,MATCH(B4691,Harytlar!$A$5:$A$44,0)),""))</f>
        <v/>
      </c>
    </row>
    <row r="4692" spans="1:7" x14ac:dyDescent="0.3">
      <c r="A4692" s="17"/>
      <c r="B4692" s="18"/>
      <c r="C4692" s="18"/>
      <c r="D4692" s="18"/>
      <c r="E4692" s="10" t="str">
        <f>IF(B4692="","",IFERROR(INDEX(Harytlar!$C$5:$C$44,MATCH(B4692,Harytlar!$A$5:$A$44,0)),""))</f>
        <v/>
      </c>
      <c r="F4692" s="10" t="str">
        <f t="shared" si="73"/>
        <v/>
      </c>
      <c r="G4692" s="10" t="str">
        <f>IF(OR(C4692="",B4692=""),"",IFERROR(C4692*INDEX(Harytlar!$D$5:$D$44,MATCH(B4692,Harytlar!$A$5:$A$44,0)),""))</f>
        <v/>
      </c>
    </row>
    <row r="4693" spans="1:7" x14ac:dyDescent="0.3">
      <c r="A4693" s="17"/>
      <c r="B4693" s="18"/>
      <c r="C4693" s="18"/>
      <c r="D4693" s="18"/>
      <c r="E4693" s="10" t="str">
        <f>IF(B4693="","",IFERROR(INDEX(Harytlar!$C$5:$C$44,MATCH(B4693,Harytlar!$A$5:$A$44,0)),""))</f>
        <v/>
      </c>
      <c r="F4693" s="10" t="str">
        <f t="shared" si="73"/>
        <v/>
      </c>
      <c r="G4693" s="10" t="str">
        <f>IF(OR(C4693="",B4693=""),"",IFERROR(C4693*INDEX(Harytlar!$D$5:$D$44,MATCH(B4693,Harytlar!$A$5:$A$44,0)),""))</f>
        <v/>
      </c>
    </row>
    <row r="4694" spans="1:7" x14ac:dyDescent="0.3">
      <c r="A4694" s="17"/>
      <c r="B4694" s="18"/>
      <c r="C4694" s="18"/>
      <c r="D4694" s="18"/>
      <c r="E4694" s="10" t="str">
        <f>IF(B4694="","",IFERROR(INDEX(Harytlar!$C$5:$C$44,MATCH(B4694,Harytlar!$A$5:$A$44,0)),""))</f>
        <v/>
      </c>
      <c r="F4694" s="10" t="str">
        <f t="shared" si="73"/>
        <v/>
      </c>
      <c r="G4694" s="10" t="str">
        <f>IF(OR(C4694="",B4694=""),"",IFERROR(C4694*INDEX(Harytlar!$D$5:$D$44,MATCH(B4694,Harytlar!$A$5:$A$44,0)),""))</f>
        <v/>
      </c>
    </row>
    <row r="4695" spans="1:7" x14ac:dyDescent="0.3">
      <c r="A4695" s="17"/>
      <c r="B4695" s="18"/>
      <c r="C4695" s="18"/>
      <c r="D4695" s="18"/>
      <c r="E4695" s="10" t="str">
        <f>IF(B4695="","",IFERROR(INDEX(Harytlar!$C$5:$C$44,MATCH(B4695,Harytlar!$A$5:$A$44,0)),""))</f>
        <v/>
      </c>
      <c r="F4695" s="10" t="str">
        <f t="shared" si="73"/>
        <v/>
      </c>
      <c r="G4695" s="10" t="str">
        <f>IF(OR(C4695="",B4695=""),"",IFERROR(C4695*INDEX(Harytlar!$D$5:$D$44,MATCH(B4695,Harytlar!$A$5:$A$44,0)),""))</f>
        <v/>
      </c>
    </row>
    <row r="4696" spans="1:7" x14ac:dyDescent="0.3">
      <c r="A4696" s="17"/>
      <c r="B4696" s="18"/>
      <c r="C4696" s="18"/>
      <c r="D4696" s="18"/>
      <c r="E4696" s="10" t="str">
        <f>IF(B4696="","",IFERROR(INDEX(Harytlar!$C$5:$C$44,MATCH(B4696,Harytlar!$A$5:$A$44,0)),""))</f>
        <v/>
      </c>
      <c r="F4696" s="10" t="str">
        <f t="shared" si="73"/>
        <v/>
      </c>
      <c r="G4696" s="10" t="str">
        <f>IF(OR(C4696="",B4696=""),"",IFERROR(C4696*INDEX(Harytlar!$D$5:$D$44,MATCH(B4696,Harytlar!$A$5:$A$44,0)),""))</f>
        <v/>
      </c>
    </row>
    <row r="4697" spans="1:7" x14ac:dyDescent="0.3">
      <c r="A4697" s="17"/>
      <c r="B4697" s="18"/>
      <c r="C4697" s="18"/>
      <c r="D4697" s="18"/>
      <c r="E4697" s="10" t="str">
        <f>IF(B4697="","",IFERROR(INDEX(Harytlar!$C$5:$C$44,MATCH(B4697,Harytlar!$A$5:$A$44,0)),""))</f>
        <v/>
      </c>
      <c r="F4697" s="10" t="str">
        <f t="shared" si="73"/>
        <v/>
      </c>
      <c r="G4697" s="10" t="str">
        <f>IF(OR(C4697="",B4697=""),"",IFERROR(C4697*INDEX(Harytlar!$D$5:$D$44,MATCH(B4697,Harytlar!$A$5:$A$44,0)),""))</f>
        <v/>
      </c>
    </row>
    <row r="4698" spans="1:7" x14ac:dyDescent="0.3">
      <c r="A4698" s="17"/>
      <c r="B4698" s="18"/>
      <c r="C4698" s="18"/>
      <c r="D4698" s="18"/>
      <c r="E4698" s="10" t="str">
        <f>IF(B4698="","",IFERROR(INDEX(Harytlar!$C$5:$C$44,MATCH(B4698,Harytlar!$A$5:$A$44,0)),""))</f>
        <v/>
      </c>
      <c r="F4698" s="10" t="str">
        <f t="shared" si="73"/>
        <v/>
      </c>
      <c r="G4698" s="10" t="str">
        <f>IF(OR(C4698="",B4698=""),"",IFERROR(C4698*INDEX(Harytlar!$D$5:$D$44,MATCH(B4698,Harytlar!$A$5:$A$44,0)),""))</f>
        <v/>
      </c>
    </row>
    <row r="4699" spans="1:7" x14ac:dyDescent="0.3">
      <c r="A4699" s="17"/>
      <c r="B4699" s="18"/>
      <c r="C4699" s="18"/>
      <c r="D4699" s="18"/>
      <c r="E4699" s="10" t="str">
        <f>IF(B4699="","",IFERROR(INDEX(Harytlar!$C$5:$C$44,MATCH(B4699,Harytlar!$A$5:$A$44,0)),""))</f>
        <v/>
      </c>
      <c r="F4699" s="10" t="str">
        <f t="shared" si="73"/>
        <v/>
      </c>
      <c r="G4699" s="10" t="str">
        <f>IF(OR(C4699="",B4699=""),"",IFERROR(C4699*INDEX(Harytlar!$D$5:$D$44,MATCH(B4699,Harytlar!$A$5:$A$44,0)),""))</f>
        <v/>
      </c>
    </row>
    <row r="4700" spans="1:7" x14ac:dyDescent="0.3">
      <c r="A4700" s="17"/>
      <c r="B4700" s="18"/>
      <c r="C4700" s="18"/>
      <c r="D4700" s="18"/>
      <c r="E4700" s="10" t="str">
        <f>IF(B4700="","",IFERROR(INDEX(Harytlar!$C$5:$C$44,MATCH(B4700,Harytlar!$A$5:$A$44,0)),""))</f>
        <v/>
      </c>
      <c r="F4700" s="10" t="str">
        <f t="shared" si="73"/>
        <v/>
      </c>
      <c r="G4700" s="10" t="str">
        <f>IF(OR(C4700="",B4700=""),"",IFERROR(C4700*INDEX(Harytlar!$D$5:$D$44,MATCH(B4700,Harytlar!$A$5:$A$44,0)),""))</f>
        <v/>
      </c>
    </row>
    <row r="4701" spans="1:7" x14ac:dyDescent="0.3">
      <c r="A4701" s="17"/>
      <c r="B4701" s="18"/>
      <c r="C4701" s="18"/>
      <c r="D4701" s="18"/>
      <c r="E4701" s="10" t="str">
        <f>IF(B4701="","",IFERROR(INDEX(Harytlar!$C$5:$C$44,MATCH(B4701,Harytlar!$A$5:$A$44,0)),""))</f>
        <v/>
      </c>
      <c r="F4701" s="10" t="str">
        <f t="shared" si="73"/>
        <v/>
      </c>
      <c r="G4701" s="10" t="str">
        <f>IF(OR(C4701="",B4701=""),"",IFERROR(C4701*INDEX(Harytlar!$D$5:$D$44,MATCH(B4701,Harytlar!$A$5:$A$44,0)),""))</f>
        <v/>
      </c>
    </row>
    <row r="4702" spans="1:7" x14ac:dyDescent="0.3">
      <c r="A4702" s="17"/>
      <c r="B4702" s="18"/>
      <c r="C4702" s="18"/>
      <c r="D4702" s="18"/>
      <c r="E4702" s="10" t="str">
        <f>IF(B4702="","",IFERROR(INDEX(Harytlar!$C$5:$C$44,MATCH(B4702,Harytlar!$A$5:$A$44,0)),""))</f>
        <v/>
      </c>
      <c r="F4702" s="10" t="str">
        <f t="shared" si="73"/>
        <v/>
      </c>
      <c r="G4702" s="10" t="str">
        <f>IF(OR(C4702="",B4702=""),"",IFERROR(C4702*INDEX(Harytlar!$D$5:$D$44,MATCH(B4702,Harytlar!$A$5:$A$44,0)),""))</f>
        <v/>
      </c>
    </row>
    <row r="4703" spans="1:7" x14ac:dyDescent="0.3">
      <c r="A4703" s="17"/>
      <c r="B4703" s="18"/>
      <c r="C4703" s="18"/>
      <c r="D4703" s="18"/>
      <c r="E4703" s="10" t="str">
        <f>IF(B4703="","",IFERROR(INDEX(Harytlar!$C$5:$C$44,MATCH(B4703,Harytlar!$A$5:$A$44,0)),""))</f>
        <v/>
      </c>
      <c r="F4703" s="10" t="str">
        <f t="shared" si="73"/>
        <v/>
      </c>
      <c r="G4703" s="10" t="str">
        <f>IF(OR(C4703="",B4703=""),"",IFERROR(C4703*INDEX(Harytlar!$D$5:$D$44,MATCH(B4703,Harytlar!$A$5:$A$44,0)),""))</f>
        <v/>
      </c>
    </row>
    <row r="4704" spans="1:7" x14ac:dyDescent="0.3">
      <c r="A4704" s="17"/>
      <c r="B4704" s="18"/>
      <c r="C4704" s="18"/>
      <c r="D4704" s="18"/>
      <c r="E4704" s="10" t="str">
        <f>IF(B4704="","",IFERROR(INDEX(Harytlar!$C$5:$C$44,MATCH(B4704,Harytlar!$A$5:$A$44,0)),""))</f>
        <v/>
      </c>
      <c r="F4704" s="10" t="str">
        <f t="shared" si="73"/>
        <v/>
      </c>
      <c r="G4704" s="10" t="str">
        <f>IF(OR(C4704="",B4704=""),"",IFERROR(C4704*INDEX(Harytlar!$D$5:$D$44,MATCH(B4704,Harytlar!$A$5:$A$44,0)),""))</f>
        <v/>
      </c>
    </row>
    <row r="4705" spans="1:7" x14ac:dyDescent="0.3">
      <c r="A4705" s="17"/>
      <c r="B4705" s="18"/>
      <c r="C4705" s="18"/>
      <c r="D4705" s="18"/>
      <c r="E4705" s="10" t="str">
        <f>IF(B4705="","",IFERROR(INDEX(Harytlar!$C$5:$C$44,MATCH(B4705,Harytlar!$A$5:$A$44,0)),""))</f>
        <v/>
      </c>
      <c r="F4705" s="10" t="str">
        <f t="shared" si="73"/>
        <v/>
      </c>
      <c r="G4705" s="10" t="str">
        <f>IF(OR(C4705="",B4705=""),"",IFERROR(C4705*INDEX(Harytlar!$D$5:$D$44,MATCH(B4705,Harytlar!$A$5:$A$44,0)),""))</f>
        <v/>
      </c>
    </row>
    <row r="4706" spans="1:7" x14ac:dyDescent="0.3">
      <c r="A4706" s="17"/>
      <c r="B4706" s="18"/>
      <c r="C4706" s="18"/>
      <c r="D4706" s="18"/>
      <c r="E4706" s="10" t="str">
        <f>IF(B4706="","",IFERROR(INDEX(Harytlar!$C$5:$C$44,MATCH(B4706,Harytlar!$A$5:$A$44,0)),""))</f>
        <v/>
      </c>
      <c r="F4706" s="10" t="str">
        <f t="shared" si="73"/>
        <v/>
      </c>
      <c r="G4706" s="10" t="str">
        <f>IF(OR(C4706="",B4706=""),"",IFERROR(C4706*INDEX(Harytlar!$D$5:$D$44,MATCH(B4706,Harytlar!$A$5:$A$44,0)),""))</f>
        <v/>
      </c>
    </row>
    <row r="4707" spans="1:7" x14ac:dyDescent="0.3">
      <c r="A4707" s="17"/>
      <c r="B4707" s="18"/>
      <c r="C4707" s="18"/>
      <c r="D4707" s="18"/>
      <c r="E4707" s="10" t="str">
        <f>IF(B4707="","",IFERROR(INDEX(Harytlar!$C$5:$C$44,MATCH(B4707,Harytlar!$A$5:$A$44,0)),""))</f>
        <v/>
      </c>
      <c r="F4707" s="10" t="str">
        <f t="shared" si="73"/>
        <v/>
      </c>
      <c r="G4707" s="10" t="str">
        <f>IF(OR(C4707="",B4707=""),"",IFERROR(C4707*INDEX(Harytlar!$D$5:$D$44,MATCH(B4707,Harytlar!$A$5:$A$44,0)),""))</f>
        <v/>
      </c>
    </row>
    <row r="4708" spans="1:7" x14ac:dyDescent="0.3">
      <c r="A4708" s="17"/>
      <c r="B4708" s="18"/>
      <c r="C4708" s="18"/>
      <c r="D4708" s="18"/>
      <c r="E4708" s="10" t="str">
        <f>IF(B4708="","",IFERROR(INDEX(Harytlar!$C$5:$C$44,MATCH(B4708,Harytlar!$A$5:$A$44,0)),""))</f>
        <v/>
      </c>
      <c r="F4708" s="10" t="str">
        <f t="shared" si="73"/>
        <v/>
      </c>
      <c r="G4708" s="10" t="str">
        <f>IF(OR(C4708="",B4708=""),"",IFERROR(C4708*INDEX(Harytlar!$D$5:$D$44,MATCH(B4708,Harytlar!$A$5:$A$44,0)),""))</f>
        <v/>
      </c>
    </row>
    <row r="4709" spans="1:7" x14ac:dyDescent="0.3">
      <c r="A4709" s="17"/>
      <c r="B4709" s="18"/>
      <c r="C4709" s="18"/>
      <c r="D4709" s="18"/>
      <c r="E4709" s="10" t="str">
        <f>IF(B4709="","",IFERROR(INDEX(Harytlar!$C$5:$C$44,MATCH(B4709,Harytlar!$A$5:$A$44,0)),""))</f>
        <v/>
      </c>
      <c r="F4709" s="10" t="str">
        <f t="shared" si="73"/>
        <v/>
      </c>
      <c r="G4709" s="10" t="str">
        <f>IF(OR(C4709="",B4709=""),"",IFERROR(C4709*INDEX(Harytlar!$D$5:$D$44,MATCH(B4709,Harytlar!$A$5:$A$44,0)),""))</f>
        <v/>
      </c>
    </row>
    <row r="4710" spans="1:7" x14ac:dyDescent="0.3">
      <c r="A4710" s="17"/>
      <c r="B4710" s="18"/>
      <c r="C4710" s="18"/>
      <c r="D4710" s="18"/>
      <c r="E4710" s="10" t="str">
        <f>IF(B4710="","",IFERROR(INDEX(Harytlar!$C$5:$C$44,MATCH(B4710,Harytlar!$A$5:$A$44,0)),""))</f>
        <v/>
      </c>
      <c r="F4710" s="10" t="str">
        <f t="shared" si="73"/>
        <v/>
      </c>
      <c r="G4710" s="10" t="str">
        <f>IF(OR(C4710="",B4710=""),"",IFERROR(C4710*INDEX(Harytlar!$D$5:$D$44,MATCH(B4710,Harytlar!$A$5:$A$44,0)),""))</f>
        <v/>
      </c>
    </row>
    <row r="4711" spans="1:7" x14ac:dyDescent="0.3">
      <c r="A4711" s="17"/>
      <c r="B4711" s="18"/>
      <c r="C4711" s="18"/>
      <c r="D4711" s="18"/>
      <c r="E4711" s="10" t="str">
        <f>IF(B4711="","",IFERROR(INDEX(Harytlar!$C$5:$C$44,MATCH(B4711,Harytlar!$A$5:$A$44,0)),""))</f>
        <v/>
      </c>
      <c r="F4711" s="10" t="str">
        <f t="shared" si="73"/>
        <v/>
      </c>
      <c r="G4711" s="10" t="str">
        <f>IF(OR(C4711="",B4711=""),"",IFERROR(C4711*INDEX(Harytlar!$D$5:$D$44,MATCH(B4711,Harytlar!$A$5:$A$44,0)),""))</f>
        <v/>
      </c>
    </row>
    <row r="4712" spans="1:7" x14ac:dyDescent="0.3">
      <c r="A4712" s="17"/>
      <c r="B4712" s="18"/>
      <c r="C4712" s="18"/>
      <c r="D4712" s="18"/>
      <c r="E4712" s="10" t="str">
        <f>IF(B4712="","",IFERROR(INDEX(Harytlar!$C$5:$C$44,MATCH(B4712,Harytlar!$A$5:$A$44,0)),""))</f>
        <v/>
      </c>
      <c r="F4712" s="10" t="str">
        <f t="shared" si="73"/>
        <v/>
      </c>
      <c r="G4712" s="10" t="str">
        <f>IF(OR(C4712="",B4712=""),"",IFERROR(C4712*INDEX(Harytlar!$D$5:$D$44,MATCH(B4712,Harytlar!$A$5:$A$44,0)),""))</f>
        <v/>
      </c>
    </row>
    <row r="4713" spans="1:7" x14ac:dyDescent="0.3">
      <c r="A4713" s="17"/>
      <c r="B4713" s="18"/>
      <c r="C4713" s="18"/>
      <c r="D4713" s="18"/>
      <c r="E4713" s="10" t="str">
        <f>IF(B4713="","",IFERROR(INDEX(Harytlar!$C$5:$C$44,MATCH(B4713,Harytlar!$A$5:$A$44,0)),""))</f>
        <v/>
      </c>
      <c r="F4713" s="10" t="str">
        <f t="shared" si="73"/>
        <v/>
      </c>
      <c r="G4713" s="10" t="str">
        <f>IF(OR(C4713="",B4713=""),"",IFERROR(C4713*INDEX(Harytlar!$D$5:$D$44,MATCH(B4713,Harytlar!$A$5:$A$44,0)),""))</f>
        <v/>
      </c>
    </row>
    <row r="4714" spans="1:7" x14ac:dyDescent="0.3">
      <c r="A4714" s="17"/>
      <c r="B4714" s="18"/>
      <c r="C4714" s="18"/>
      <c r="D4714" s="18"/>
      <c r="E4714" s="10" t="str">
        <f>IF(B4714="","",IFERROR(INDEX(Harytlar!$C$5:$C$44,MATCH(B4714,Harytlar!$A$5:$A$44,0)),""))</f>
        <v/>
      </c>
      <c r="F4714" s="10" t="str">
        <f t="shared" si="73"/>
        <v/>
      </c>
      <c r="G4714" s="10" t="str">
        <f>IF(OR(C4714="",B4714=""),"",IFERROR(C4714*INDEX(Harytlar!$D$5:$D$44,MATCH(B4714,Harytlar!$A$5:$A$44,0)),""))</f>
        <v/>
      </c>
    </row>
    <row r="4715" spans="1:7" x14ac:dyDescent="0.3">
      <c r="A4715" s="17"/>
      <c r="B4715" s="18"/>
      <c r="C4715" s="18"/>
      <c r="D4715" s="18"/>
      <c r="E4715" s="10" t="str">
        <f>IF(B4715="","",IFERROR(INDEX(Harytlar!$C$5:$C$44,MATCH(B4715,Harytlar!$A$5:$A$44,0)),""))</f>
        <v/>
      </c>
      <c r="F4715" s="10" t="str">
        <f t="shared" si="73"/>
        <v/>
      </c>
      <c r="G4715" s="10" t="str">
        <f>IF(OR(C4715="",B4715=""),"",IFERROR(C4715*INDEX(Harytlar!$D$5:$D$44,MATCH(B4715,Harytlar!$A$5:$A$44,0)),""))</f>
        <v/>
      </c>
    </row>
    <row r="4716" spans="1:7" x14ac:dyDescent="0.3">
      <c r="A4716" s="17"/>
      <c r="B4716" s="18"/>
      <c r="C4716" s="18"/>
      <c r="D4716" s="18"/>
      <c r="E4716" s="10" t="str">
        <f>IF(B4716="","",IFERROR(INDEX(Harytlar!$C$5:$C$44,MATCH(B4716,Harytlar!$A$5:$A$44,0)),""))</f>
        <v/>
      </c>
      <c r="F4716" s="10" t="str">
        <f t="shared" si="73"/>
        <v/>
      </c>
      <c r="G4716" s="10" t="str">
        <f>IF(OR(C4716="",B4716=""),"",IFERROR(C4716*INDEX(Harytlar!$D$5:$D$44,MATCH(B4716,Harytlar!$A$5:$A$44,0)),""))</f>
        <v/>
      </c>
    </row>
    <row r="4717" spans="1:7" x14ac:dyDescent="0.3">
      <c r="A4717" s="17"/>
      <c r="B4717" s="18"/>
      <c r="C4717" s="18"/>
      <c r="D4717" s="18"/>
      <c r="E4717" s="10" t="str">
        <f>IF(B4717="","",IFERROR(INDEX(Harytlar!$C$5:$C$44,MATCH(B4717,Harytlar!$A$5:$A$44,0)),""))</f>
        <v/>
      </c>
      <c r="F4717" s="10" t="str">
        <f t="shared" si="73"/>
        <v/>
      </c>
      <c r="G4717" s="10" t="str">
        <f>IF(OR(C4717="",B4717=""),"",IFERROR(C4717*INDEX(Harytlar!$D$5:$D$44,MATCH(B4717,Harytlar!$A$5:$A$44,0)),""))</f>
        <v/>
      </c>
    </row>
    <row r="4718" spans="1:7" x14ac:dyDescent="0.3">
      <c r="A4718" s="17"/>
      <c r="B4718" s="18"/>
      <c r="C4718" s="18"/>
      <c r="D4718" s="18"/>
      <c r="E4718" s="10" t="str">
        <f>IF(B4718="","",IFERROR(INDEX(Harytlar!$C$5:$C$44,MATCH(B4718,Harytlar!$A$5:$A$44,0)),""))</f>
        <v/>
      </c>
      <c r="F4718" s="10" t="str">
        <f t="shared" si="73"/>
        <v/>
      </c>
      <c r="G4718" s="10" t="str">
        <f>IF(OR(C4718="",B4718=""),"",IFERROR(C4718*INDEX(Harytlar!$D$5:$D$44,MATCH(B4718,Harytlar!$A$5:$A$44,0)),""))</f>
        <v/>
      </c>
    </row>
    <row r="4719" spans="1:7" x14ac:dyDescent="0.3">
      <c r="A4719" s="17"/>
      <c r="B4719" s="18"/>
      <c r="C4719" s="18"/>
      <c r="D4719" s="18"/>
      <c r="E4719" s="10" t="str">
        <f>IF(B4719="","",IFERROR(INDEX(Harytlar!$C$5:$C$44,MATCH(B4719,Harytlar!$A$5:$A$44,0)),""))</f>
        <v/>
      </c>
      <c r="F4719" s="10" t="str">
        <f t="shared" si="73"/>
        <v/>
      </c>
      <c r="G4719" s="10" t="str">
        <f>IF(OR(C4719="",B4719=""),"",IFERROR(C4719*INDEX(Harytlar!$D$5:$D$44,MATCH(B4719,Harytlar!$A$5:$A$44,0)),""))</f>
        <v/>
      </c>
    </row>
    <row r="4720" spans="1:7" x14ac:dyDescent="0.3">
      <c r="A4720" s="17"/>
      <c r="B4720" s="18"/>
      <c r="C4720" s="18"/>
      <c r="D4720" s="18"/>
      <c r="E4720" s="10" t="str">
        <f>IF(B4720="","",IFERROR(INDEX(Harytlar!$C$5:$C$44,MATCH(B4720,Harytlar!$A$5:$A$44,0)),""))</f>
        <v/>
      </c>
      <c r="F4720" s="10" t="str">
        <f t="shared" si="73"/>
        <v/>
      </c>
      <c r="G4720" s="10" t="str">
        <f>IF(OR(C4720="",B4720=""),"",IFERROR(C4720*INDEX(Harytlar!$D$5:$D$44,MATCH(B4720,Harytlar!$A$5:$A$44,0)),""))</f>
        <v/>
      </c>
    </row>
    <row r="4721" spans="1:7" x14ac:dyDescent="0.3">
      <c r="A4721" s="17"/>
      <c r="B4721" s="18"/>
      <c r="C4721" s="18"/>
      <c r="D4721" s="18"/>
      <c r="E4721" s="10" t="str">
        <f>IF(B4721="","",IFERROR(INDEX(Harytlar!$C$5:$C$44,MATCH(B4721,Harytlar!$A$5:$A$44,0)),""))</f>
        <v/>
      </c>
      <c r="F4721" s="10" t="str">
        <f t="shared" si="73"/>
        <v/>
      </c>
      <c r="G4721" s="10" t="str">
        <f>IF(OR(C4721="",B4721=""),"",IFERROR(C4721*INDEX(Harytlar!$D$5:$D$44,MATCH(B4721,Harytlar!$A$5:$A$44,0)),""))</f>
        <v/>
      </c>
    </row>
    <row r="4722" spans="1:7" x14ac:dyDescent="0.3">
      <c r="A4722" s="17"/>
      <c r="B4722" s="18"/>
      <c r="C4722" s="18"/>
      <c r="D4722" s="18"/>
      <c r="E4722" s="10" t="str">
        <f>IF(B4722="","",IFERROR(INDEX(Harytlar!$C$5:$C$44,MATCH(B4722,Harytlar!$A$5:$A$44,0)),""))</f>
        <v/>
      </c>
      <c r="F4722" s="10" t="str">
        <f t="shared" si="73"/>
        <v/>
      </c>
      <c r="G4722" s="10" t="str">
        <f>IF(OR(C4722="",B4722=""),"",IFERROR(C4722*INDEX(Harytlar!$D$5:$D$44,MATCH(B4722,Harytlar!$A$5:$A$44,0)),""))</f>
        <v/>
      </c>
    </row>
    <row r="4723" spans="1:7" x14ac:dyDescent="0.3">
      <c r="A4723" s="17"/>
      <c r="B4723" s="18"/>
      <c r="C4723" s="18"/>
      <c r="D4723" s="18"/>
      <c r="E4723" s="10" t="str">
        <f>IF(B4723="","",IFERROR(INDEX(Harytlar!$C$5:$C$44,MATCH(B4723,Harytlar!$A$5:$A$44,0)),""))</f>
        <v/>
      </c>
      <c r="F4723" s="10" t="str">
        <f t="shared" si="73"/>
        <v/>
      </c>
      <c r="G4723" s="10" t="str">
        <f>IF(OR(C4723="",B4723=""),"",IFERROR(C4723*INDEX(Harytlar!$D$5:$D$44,MATCH(B4723,Harytlar!$A$5:$A$44,0)),""))</f>
        <v/>
      </c>
    </row>
    <row r="4724" spans="1:7" x14ac:dyDescent="0.3">
      <c r="A4724" s="17"/>
      <c r="B4724" s="18"/>
      <c r="C4724" s="18"/>
      <c r="D4724" s="18"/>
      <c r="E4724" s="10" t="str">
        <f>IF(B4724="","",IFERROR(INDEX(Harytlar!$C$5:$C$44,MATCH(B4724,Harytlar!$A$5:$A$44,0)),""))</f>
        <v/>
      </c>
      <c r="F4724" s="10" t="str">
        <f t="shared" si="73"/>
        <v/>
      </c>
      <c r="G4724" s="10" t="str">
        <f>IF(OR(C4724="",B4724=""),"",IFERROR(C4724*INDEX(Harytlar!$D$5:$D$44,MATCH(B4724,Harytlar!$A$5:$A$44,0)),""))</f>
        <v/>
      </c>
    </row>
    <row r="4725" spans="1:7" x14ac:dyDescent="0.3">
      <c r="A4725" s="17"/>
      <c r="B4725" s="18"/>
      <c r="C4725" s="18"/>
      <c r="D4725" s="18"/>
      <c r="E4725" s="10" t="str">
        <f>IF(B4725="","",IFERROR(INDEX(Harytlar!$C$5:$C$44,MATCH(B4725,Harytlar!$A$5:$A$44,0)),""))</f>
        <v/>
      </c>
      <c r="F4725" s="10" t="str">
        <f t="shared" si="73"/>
        <v/>
      </c>
      <c r="G4725" s="10" t="str">
        <f>IF(OR(C4725="",B4725=""),"",IFERROR(C4725*INDEX(Harytlar!$D$5:$D$44,MATCH(B4725,Harytlar!$A$5:$A$44,0)),""))</f>
        <v/>
      </c>
    </row>
    <row r="4726" spans="1:7" x14ac:dyDescent="0.3">
      <c r="A4726" s="17"/>
      <c r="B4726" s="18"/>
      <c r="C4726" s="18"/>
      <c r="D4726" s="18"/>
      <c r="E4726" s="10" t="str">
        <f>IF(B4726="","",IFERROR(INDEX(Harytlar!$C$5:$C$44,MATCH(B4726,Harytlar!$A$5:$A$44,0)),""))</f>
        <v/>
      </c>
      <c r="F4726" s="10" t="str">
        <f t="shared" si="73"/>
        <v/>
      </c>
      <c r="G4726" s="10" t="str">
        <f>IF(OR(C4726="",B4726=""),"",IFERROR(C4726*INDEX(Harytlar!$D$5:$D$44,MATCH(B4726,Harytlar!$A$5:$A$44,0)),""))</f>
        <v/>
      </c>
    </row>
    <row r="4727" spans="1:7" x14ac:dyDescent="0.3">
      <c r="A4727" s="17"/>
      <c r="B4727" s="18"/>
      <c r="C4727" s="18"/>
      <c r="D4727" s="18"/>
      <c r="E4727" s="10" t="str">
        <f>IF(B4727="","",IFERROR(INDEX(Harytlar!$C$5:$C$44,MATCH(B4727,Harytlar!$A$5:$A$44,0)),""))</f>
        <v/>
      </c>
      <c r="F4727" s="10" t="str">
        <f t="shared" si="73"/>
        <v/>
      </c>
      <c r="G4727" s="10" t="str">
        <f>IF(OR(C4727="",B4727=""),"",IFERROR(C4727*INDEX(Harytlar!$D$5:$D$44,MATCH(B4727,Harytlar!$A$5:$A$44,0)),""))</f>
        <v/>
      </c>
    </row>
    <row r="4728" spans="1:7" x14ac:dyDescent="0.3">
      <c r="A4728" s="17"/>
      <c r="B4728" s="18"/>
      <c r="C4728" s="18"/>
      <c r="D4728" s="18"/>
      <c r="E4728" s="10" t="str">
        <f>IF(B4728="","",IFERROR(INDEX(Harytlar!$C$5:$C$44,MATCH(B4728,Harytlar!$A$5:$A$44,0)),""))</f>
        <v/>
      </c>
      <c r="F4728" s="10" t="str">
        <f t="shared" si="73"/>
        <v/>
      </c>
      <c r="G4728" s="10" t="str">
        <f>IF(OR(C4728="",B4728=""),"",IFERROR(C4728*INDEX(Harytlar!$D$5:$D$44,MATCH(B4728,Harytlar!$A$5:$A$44,0)),""))</f>
        <v/>
      </c>
    </row>
    <row r="4729" spans="1:7" x14ac:dyDescent="0.3">
      <c r="A4729" s="17"/>
      <c r="B4729" s="18"/>
      <c r="C4729" s="18"/>
      <c r="D4729" s="18"/>
      <c r="E4729" s="10" t="str">
        <f>IF(B4729="","",IFERROR(INDEX(Harytlar!$C$5:$C$44,MATCH(B4729,Harytlar!$A$5:$A$44,0)),""))</f>
        <v/>
      </c>
      <c r="F4729" s="10" t="str">
        <f t="shared" si="73"/>
        <v/>
      </c>
      <c r="G4729" s="10" t="str">
        <f>IF(OR(C4729="",B4729=""),"",IFERROR(C4729*INDEX(Harytlar!$D$5:$D$44,MATCH(B4729,Harytlar!$A$5:$A$44,0)),""))</f>
        <v/>
      </c>
    </row>
    <row r="4730" spans="1:7" x14ac:dyDescent="0.3">
      <c r="A4730" s="17"/>
      <c r="B4730" s="18"/>
      <c r="C4730" s="18"/>
      <c r="D4730" s="18"/>
      <c r="E4730" s="10" t="str">
        <f>IF(B4730="","",IFERROR(INDEX(Harytlar!$C$5:$C$44,MATCH(B4730,Harytlar!$A$5:$A$44,0)),""))</f>
        <v/>
      </c>
      <c r="F4730" s="10" t="str">
        <f t="shared" si="73"/>
        <v/>
      </c>
      <c r="G4730" s="10" t="str">
        <f>IF(OR(C4730="",B4730=""),"",IFERROR(C4730*INDEX(Harytlar!$D$5:$D$44,MATCH(B4730,Harytlar!$A$5:$A$44,0)),""))</f>
        <v/>
      </c>
    </row>
    <row r="4731" spans="1:7" x14ac:dyDescent="0.3">
      <c r="A4731" s="17"/>
      <c r="B4731" s="18"/>
      <c r="C4731" s="18"/>
      <c r="D4731" s="18"/>
      <c r="E4731" s="10" t="str">
        <f>IF(B4731="","",IFERROR(INDEX(Harytlar!$C$5:$C$44,MATCH(B4731,Harytlar!$A$5:$A$44,0)),""))</f>
        <v/>
      </c>
      <c r="F4731" s="10" t="str">
        <f t="shared" si="73"/>
        <v/>
      </c>
      <c r="G4731" s="10" t="str">
        <f>IF(OR(C4731="",B4731=""),"",IFERROR(C4731*INDEX(Harytlar!$D$5:$D$44,MATCH(B4731,Harytlar!$A$5:$A$44,0)),""))</f>
        <v/>
      </c>
    </row>
    <row r="4732" spans="1:7" x14ac:dyDescent="0.3">
      <c r="A4732" s="17"/>
      <c r="B4732" s="18"/>
      <c r="C4732" s="18"/>
      <c r="D4732" s="18"/>
      <c r="E4732" s="10" t="str">
        <f>IF(B4732="","",IFERROR(INDEX(Harytlar!$C$5:$C$44,MATCH(B4732,Harytlar!$A$5:$A$44,0)),""))</f>
        <v/>
      </c>
      <c r="F4732" s="10" t="str">
        <f t="shared" si="73"/>
        <v/>
      </c>
      <c r="G4732" s="10" t="str">
        <f>IF(OR(C4732="",B4732=""),"",IFERROR(C4732*INDEX(Harytlar!$D$5:$D$44,MATCH(B4732,Harytlar!$A$5:$A$44,0)),""))</f>
        <v/>
      </c>
    </row>
    <row r="4733" spans="1:7" x14ac:dyDescent="0.3">
      <c r="A4733" s="17"/>
      <c r="B4733" s="18"/>
      <c r="C4733" s="18"/>
      <c r="D4733" s="18"/>
      <c r="E4733" s="10" t="str">
        <f>IF(B4733="","",IFERROR(INDEX(Harytlar!$C$5:$C$44,MATCH(B4733,Harytlar!$A$5:$A$44,0)),""))</f>
        <v/>
      </c>
      <c r="F4733" s="10" t="str">
        <f t="shared" si="73"/>
        <v/>
      </c>
      <c r="G4733" s="10" t="str">
        <f>IF(OR(C4733="",B4733=""),"",IFERROR(C4733*INDEX(Harytlar!$D$5:$D$44,MATCH(B4733,Harytlar!$A$5:$A$44,0)),""))</f>
        <v/>
      </c>
    </row>
    <row r="4734" spans="1:7" x14ac:dyDescent="0.3">
      <c r="A4734" s="17"/>
      <c r="B4734" s="18"/>
      <c r="C4734" s="18"/>
      <c r="D4734" s="18"/>
      <c r="E4734" s="10" t="str">
        <f>IF(B4734="","",IFERROR(INDEX(Harytlar!$C$5:$C$44,MATCH(B4734,Harytlar!$A$5:$A$44,0)),""))</f>
        <v/>
      </c>
      <c r="F4734" s="10" t="str">
        <f t="shared" si="73"/>
        <v/>
      </c>
      <c r="G4734" s="10" t="str">
        <f>IF(OR(C4734="",B4734=""),"",IFERROR(C4734*INDEX(Harytlar!$D$5:$D$44,MATCH(B4734,Harytlar!$A$5:$A$44,0)),""))</f>
        <v/>
      </c>
    </row>
    <row r="4735" spans="1:7" x14ac:dyDescent="0.3">
      <c r="A4735" s="17"/>
      <c r="B4735" s="18"/>
      <c r="C4735" s="18"/>
      <c r="D4735" s="18"/>
      <c r="E4735" s="10" t="str">
        <f>IF(B4735="","",IFERROR(INDEX(Harytlar!$C$5:$C$44,MATCH(B4735,Harytlar!$A$5:$A$44,0)),""))</f>
        <v/>
      </c>
      <c r="F4735" s="10" t="str">
        <f t="shared" si="73"/>
        <v/>
      </c>
      <c r="G4735" s="10" t="str">
        <f>IF(OR(C4735="",B4735=""),"",IFERROR(C4735*INDEX(Harytlar!$D$5:$D$44,MATCH(B4735,Harytlar!$A$5:$A$44,0)),""))</f>
        <v/>
      </c>
    </row>
    <row r="4736" spans="1:7" x14ac:dyDescent="0.3">
      <c r="A4736" s="17"/>
      <c r="B4736" s="18"/>
      <c r="C4736" s="18"/>
      <c r="D4736" s="18"/>
      <c r="E4736" s="10" t="str">
        <f>IF(B4736="","",IFERROR(INDEX(Harytlar!$C$5:$C$44,MATCH(B4736,Harytlar!$A$5:$A$44,0)),""))</f>
        <v/>
      </c>
      <c r="F4736" s="10" t="str">
        <f t="shared" si="73"/>
        <v/>
      </c>
      <c r="G4736" s="10" t="str">
        <f>IF(OR(C4736="",B4736=""),"",IFERROR(C4736*INDEX(Harytlar!$D$5:$D$44,MATCH(B4736,Harytlar!$A$5:$A$44,0)),""))</f>
        <v/>
      </c>
    </row>
    <row r="4737" spans="1:7" x14ac:dyDescent="0.3">
      <c r="A4737" s="17"/>
      <c r="B4737" s="18"/>
      <c r="C4737" s="18"/>
      <c r="D4737" s="18"/>
      <c r="E4737" s="10" t="str">
        <f>IF(B4737="","",IFERROR(INDEX(Harytlar!$C$5:$C$44,MATCH(B4737,Harytlar!$A$5:$A$44,0)),""))</f>
        <v/>
      </c>
      <c r="F4737" s="10" t="str">
        <f t="shared" si="73"/>
        <v/>
      </c>
      <c r="G4737" s="10" t="str">
        <f>IF(OR(C4737="",B4737=""),"",IFERROR(C4737*INDEX(Harytlar!$D$5:$D$44,MATCH(B4737,Harytlar!$A$5:$A$44,0)),""))</f>
        <v/>
      </c>
    </row>
    <row r="4738" spans="1:7" x14ac:dyDescent="0.3">
      <c r="A4738" s="17"/>
      <c r="B4738" s="18"/>
      <c r="C4738" s="18"/>
      <c r="D4738" s="18"/>
      <c r="E4738" s="10" t="str">
        <f>IF(B4738="","",IFERROR(INDEX(Harytlar!$C$5:$C$44,MATCH(B4738,Harytlar!$A$5:$A$44,0)),""))</f>
        <v/>
      </c>
      <c r="F4738" s="10" t="str">
        <f t="shared" si="73"/>
        <v/>
      </c>
      <c r="G4738" s="10" t="str">
        <f>IF(OR(C4738="",B4738=""),"",IFERROR(C4738*INDEX(Harytlar!$D$5:$D$44,MATCH(B4738,Harytlar!$A$5:$A$44,0)),""))</f>
        <v/>
      </c>
    </row>
    <row r="4739" spans="1:7" x14ac:dyDescent="0.3">
      <c r="A4739" s="17"/>
      <c r="B4739" s="18"/>
      <c r="C4739" s="18"/>
      <c r="D4739" s="18"/>
      <c r="E4739" s="10" t="str">
        <f>IF(B4739="","",IFERROR(INDEX(Harytlar!$C$5:$C$44,MATCH(B4739,Harytlar!$A$5:$A$44,0)),""))</f>
        <v/>
      </c>
      <c r="F4739" s="10" t="str">
        <f t="shared" si="73"/>
        <v/>
      </c>
      <c r="G4739" s="10" t="str">
        <f>IF(OR(C4739="",B4739=""),"",IFERROR(C4739*INDEX(Harytlar!$D$5:$D$44,MATCH(B4739,Harytlar!$A$5:$A$44,0)),""))</f>
        <v/>
      </c>
    </row>
    <row r="4740" spans="1:7" x14ac:dyDescent="0.3">
      <c r="A4740" s="17"/>
      <c r="B4740" s="18"/>
      <c r="C4740" s="18"/>
      <c r="D4740" s="18"/>
      <c r="E4740" s="10" t="str">
        <f>IF(B4740="","",IFERROR(INDEX(Harytlar!$C$5:$C$44,MATCH(B4740,Harytlar!$A$5:$A$44,0)),""))</f>
        <v/>
      </c>
      <c r="F4740" s="10" t="str">
        <f t="shared" si="73"/>
        <v/>
      </c>
      <c r="G4740" s="10" t="str">
        <f>IF(OR(C4740="",B4740=""),"",IFERROR(C4740*INDEX(Harytlar!$D$5:$D$44,MATCH(B4740,Harytlar!$A$5:$A$44,0)),""))</f>
        <v/>
      </c>
    </row>
    <row r="4741" spans="1:7" x14ac:dyDescent="0.3">
      <c r="A4741" s="17"/>
      <c r="B4741" s="18"/>
      <c r="C4741" s="18"/>
      <c r="D4741" s="18"/>
      <c r="E4741" s="10" t="str">
        <f>IF(B4741="","",IFERROR(INDEX(Harytlar!$C$5:$C$44,MATCH(B4741,Harytlar!$A$5:$A$44,0)),""))</f>
        <v/>
      </c>
      <c r="F4741" s="10" t="str">
        <f t="shared" si="73"/>
        <v/>
      </c>
      <c r="G4741" s="10" t="str">
        <f>IF(OR(C4741="",B4741=""),"",IFERROR(C4741*INDEX(Harytlar!$D$5:$D$44,MATCH(B4741,Harytlar!$A$5:$A$44,0)),""))</f>
        <v/>
      </c>
    </row>
    <row r="4742" spans="1:7" x14ac:dyDescent="0.3">
      <c r="A4742" s="17"/>
      <c r="B4742" s="18"/>
      <c r="C4742" s="18"/>
      <c r="D4742" s="18"/>
      <c r="E4742" s="10" t="str">
        <f>IF(B4742="","",IFERROR(INDEX(Harytlar!$C$5:$C$44,MATCH(B4742,Harytlar!$A$5:$A$44,0)),""))</f>
        <v/>
      </c>
      <c r="F4742" s="10" t="str">
        <f t="shared" ref="F4742:F4805" si="74">IF(OR(C4742="",E4742=""),"",C4742*E4742)</f>
        <v/>
      </c>
      <c r="G4742" s="10" t="str">
        <f>IF(OR(C4742="",B4742=""),"",IFERROR(C4742*INDEX(Harytlar!$D$5:$D$44,MATCH(B4742,Harytlar!$A$5:$A$44,0)),""))</f>
        <v/>
      </c>
    </row>
    <row r="4743" spans="1:7" x14ac:dyDescent="0.3">
      <c r="A4743" s="17"/>
      <c r="B4743" s="18"/>
      <c r="C4743" s="18"/>
      <c r="D4743" s="18"/>
      <c r="E4743" s="10" t="str">
        <f>IF(B4743="","",IFERROR(INDEX(Harytlar!$C$5:$C$44,MATCH(B4743,Harytlar!$A$5:$A$44,0)),""))</f>
        <v/>
      </c>
      <c r="F4743" s="10" t="str">
        <f t="shared" si="74"/>
        <v/>
      </c>
      <c r="G4743" s="10" t="str">
        <f>IF(OR(C4743="",B4743=""),"",IFERROR(C4743*INDEX(Harytlar!$D$5:$D$44,MATCH(B4743,Harytlar!$A$5:$A$44,0)),""))</f>
        <v/>
      </c>
    </row>
    <row r="4744" spans="1:7" x14ac:dyDescent="0.3">
      <c r="A4744" s="17"/>
      <c r="B4744" s="18"/>
      <c r="C4744" s="18"/>
      <c r="D4744" s="18"/>
      <c r="E4744" s="10" t="str">
        <f>IF(B4744="","",IFERROR(INDEX(Harytlar!$C$5:$C$44,MATCH(B4744,Harytlar!$A$5:$A$44,0)),""))</f>
        <v/>
      </c>
      <c r="F4744" s="10" t="str">
        <f t="shared" si="74"/>
        <v/>
      </c>
      <c r="G4744" s="10" t="str">
        <f>IF(OR(C4744="",B4744=""),"",IFERROR(C4744*INDEX(Harytlar!$D$5:$D$44,MATCH(B4744,Harytlar!$A$5:$A$44,0)),""))</f>
        <v/>
      </c>
    </row>
    <row r="4745" spans="1:7" x14ac:dyDescent="0.3">
      <c r="A4745" s="17"/>
      <c r="B4745" s="18"/>
      <c r="C4745" s="18"/>
      <c r="D4745" s="18"/>
      <c r="E4745" s="10" t="str">
        <f>IF(B4745="","",IFERROR(INDEX(Harytlar!$C$5:$C$44,MATCH(B4745,Harytlar!$A$5:$A$44,0)),""))</f>
        <v/>
      </c>
      <c r="F4745" s="10" t="str">
        <f t="shared" si="74"/>
        <v/>
      </c>
      <c r="G4745" s="10" t="str">
        <f>IF(OR(C4745="",B4745=""),"",IFERROR(C4745*INDEX(Harytlar!$D$5:$D$44,MATCH(B4745,Harytlar!$A$5:$A$44,0)),""))</f>
        <v/>
      </c>
    </row>
    <row r="4746" spans="1:7" x14ac:dyDescent="0.3">
      <c r="A4746" s="17"/>
      <c r="B4746" s="18"/>
      <c r="C4746" s="18"/>
      <c r="D4746" s="18"/>
      <c r="E4746" s="10" t="str">
        <f>IF(B4746="","",IFERROR(INDEX(Harytlar!$C$5:$C$44,MATCH(B4746,Harytlar!$A$5:$A$44,0)),""))</f>
        <v/>
      </c>
      <c r="F4746" s="10" t="str">
        <f t="shared" si="74"/>
        <v/>
      </c>
      <c r="G4746" s="10" t="str">
        <f>IF(OR(C4746="",B4746=""),"",IFERROR(C4746*INDEX(Harytlar!$D$5:$D$44,MATCH(B4746,Harytlar!$A$5:$A$44,0)),""))</f>
        <v/>
      </c>
    </row>
    <row r="4747" spans="1:7" x14ac:dyDescent="0.3">
      <c r="A4747" s="17"/>
      <c r="B4747" s="18"/>
      <c r="C4747" s="18"/>
      <c r="D4747" s="18"/>
      <c r="E4747" s="10" t="str">
        <f>IF(B4747="","",IFERROR(INDEX(Harytlar!$C$5:$C$44,MATCH(B4747,Harytlar!$A$5:$A$44,0)),""))</f>
        <v/>
      </c>
      <c r="F4747" s="10" t="str">
        <f t="shared" si="74"/>
        <v/>
      </c>
      <c r="G4747" s="10" t="str">
        <f>IF(OR(C4747="",B4747=""),"",IFERROR(C4747*INDEX(Harytlar!$D$5:$D$44,MATCH(B4747,Harytlar!$A$5:$A$44,0)),""))</f>
        <v/>
      </c>
    </row>
    <row r="4748" spans="1:7" x14ac:dyDescent="0.3">
      <c r="A4748" s="17"/>
      <c r="B4748" s="18"/>
      <c r="C4748" s="18"/>
      <c r="D4748" s="18"/>
      <c r="E4748" s="10" t="str">
        <f>IF(B4748="","",IFERROR(INDEX(Harytlar!$C$5:$C$44,MATCH(B4748,Harytlar!$A$5:$A$44,0)),""))</f>
        <v/>
      </c>
      <c r="F4748" s="10" t="str">
        <f t="shared" si="74"/>
        <v/>
      </c>
      <c r="G4748" s="10" t="str">
        <f>IF(OR(C4748="",B4748=""),"",IFERROR(C4748*INDEX(Harytlar!$D$5:$D$44,MATCH(B4748,Harytlar!$A$5:$A$44,0)),""))</f>
        <v/>
      </c>
    </row>
    <row r="4749" spans="1:7" x14ac:dyDescent="0.3">
      <c r="A4749" s="17"/>
      <c r="B4749" s="18"/>
      <c r="C4749" s="18"/>
      <c r="D4749" s="18"/>
      <c r="E4749" s="10" t="str">
        <f>IF(B4749="","",IFERROR(INDEX(Harytlar!$C$5:$C$44,MATCH(B4749,Harytlar!$A$5:$A$44,0)),""))</f>
        <v/>
      </c>
      <c r="F4749" s="10" t="str">
        <f t="shared" si="74"/>
        <v/>
      </c>
      <c r="G4749" s="10" t="str">
        <f>IF(OR(C4749="",B4749=""),"",IFERROR(C4749*INDEX(Harytlar!$D$5:$D$44,MATCH(B4749,Harytlar!$A$5:$A$44,0)),""))</f>
        <v/>
      </c>
    </row>
    <row r="4750" spans="1:7" x14ac:dyDescent="0.3">
      <c r="A4750" s="17"/>
      <c r="B4750" s="18"/>
      <c r="C4750" s="18"/>
      <c r="D4750" s="18"/>
      <c r="E4750" s="10" t="str">
        <f>IF(B4750="","",IFERROR(INDEX(Harytlar!$C$5:$C$44,MATCH(B4750,Harytlar!$A$5:$A$44,0)),""))</f>
        <v/>
      </c>
      <c r="F4750" s="10" t="str">
        <f t="shared" si="74"/>
        <v/>
      </c>
      <c r="G4750" s="10" t="str">
        <f>IF(OR(C4750="",B4750=""),"",IFERROR(C4750*INDEX(Harytlar!$D$5:$D$44,MATCH(B4750,Harytlar!$A$5:$A$44,0)),""))</f>
        <v/>
      </c>
    </row>
    <row r="4751" spans="1:7" x14ac:dyDescent="0.3">
      <c r="A4751" s="17"/>
      <c r="B4751" s="18"/>
      <c r="C4751" s="18"/>
      <c r="D4751" s="18"/>
      <c r="E4751" s="10" t="str">
        <f>IF(B4751="","",IFERROR(INDEX(Harytlar!$C$5:$C$44,MATCH(B4751,Harytlar!$A$5:$A$44,0)),""))</f>
        <v/>
      </c>
      <c r="F4751" s="10" t="str">
        <f t="shared" si="74"/>
        <v/>
      </c>
      <c r="G4751" s="10" t="str">
        <f>IF(OR(C4751="",B4751=""),"",IFERROR(C4751*INDEX(Harytlar!$D$5:$D$44,MATCH(B4751,Harytlar!$A$5:$A$44,0)),""))</f>
        <v/>
      </c>
    </row>
    <row r="4752" spans="1:7" x14ac:dyDescent="0.3">
      <c r="A4752" s="17"/>
      <c r="B4752" s="18"/>
      <c r="C4752" s="18"/>
      <c r="D4752" s="18"/>
      <c r="E4752" s="10" t="str">
        <f>IF(B4752="","",IFERROR(INDEX(Harytlar!$C$5:$C$44,MATCH(B4752,Harytlar!$A$5:$A$44,0)),""))</f>
        <v/>
      </c>
      <c r="F4752" s="10" t="str">
        <f t="shared" si="74"/>
        <v/>
      </c>
      <c r="G4752" s="10" t="str">
        <f>IF(OR(C4752="",B4752=""),"",IFERROR(C4752*INDEX(Harytlar!$D$5:$D$44,MATCH(B4752,Harytlar!$A$5:$A$44,0)),""))</f>
        <v/>
      </c>
    </row>
    <row r="4753" spans="1:7" x14ac:dyDescent="0.3">
      <c r="A4753" s="17"/>
      <c r="B4753" s="18"/>
      <c r="C4753" s="18"/>
      <c r="D4753" s="18"/>
      <c r="E4753" s="10" t="str">
        <f>IF(B4753="","",IFERROR(INDEX(Harytlar!$C$5:$C$44,MATCH(B4753,Harytlar!$A$5:$A$44,0)),""))</f>
        <v/>
      </c>
      <c r="F4753" s="10" t="str">
        <f t="shared" si="74"/>
        <v/>
      </c>
      <c r="G4753" s="10" t="str">
        <f>IF(OR(C4753="",B4753=""),"",IFERROR(C4753*INDEX(Harytlar!$D$5:$D$44,MATCH(B4753,Harytlar!$A$5:$A$44,0)),""))</f>
        <v/>
      </c>
    </row>
    <row r="4754" spans="1:7" x14ac:dyDescent="0.3">
      <c r="A4754" s="17"/>
      <c r="B4754" s="18"/>
      <c r="C4754" s="18"/>
      <c r="D4754" s="18"/>
      <c r="E4754" s="10" t="str">
        <f>IF(B4754="","",IFERROR(INDEX(Harytlar!$C$5:$C$44,MATCH(B4754,Harytlar!$A$5:$A$44,0)),""))</f>
        <v/>
      </c>
      <c r="F4754" s="10" t="str">
        <f t="shared" si="74"/>
        <v/>
      </c>
      <c r="G4754" s="10" t="str">
        <f>IF(OR(C4754="",B4754=""),"",IFERROR(C4754*INDEX(Harytlar!$D$5:$D$44,MATCH(B4754,Harytlar!$A$5:$A$44,0)),""))</f>
        <v/>
      </c>
    </row>
    <row r="4755" spans="1:7" x14ac:dyDescent="0.3">
      <c r="A4755" s="17"/>
      <c r="B4755" s="18"/>
      <c r="C4755" s="18"/>
      <c r="D4755" s="18"/>
      <c r="E4755" s="10" t="str">
        <f>IF(B4755="","",IFERROR(INDEX(Harytlar!$C$5:$C$44,MATCH(B4755,Harytlar!$A$5:$A$44,0)),""))</f>
        <v/>
      </c>
      <c r="F4755" s="10" t="str">
        <f t="shared" si="74"/>
        <v/>
      </c>
      <c r="G4755" s="10" t="str">
        <f>IF(OR(C4755="",B4755=""),"",IFERROR(C4755*INDEX(Harytlar!$D$5:$D$44,MATCH(B4755,Harytlar!$A$5:$A$44,0)),""))</f>
        <v/>
      </c>
    </row>
    <row r="4756" spans="1:7" x14ac:dyDescent="0.3">
      <c r="A4756" s="17"/>
      <c r="B4756" s="18"/>
      <c r="C4756" s="18"/>
      <c r="D4756" s="18"/>
      <c r="E4756" s="10" t="str">
        <f>IF(B4756="","",IFERROR(INDEX(Harytlar!$C$5:$C$44,MATCH(B4756,Harytlar!$A$5:$A$44,0)),""))</f>
        <v/>
      </c>
      <c r="F4756" s="10" t="str">
        <f t="shared" si="74"/>
        <v/>
      </c>
      <c r="G4756" s="10" t="str">
        <f>IF(OR(C4756="",B4756=""),"",IFERROR(C4756*INDEX(Harytlar!$D$5:$D$44,MATCH(B4756,Harytlar!$A$5:$A$44,0)),""))</f>
        <v/>
      </c>
    </row>
    <row r="4757" spans="1:7" x14ac:dyDescent="0.3">
      <c r="A4757" s="17"/>
      <c r="B4757" s="18"/>
      <c r="C4757" s="18"/>
      <c r="D4757" s="18"/>
      <c r="E4757" s="10" t="str">
        <f>IF(B4757="","",IFERROR(INDEX(Harytlar!$C$5:$C$44,MATCH(B4757,Harytlar!$A$5:$A$44,0)),""))</f>
        <v/>
      </c>
      <c r="F4757" s="10" t="str">
        <f t="shared" si="74"/>
        <v/>
      </c>
      <c r="G4757" s="10" t="str">
        <f>IF(OR(C4757="",B4757=""),"",IFERROR(C4757*INDEX(Harytlar!$D$5:$D$44,MATCH(B4757,Harytlar!$A$5:$A$44,0)),""))</f>
        <v/>
      </c>
    </row>
    <row r="4758" spans="1:7" x14ac:dyDescent="0.3">
      <c r="A4758" s="17"/>
      <c r="B4758" s="18"/>
      <c r="C4758" s="18"/>
      <c r="D4758" s="18"/>
      <c r="E4758" s="10" t="str">
        <f>IF(B4758="","",IFERROR(INDEX(Harytlar!$C$5:$C$44,MATCH(B4758,Harytlar!$A$5:$A$44,0)),""))</f>
        <v/>
      </c>
      <c r="F4758" s="10" t="str">
        <f t="shared" si="74"/>
        <v/>
      </c>
      <c r="G4758" s="10" t="str">
        <f>IF(OR(C4758="",B4758=""),"",IFERROR(C4758*INDEX(Harytlar!$D$5:$D$44,MATCH(B4758,Harytlar!$A$5:$A$44,0)),""))</f>
        <v/>
      </c>
    </row>
    <row r="4759" spans="1:7" x14ac:dyDescent="0.3">
      <c r="A4759" s="17"/>
      <c r="B4759" s="18"/>
      <c r="C4759" s="18"/>
      <c r="D4759" s="18"/>
      <c r="E4759" s="10" t="str">
        <f>IF(B4759="","",IFERROR(INDEX(Harytlar!$C$5:$C$44,MATCH(B4759,Harytlar!$A$5:$A$44,0)),""))</f>
        <v/>
      </c>
      <c r="F4759" s="10" t="str">
        <f t="shared" si="74"/>
        <v/>
      </c>
      <c r="G4759" s="10" t="str">
        <f>IF(OR(C4759="",B4759=""),"",IFERROR(C4759*INDEX(Harytlar!$D$5:$D$44,MATCH(B4759,Harytlar!$A$5:$A$44,0)),""))</f>
        <v/>
      </c>
    </row>
    <row r="4760" spans="1:7" x14ac:dyDescent="0.3">
      <c r="A4760" s="17"/>
      <c r="B4760" s="18"/>
      <c r="C4760" s="18"/>
      <c r="D4760" s="18"/>
      <c r="E4760" s="10" t="str">
        <f>IF(B4760="","",IFERROR(INDEX(Harytlar!$C$5:$C$44,MATCH(B4760,Harytlar!$A$5:$A$44,0)),""))</f>
        <v/>
      </c>
      <c r="F4760" s="10" t="str">
        <f t="shared" si="74"/>
        <v/>
      </c>
      <c r="G4760" s="10" t="str">
        <f>IF(OR(C4760="",B4760=""),"",IFERROR(C4760*INDEX(Harytlar!$D$5:$D$44,MATCH(B4760,Harytlar!$A$5:$A$44,0)),""))</f>
        <v/>
      </c>
    </row>
    <row r="4761" spans="1:7" x14ac:dyDescent="0.3">
      <c r="A4761" s="17"/>
      <c r="B4761" s="18"/>
      <c r="C4761" s="18"/>
      <c r="D4761" s="18"/>
      <c r="E4761" s="10" t="str">
        <f>IF(B4761="","",IFERROR(INDEX(Harytlar!$C$5:$C$44,MATCH(B4761,Harytlar!$A$5:$A$44,0)),""))</f>
        <v/>
      </c>
      <c r="F4761" s="10" t="str">
        <f t="shared" si="74"/>
        <v/>
      </c>
      <c r="G4761" s="10" t="str">
        <f>IF(OR(C4761="",B4761=""),"",IFERROR(C4761*INDEX(Harytlar!$D$5:$D$44,MATCH(B4761,Harytlar!$A$5:$A$44,0)),""))</f>
        <v/>
      </c>
    </row>
    <row r="4762" spans="1:7" x14ac:dyDescent="0.3">
      <c r="A4762" s="17"/>
      <c r="B4762" s="18"/>
      <c r="C4762" s="18"/>
      <c r="D4762" s="18"/>
      <c r="E4762" s="10" t="str">
        <f>IF(B4762="","",IFERROR(INDEX(Harytlar!$C$5:$C$44,MATCH(B4762,Harytlar!$A$5:$A$44,0)),""))</f>
        <v/>
      </c>
      <c r="F4762" s="10" t="str">
        <f t="shared" si="74"/>
        <v/>
      </c>
      <c r="G4762" s="10" t="str">
        <f>IF(OR(C4762="",B4762=""),"",IFERROR(C4762*INDEX(Harytlar!$D$5:$D$44,MATCH(B4762,Harytlar!$A$5:$A$44,0)),""))</f>
        <v/>
      </c>
    </row>
    <row r="4763" spans="1:7" x14ac:dyDescent="0.3">
      <c r="A4763" s="17"/>
      <c r="B4763" s="18"/>
      <c r="C4763" s="18"/>
      <c r="D4763" s="18"/>
      <c r="E4763" s="10" t="str">
        <f>IF(B4763="","",IFERROR(INDEX(Harytlar!$C$5:$C$44,MATCH(B4763,Harytlar!$A$5:$A$44,0)),""))</f>
        <v/>
      </c>
      <c r="F4763" s="10" t="str">
        <f t="shared" si="74"/>
        <v/>
      </c>
      <c r="G4763" s="10" t="str">
        <f>IF(OR(C4763="",B4763=""),"",IFERROR(C4763*INDEX(Harytlar!$D$5:$D$44,MATCH(B4763,Harytlar!$A$5:$A$44,0)),""))</f>
        <v/>
      </c>
    </row>
    <row r="4764" spans="1:7" x14ac:dyDescent="0.3">
      <c r="A4764" s="17"/>
      <c r="B4764" s="18"/>
      <c r="C4764" s="18"/>
      <c r="D4764" s="18"/>
      <c r="E4764" s="10" t="str">
        <f>IF(B4764="","",IFERROR(INDEX(Harytlar!$C$5:$C$44,MATCH(B4764,Harytlar!$A$5:$A$44,0)),""))</f>
        <v/>
      </c>
      <c r="F4764" s="10" t="str">
        <f t="shared" si="74"/>
        <v/>
      </c>
      <c r="G4764" s="10" t="str">
        <f>IF(OR(C4764="",B4764=""),"",IFERROR(C4764*INDEX(Harytlar!$D$5:$D$44,MATCH(B4764,Harytlar!$A$5:$A$44,0)),""))</f>
        <v/>
      </c>
    </row>
    <row r="4765" spans="1:7" x14ac:dyDescent="0.3">
      <c r="A4765" s="17"/>
      <c r="B4765" s="18"/>
      <c r="C4765" s="18"/>
      <c r="D4765" s="18"/>
      <c r="E4765" s="10" t="str">
        <f>IF(B4765="","",IFERROR(INDEX(Harytlar!$C$5:$C$44,MATCH(B4765,Harytlar!$A$5:$A$44,0)),""))</f>
        <v/>
      </c>
      <c r="F4765" s="10" t="str">
        <f t="shared" si="74"/>
        <v/>
      </c>
      <c r="G4765" s="10" t="str">
        <f>IF(OR(C4765="",B4765=""),"",IFERROR(C4765*INDEX(Harytlar!$D$5:$D$44,MATCH(B4765,Harytlar!$A$5:$A$44,0)),""))</f>
        <v/>
      </c>
    </row>
    <row r="4766" spans="1:7" x14ac:dyDescent="0.3">
      <c r="A4766" s="17"/>
      <c r="B4766" s="18"/>
      <c r="C4766" s="18"/>
      <c r="D4766" s="18"/>
      <c r="E4766" s="10" t="str">
        <f>IF(B4766="","",IFERROR(INDEX(Harytlar!$C$5:$C$44,MATCH(B4766,Harytlar!$A$5:$A$44,0)),""))</f>
        <v/>
      </c>
      <c r="F4766" s="10" t="str">
        <f t="shared" si="74"/>
        <v/>
      </c>
      <c r="G4766" s="10" t="str">
        <f>IF(OR(C4766="",B4766=""),"",IFERROR(C4766*INDEX(Harytlar!$D$5:$D$44,MATCH(B4766,Harytlar!$A$5:$A$44,0)),""))</f>
        <v/>
      </c>
    </row>
    <row r="4767" spans="1:7" x14ac:dyDescent="0.3">
      <c r="A4767" s="17"/>
      <c r="B4767" s="18"/>
      <c r="C4767" s="18"/>
      <c r="D4767" s="18"/>
      <c r="E4767" s="10" t="str">
        <f>IF(B4767="","",IFERROR(INDEX(Harytlar!$C$5:$C$44,MATCH(B4767,Harytlar!$A$5:$A$44,0)),""))</f>
        <v/>
      </c>
      <c r="F4767" s="10" t="str">
        <f t="shared" si="74"/>
        <v/>
      </c>
      <c r="G4767" s="10" t="str">
        <f>IF(OR(C4767="",B4767=""),"",IFERROR(C4767*INDEX(Harytlar!$D$5:$D$44,MATCH(B4767,Harytlar!$A$5:$A$44,0)),""))</f>
        <v/>
      </c>
    </row>
    <row r="4768" spans="1:7" x14ac:dyDescent="0.3">
      <c r="A4768" s="17"/>
      <c r="B4768" s="18"/>
      <c r="C4768" s="18"/>
      <c r="D4768" s="18"/>
      <c r="E4768" s="10" t="str">
        <f>IF(B4768="","",IFERROR(INDEX(Harytlar!$C$5:$C$44,MATCH(B4768,Harytlar!$A$5:$A$44,0)),""))</f>
        <v/>
      </c>
      <c r="F4768" s="10" t="str">
        <f t="shared" si="74"/>
        <v/>
      </c>
      <c r="G4768" s="10" t="str">
        <f>IF(OR(C4768="",B4768=""),"",IFERROR(C4768*INDEX(Harytlar!$D$5:$D$44,MATCH(B4768,Harytlar!$A$5:$A$44,0)),""))</f>
        <v/>
      </c>
    </row>
    <row r="4769" spans="1:7" x14ac:dyDescent="0.3">
      <c r="A4769" s="17"/>
      <c r="B4769" s="18"/>
      <c r="C4769" s="18"/>
      <c r="D4769" s="18"/>
      <c r="E4769" s="10" t="str">
        <f>IF(B4769="","",IFERROR(INDEX(Harytlar!$C$5:$C$44,MATCH(B4769,Harytlar!$A$5:$A$44,0)),""))</f>
        <v/>
      </c>
      <c r="F4769" s="10" t="str">
        <f t="shared" si="74"/>
        <v/>
      </c>
      <c r="G4769" s="10" t="str">
        <f>IF(OR(C4769="",B4769=""),"",IFERROR(C4769*INDEX(Harytlar!$D$5:$D$44,MATCH(B4769,Harytlar!$A$5:$A$44,0)),""))</f>
        <v/>
      </c>
    </row>
    <row r="4770" spans="1:7" x14ac:dyDescent="0.3">
      <c r="A4770" s="17"/>
      <c r="B4770" s="18"/>
      <c r="C4770" s="18"/>
      <c r="D4770" s="18"/>
      <c r="E4770" s="10" t="str">
        <f>IF(B4770="","",IFERROR(INDEX(Harytlar!$C$5:$C$44,MATCH(B4770,Harytlar!$A$5:$A$44,0)),""))</f>
        <v/>
      </c>
      <c r="F4770" s="10" t="str">
        <f t="shared" si="74"/>
        <v/>
      </c>
      <c r="G4770" s="10" t="str">
        <f>IF(OR(C4770="",B4770=""),"",IFERROR(C4770*INDEX(Harytlar!$D$5:$D$44,MATCH(B4770,Harytlar!$A$5:$A$44,0)),""))</f>
        <v/>
      </c>
    </row>
    <row r="4771" spans="1:7" x14ac:dyDescent="0.3">
      <c r="A4771" s="17"/>
      <c r="B4771" s="18"/>
      <c r="C4771" s="18"/>
      <c r="D4771" s="18"/>
      <c r="E4771" s="10" t="str">
        <f>IF(B4771="","",IFERROR(INDEX(Harytlar!$C$5:$C$44,MATCH(B4771,Harytlar!$A$5:$A$44,0)),""))</f>
        <v/>
      </c>
      <c r="F4771" s="10" t="str">
        <f t="shared" si="74"/>
        <v/>
      </c>
      <c r="G4771" s="10" t="str">
        <f>IF(OR(C4771="",B4771=""),"",IFERROR(C4771*INDEX(Harytlar!$D$5:$D$44,MATCH(B4771,Harytlar!$A$5:$A$44,0)),""))</f>
        <v/>
      </c>
    </row>
    <row r="4772" spans="1:7" x14ac:dyDescent="0.3">
      <c r="A4772" s="17"/>
      <c r="B4772" s="18"/>
      <c r="C4772" s="18"/>
      <c r="D4772" s="18"/>
      <c r="E4772" s="10" t="str">
        <f>IF(B4772="","",IFERROR(INDEX(Harytlar!$C$5:$C$44,MATCH(B4772,Harytlar!$A$5:$A$44,0)),""))</f>
        <v/>
      </c>
      <c r="F4772" s="10" t="str">
        <f t="shared" si="74"/>
        <v/>
      </c>
      <c r="G4772" s="10" t="str">
        <f>IF(OR(C4772="",B4772=""),"",IFERROR(C4772*INDEX(Harytlar!$D$5:$D$44,MATCH(B4772,Harytlar!$A$5:$A$44,0)),""))</f>
        <v/>
      </c>
    </row>
    <row r="4773" spans="1:7" x14ac:dyDescent="0.3">
      <c r="A4773" s="17"/>
      <c r="B4773" s="18"/>
      <c r="C4773" s="18"/>
      <c r="D4773" s="18"/>
      <c r="E4773" s="10" t="str">
        <f>IF(B4773="","",IFERROR(INDEX(Harytlar!$C$5:$C$44,MATCH(B4773,Harytlar!$A$5:$A$44,0)),""))</f>
        <v/>
      </c>
      <c r="F4773" s="10" t="str">
        <f t="shared" si="74"/>
        <v/>
      </c>
      <c r="G4773" s="10" t="str">
        <f>IF(OR(C4773="",B4773=""),"",IFERROR(C4773*INDEX(Harytlar!$D$5:$D$44,MATCH(B4773,Harytlar!$A$5:$A$44,0)),""))</f>
        <v/>
      </c>
    </row>
    <row r="4774" spans="1:7" x14ac:dyDescent="0.3">
      <c r="A4774" s="17"/>
      <c r="B4774" s="18"/>
      <c r="C4774" s="18"/>
      <c r="D4774" s="18"/>
      <c r="E4774" s="10" t="str">
        <f>IF(B4774="","",IFERROR(INDEX(Harytlar!$C$5:$C$44,MATCH(B4774,Harytlar!$A$5:$A$44,0)),""))</f>
        <v/>
      </c>
      <c r="F4774" s="10" t="str">
        <f t="shared" si="74"/>
        <v/>
      </c>
      <c r="G4774" s="10" t="str">
        <f>IF(OR(C4774="",B4774=""),"",IFERROR(C4774*INDEX(Harytlar!$D$5:$D$44,MATCH(B4774,Harytlar!$A$5:$A$44,0)),""))</f>
        <v/>
      </c>
    </row>
    <row r="4775" spans="1:7" x14ac:dyDescent="0.3">
      <c r="A4775" s="17"/>
      <c r="B4775" s="18"/>
      <c r="C4775" s="18"/>
      <c r="D4775" s="18"/>
      <c r="E4775" s="10" t="str">
        <f>IF(B4775="","",IFERROR(INDEX(Harytlar!$C$5:$C$44,MATCH(B4775,Harytlar!$A$5:$A$44,0)),""))</f>
        <v/>
      </c>
      <c r="F4775" s="10" t="str">
        <f t="shared" si="74"/>
        <v/>
      </c>
      <c r="G4775" s="10" t="str">
        <f>IF(OR(C4775="",B4775=""),"",IFERROR(C4775*INDEX(Harytlar!$D$5:$D$44,MATCH(B4775,Harytlar!$A$5:$A$44,0)),""))</f>
        <v/>
      </c>
    </row>
    <row r="4776" spans="1:7" x14ac:dyDescent="0.3">
      <c r="A4776" s="17"/>
      <c r="B4776" s="18"/>
      <c r="C4776" s="18"/>
      <c r="D4776" s="18"/>
      <c r="E4776" s="10" t="str">
        <f>IF(B4776="","",IFERROR(INDEX(Harytlar!$C$5:$C$44,MATCH(B4776,Harytlar!$A$5:$A$44,0)),""))</f>
        <v/>
      </c>
      <c r="F4776" s="10" t="str">
        <f t="shared" si="74"/>
        <v/>
      </c>
      <c r="G4776" s="10" t="str">
        <f>IF(OR(C4776="",B4776=""),"",IFERROR(C4776*INDEX(Harytlar!$D$5:$D$44,MATCH(B4776,Harytlar!$A$5:$A$44,0)),""))</f>
        <v/>
      </c>
    </row>
    <row r="4777" spans="1:7" x14ac:dyDescent="0.3">
      <c r="A4777" s="17"/>
      <c r="B4777" s="18"/>
      <c r="C4777" s="18"/>
      <c r="D4777" s="18"/>
      <c r="E4777" s="10" t="str">
        <f>IF(B4777="","",IFERROR(INDEX(Harytlar!$C$5:$C$44,MATCH(B4777,Harytlar!$A$5:$A$44,0)),""))</f>
        <v/>
      </c>
      <c r="F4777" s="10" t="str">
        <f t="shared" si="74"/>
        <v/>
      </c>
      <c r="G4777" s="10" t="str">
        <f>IF(OR(C4777="",B4777=""),"",IFERROR(C4777*INDEX(Harytlar!$D$5:$D$44,MATCH(B4777,Harytlar!$A$5:$A$44,0)),""))</f>
        <v/>
      </c>
    </row>
    <row r="4778" spans="1:7" x14ac:dyDescent="0.3">
      <c r="A4778" s="17"/>
      <c r="B4778" s="18"/>
      <c r="C4778" s="18"/>
      <c r="D4778" s="18"/>
      <c r="E4778" s="10" t="str">
        <f>IF(B4778="","",IFERROR(INDEX(Harytlar!$C$5:$C$44,MATCH(B4778,Harytlar!$A$5:$A$44,0)),""))</f>
        <v/>
      </c>
      <c r="F4778" s="10" t="str">
        <f t="shared" si="74"/>
        <v/>
      </c>
      <c r="G4778" s="10" t="str">
        <f>IF(OR(C4778="",B4778=""),"",IFERROR(C4778*INDEX(Harytlar!$D$5:$D$44,MATCH(B4778,Harytlar!$A$5:$A$44,0)),""))</f>
        <v/>
      </c>
    </row>
    <row r="4779" spans="1:7" x14ac:dyDescent="0.3">
      <c r="A4779" s="17"/>
      <c r="B4779" s="18"/>
      <c r="C4779" s="18"/>
      <c r="D4779" s="18"/>
      <c r="E4779" s="10" t="str">
        <f>IF(B4779="","",IFERROR(INDEX(Harytlar!$C$5:$C$44,MATCH(B4779,Harytlar!$A$5:$A$44,0)),""))</f>
        <v/>
      </c>
      <c r="F4779" s="10" t="str">
        <f t="shared" si="74"/>
        <v/>
      </c>
      <c r="G4779" s="10" t="str">
        <f>IF(OR(C4779="",B4779=""),"",IFERROR(C4779*INDEX(Harytlar!$D$5:$D$44,MATCH(B4779,Harytlar!$A$5:$A$44,0)),""))</f>
        <v/>
      </c>
    </row>
    <row r="4780" spans="1:7" x14ac:dyDescent="0.3">
      <c r="A4780" s="17"/>
      <c r="B4780" s="18"/>
      <c r="C4780" s="18"/>
      <c r="D4780" s="18"/>
      <c r="E4780" s="10" t="str">
        <f>IF(B4780="","",IFERROR(INDEX(Harytlar!$C$5:$C$44,MATCH(B4780,Harytlar!$A$5:$A$44,0)),""))</f>
        <v/>
      </c>
      <c r="F4780" s="10" t="str">
        <f t="shared" si="74"/>
        <v/>
      </c>
      <c r="G4780" s="10" t="str">
        <f>IF(OR(C4780="",B4780=""),"",IFERROR(C4780*INDEX(Harytlar!$D$5:$D$44,MATCH(B4780,Harytlar!$A$5:$A$44,0)),""))</f>
        <v/>
      </c>
    </row>
    <row r="4781" spans="1:7" x14ac:dyDescent="0.3">
      <c r="A4781" s="17"/>
      <c r="B4781" s="18"/>
      <c r="C4781" s="18"/>
      <c r="D4781" s="18"/>
      <c r="E4781" s="10" t="str">
        <f>IF(B4781="","",IFERROR(INDEX(Harytlar!$C$5:$C$44,MATCH(B4781,Harytlar!$A$5:$A$44,0)),""))</f>
        <v/>
      </c>
      <c r="F4781" s="10" t="str">
        <f t="shared" si="74"/>
        <v/>
      </c>
      <c r="G4781" s="10" t="str">
        <f>IF(OR(C4781="",B4781=""),"",IFERROR(C4781*INDEX(Harytlar!$D$5:$D$44,MATCH(B4781,Harytlar!$A$5:$A$44,0)),""))</f>
        <v/>
      </c>
    </row>
    <row r="4782" spans="1:7" x14ac:dyDescent="0.3">
      <c r="A4782" s="17"/>
      <c r="B4782" s="18"/>
      <c r="C4782" s="18"/>
      <c r="D4782" s="18"/>
      <c r="E4782" s="10" t="str">
        <f>IF(B4782="","",IFERROR(INDEX(Harytlar!$C$5:$C$44,MATCH(B4782,Harytlar!$A$5:$A$44,0)),""))</f>
        <v/>
      </c>
      <c r="F4782" s="10" t="str">
        <f t="shared" si="74"/>
        <v/>
      </c>
      <c r="G4782" s="10" t="str">
        <f>IF(OR(C4782="",B4782=""),"",IFERROR(C4782*INDEX(Harytlar!$D$5:$D$44,MATCH(B4782,Harytlar!$A$5:$A$44,0)),""))</f>
        <v/>
      </c>
    </row>
    <row r="4783" spans="1:7" x14ac:dyDescent="0.3">
      <c r="A4783" s="17"/>
      <c r="B4783" s="18"/>
      <c r="C4783" s="18"/>
      <c r="D4783" s="18"/>
      <c r="E4783" s="10" t="str">
        <f>IF(B4783="","",IFERROR(INDEX(Harytlar!$C$5:$C$44,MATCH(B4783,Harytlar!$A$5:$A$44,0)),""))</f>
        <v/>
      </c>
      <c r="F4783" s="10" t="str">
        <f t="shared" si="74"/>
        <v/>
      </c>
      <c r="G4783" s="10" t="str">
        <f>IF(OR(C4783="",B4783=""),"",IFERROR(C4783*INDEX(Harytlar!$D$5:$D$44,MATCH(B4783,Harytlar!$A$5:$A$44,0)),""))</f>
        <v/>
      </c>
    </row>
    <row r="4784" spans="1:7" x14ac:dyDescent="0.3">
      <c r="A4784" s="17"/>
      <c r="B4784" s="18"/>
      <c r="C4784" s="18"/>
      <c r="D4784" s="18"/>
      <c r="E4784" s="10" t="str">
        <f>IF(B4784="","",IFERROR(INDEX(Harytlar!$C$5:$C$44,MATCH(B4784,Harytlar!$A$5:$A$44,0)),""))</f>
        <v/>
      </c>
      <c r="F4784" s="10" t="str">
        <f t="shared" si="74"/>
        <v/>
      </c>
      <c r="G4784" s="10" t="str">
        <f>IF(OR(C4784="",B4784=""),"",IFERROR(C4784*INDEX(Harytlar!$D$5:$D$44,MATCH(B4784,Harytlar!$A$5:$A$44,0)),""))</f>
        <v/>
      </c>
    </row>
    <row r="4785" spans="1:7" x14ac:dyDescent="0.3">
      <c r="A4785" s="17"/>
      <c r="B4785" s="18"/>
      <c r="C4785" s="18"/>
      <c r="D4785" s="18"/>
      <c r="E4785" s="10" t="str">
        <f>IF(B4785="","",IFERROR(INDEX(Harytlar!$C$5:$C$44,MATCH(B4785,Harytlar!$A$5:$A$44,0)),""))</f>
        <v/>
      </c>
      <c r="F4785" s="10" t="str">
        <f t="shared" si="74"/>
        <v/>
      </c>
      <c r="G4785" s="10" t="str">
        <f>IF(OR(C4785="",B4785=""),"",IFERROR(C4785*INDEX(Harytlar!$D$5:$D$44,MATCH(B4785,Harytlar!$A$5:$A$44,0)),""))</f>
        <v/>
      </c>
    </row>
    <row r="4786" spans="1:7" x14ac:dyDescent="0.3">
      <c r="A4786" s="17"/>
      <c r="B4786" s="18"/>
      <c r="C4786" s="18"/>
      <c r="D4786" s="18"/>
      <c r="E4786" s="10" t="str">
        <f>IF(B4786="","",IFERROR(INDEX(Harytlar!$C$5:$C$44,MATCH(B4786,Harytlar!$A$5:$A$44,0)),""))</f>
        <v/>
      </c>
      <c r="F4786" s="10" t="str">
        <f t="shared" si="74"/>
        <v/>
      </c>
      <c r="G4786" s="10" t="str">
        <f>IF(OR(C4786="",B4786=""),"",IFERROR(C4786*INDEX(Harytlar!$D$5:$D$44,MATCH(B4786,Harytlar!$A$5:$A$44,0)),""))</f>
        <v/>
      </c>
    </row>
    <row r="4787" spans="1:7" x14ac:dyDescent="0.3">
      <c r="A4787" s="17"/>
      <c r="B4787" s="18"/>
      <c r="C4787" s="18"/>
      <c r="D4787" s="18"/>
      <c r="E4787" s="10" t="str">
        <f>IF(B4787="","",IFERROR(INDEX(Harytlar!$C$5:$C$44,MATCH(B4787,Harytlar!$A$5:$A$44,0)),""))</f>
        <v/>
      </c>
      <c r="F4787" s="10" t="str">
        <f t="shared" si="74"/>
        <v/>
      </c>
      <c r="G4787" s="10" t="str">
        <f>IF(OR(C4787="",B4787=""),"",IFERROR(C4787*INDEX(Harytlar!$D$5:$D$44,MATCH(B4787,Harytlar!$A$5:$A$44,0)),""))</f>
        <v/>
      </c>
    </row>
    <row r="4788" spans="1:7" x14ac:dyDescent="0.3">
      <c r="A4788" s="17"/>
      <c r="B4788" s="18"/>
      <c r="C4788" s="18"/>
      <c r="D4788" s="18"/>
      <c r="E4788" s="10" t="str">
        <f>IF(B4788="","",IFERROR(INDEX(Harytlar!$C$5:$C$44,MATCH(B4788,Harytlar!$A$5:$A$44,0)),""))</f>
        <v/>
      </c>
      <c r="F4788" s="10" t="str">
        <f t="shared" si="74"/>
        <v/>
      </c>
      <c r="G4788" s="10" t="str">
        <f>IF(OR(C4788="",B4788=""),"",IFERROR(C4788*INDEX(Harytlar!$D$5:$D$44,MATCH(B4788,Harytlar!$A$5:$A$44,0)),""))</f>
        <v/>
      </c>
    </row>
    <row r="4789" spans="1:7" x14ac:dyDescent="0.3">
      <c r="A4789" s="17"/>
      <c r="B4789" s="18"/>
      <c r="C4789" s="18"/>
      <c r="D4789" s="18"/>
      <c r="E4789" s="10" t="str">
        <f>IF(B4789="","",IFERROR(INDEX(Harytlar!$C$5:$C$44,MATCH(B4789,Harytlar!$A$5:$A$44,0)),""))</f>
        <v/>
      </c>
      <c r="F4789" s="10" t="str">
        <f t="shared" si="74"/>
        <v/>
      </c>
      <c r="G4789" s="10" t="str">
        <f>IF(OR(C4789="",B4789=""),"",IFERROR(C4789*INDEX(Harytlar!$D$5:$D$44,MATCH(B4789,Harytlar!$A$5:$A$44,0)),""))</f>
        <v/>
      </c>
    </row>
    <row r="4790" spans="1:7" x14ac:dyDescent="0.3">
      <c r="A4790" s="17"/>
      <c r="B4790" s="18"/>
      <c r="C4790" s="18"/>
      <c r="D4790" s="18"/>
      <c r="E4790" s="10" t="str">
        <f>IF(B4790="","",IFERROR(INDEX(Harytlar!$C$5:$C$44,MATCH(B4790,Harytlar!$A$5:$A$44,0)),""))</f>
        <v/>
      </c>
      <c r="F4790" s="10" t="str">
        <f t="shared" si="74"/>
        <v/>
      </c>
      <c r="G4790" s="10" t="str">
        <f>IF(OR(C4790="",B4790=""),"",IFERROR(C4790*INDEX(Harytlar!$D$5:$D$44,MATCH(B4790,Harytlar!$A$5:$A$44,0)),""))</f>
        <v/>
      </c>
    </row>
    <row r="4791" spans="1:7" x14ac:dyDescent="0.3">
      <c r="A4791" s="17"/>
      <c r="B4791" s="18"/>
      <c r="C4791" s="18"/>
      <c r="D4791" s="18"/>
      <c r="E4791" s="10" t="str">
        <f>IF(B4791="","",IFERROR(INDEX(Harytlar!$C$5:$C$44,MATCH(B4791,Harytlar!$A$5:$A$44,0)),""))</f>
        <v/>
      </c>
      <c r="F4791" s="10" t="str">
        <f t="shared" si="74"/>
        <v/>
      </c>
      <c r="G4791" s="10" t="str">
        <f>IF(OR(C4791="",B4791=""),"",IFERROR(C4791*INDEX(Harytlar!$D$5:$D$44,MATCH(B4791,Harytlar!$A$5:$A$44,0)),""))</f>
        <v/>
      </c>
    </row>
    <row r="4792" spans="1:7" x14ac:dyDescent="0.3">
      <c r="A4792" s="17"/>
      <c r="B4792" s="18"/>
      <c r="C4792" s="18"/>
      <c r="D4792" s="18"/>
      <c r="E4792" s="10" t="str">
        <f>IF(B4792="","",IFERROR(INDEX(Harytlar!$C$5:$C$44,MATCH(B4792,Harytlar!$A$5:$A$44,0)),""))</f>
        <v/>
      </c>
      <c r="F4792" s="10" t="str">
        <f t="shared" si="74"/>
        <v/>
      </c>
      <c r="G4792" s="10" t="str">
        <f>IF(OR(C4792="",B4792=""),"",IFERROR(C4792*INDEX(Harytlar!$D$5:$D$44,MATCH(B4792,Harytlar!$A$5:$A$44,0)),""))</f>
        <v/>
      </c>
    </row>
    <row r="4793" spans="1:7" x14ac:dyDescent="0.3">
      <c r="A4793" s="17"/>
      <c r="B4793" s="18"/>
      <c r="C4793" s="18"/>
      <c r="D4793" s="18"/>
      <c r="E4793" s="10" t="str">
        <f>IF(B4793="","",IFERROR(INDEX(Harytlar!$C$5:$C$44,MATCH(B4793,Harytlar!$A$5:$A$44,0)),""))</f>
        <v/>
      </c>
      <c r="F4793" s="10" t="str">
        <f t="shared" si="74"/>
        <v/>
      </c>
      <c r="G4793" s="10" t="str">
        <f>IF(OR(C4793="",B4793=""),"",IFERROR(C4793*INDEX(Harytlar!$D$5:$D$44,MATCH(B4793,Harytlar!$A$5:$A$44,0)),""))</f>
        <v/>
      </c>
    </row>
    <row r="4794" spans="1:7" x14ac:dyDescent="0.3">
      <c r="A4794" s="17"/>
      <c r="B4794" s="18"/>
      <c r="C4794" s="18"/>
      <c r="D4794" s="18"/>
      <c r="E4794" s="10" t="str">
        <f>IF(B4794="","",IFERROR(INDEX(Harytlar!$C$5:$C$44,MATCH(B4794,Harytlar!$A$5:$A$44,0)),""))</f>
        <v/>
      </c>
      <c r="F4794" s="10" t="str">
        <f t="shared" si="74"/>
        <v/>
      </c>
      <c r="G4794" s="10" t="str">
        <f>IF(OR(C4794="",B4794=""),"",IFERROR(C4794*INDEX(Harytlar!$D$5:$D$44,MATCH(B4794,Harytlar!$A$5:$A$44,0)),""))</f>
        <v/>
      </c>
    </row>
    <row r="4795" spans="1:7" x14ac:dyDescent="0.3">
      <c r="A4795" s="17"/>
      <c r="B4795" s="18"/>
      <c r="C4795" s="18"/>
      <c r="D4795" s="18"/>
      <c r="E4795" s="10" t="str">
        <f>IF(B4795="","",IFERROR(INDEX(Harytlar!$C$5:$C$44,MATCH(B4795,Harytlar!$A$5:$A$44,0)),""))</f>
        <v/>
      </c>
      <c r="F4795" s="10" t="str">
        <f t="shared" si="74"/>
        <v/>
      </c>
      <c r="G4795" s="10" t="str">
        <f>IF(OR(C4795="",B4795=""),"",IFERROR(C4795*INDEX(Harytlar!$D$5:$D$44,MATCH(B4795,Harytlar!$A$5:$A$44,0)),""))</f>
        <v/>
      </c>
    </row>
    <row r="4796" spans="1:7" x14ac:dyDescent="0.3">
      <c r="A4796" s="17"/>
      <c r="B4796" s="18"/>
      <c r="C4796" s="18"/>
      <c r="D4796" s="18"/>
      <c r="E4796" s="10" t="str">
        <f>IF(B4796="","",IFERROR(INDEX(Harytlar!$C$5:$C$44,MATCH(B4796,Harytlar!$A$5:$A$44,0)),""))</f>
        <v/>
      </c>
      <c r="F4796" s="10" t="str">
        <f t="shared" si="74"/>
        <v/>
      </c>
      <c r="G4796" s="10" t="str">
        <f>IF(OR(C4796="",B4796=""),"",IFERROR(C4796*INDEX(Harytlar!$D$5:$D$44,MATCH(B4796,Harytlar!$A$5:$A$44,0)),""))</f>
        <v/>
      </c>
    </row>
    <row r="4797" spans="1:7" x14ac:dyDescent="0.3">
      <c r="A4797" s="17"/>
      <c r="B4797" s="18"/>
      <c r="C4797" s="18"/>
      <c r="D4797" s="18"/>
      <c r="E4797" s="10" t="str">
        <f>IF(B4797="","",IFERROR(INDEX(Harytlar!$C$5:$C$44,MATCH(B4797,Harytlar!$A$5:$A$44,0)),""))</f>
        <v/>
      </c>
      <c r="F4797" s="10" t="str">
        <f t="shared" si="74"/>
        <v/>
      </c>
      <c r="G4797" s="10" t="str">
        <f>IF(OR(C4797="",B4797=""),"",IFERROR(C4797*INDEX(Harytlar!$D$5:$D$44,MATCH(B4797,Harytlar!$A$5:$A$44,0)),""))</f>
        <v/>
      </c>
    </row>
    <row r="4798" spans="1:7" x14ac:dyDescent="0.3">
      <c r="A4798" s="17"/>
      <c r="B4798" s="18"/>
      <c r="C4798" s="18"/>
      <c r="D4798" s="18"/>
      <c r="E4798" s="10" t="str">
        <f>IF(B4798="","",IFERROR(INDEX(Harytlar!$C$5:$C$44,MATCH(B4798,Harytlar!$A$5:$A$44,0)),""))</f>
        <v/>
      </c>
      <c r="F4798" s="10" t="str">
        <f t="shared" si="74"/>
        <v/>
      </c>
      <c r="G4798" s="10" t="str">
        <f>IF(OR(C4798="",B4798=""),"",IFERROR(C4798*INDEX(Harytlar!$D$5:$D$44,MATCH(B4798,Harytlar!$A$5:$A$44,0)),""))</f>
        <v/>
      </c>
    </row>
    <row r="4799" spans="1:7" x14ac:dyDescent="0.3">
      <c r="A4799" s="17"/>
      <c r="B4799" s="18"/>
      <c r="C4799" s="18"/>
      <c r="D4799" s="18"/>
      <c r="E4799" s="10" t="str">
        <f>IF(B4799="","",IFERROR(INDEX(Harytlar!$C$5:$C$44,MATCH(B4799,Harytlar!$A$5:$A$44,0)),""))</f>
        <v/>
      </c>
      <c r="F4799" s="10" t="str">
        <f t="shared" si="74"/>
        <v/>
      </c>
      <c r="G4799" s="10" t="str">
        <f>IF(OR(C4799="",B4799=""),"",IFERROR(C4799*INDEX(Harytlar!$D$5:$D$44,MATCH(B4799,Harytlar!$A$5:$A$44,0)),""))</f>
        <v/>
      </c>
    </row>
    <row r="4800" spans="1:7" x14ac:dyDescent="0.3">
      <c r="A4800" s="17"/>
      <c r="B4800" s="18"/>
      <c r="C4800" s="18"/>
      <c r="D4800" s="18"/>
      <c r="E4800" s="10" t="str">
        <f>IF(B4800="","",IFERROR(INDEX(Harytlar!$C$5:$C$44,MATCH(B4800,Harytlar!$A$5:$A$44,0)),""))</f>
        <v/>
      </c>
      <c r="F4800" s="10" t="str">
        <f t="shared" si="74"/>
        <v/>
      </c>
      <c r="G4800" s="10" t="str">
        <f>IF(OR(C4800="",B4800=""),"",IFERROR(C4800*INDEX(Harytlar!$D$5:$D$44,MATCH(B4800,Harytlar!$A$5:$A$44,0)),""))</f>
        <v/>
      </c>
    </row>
    <row r="4801" spans="1:7" x14ac:dyDescent="0.3">
      <c r="A4801" s="17"/>
      <c r="B4801" s="18"/>
      <c r="C4801" s="18"/>
      <c r="D4801" s="18"/>
      <c r="E4801" s="10" t="str">
        <f>IF(B4801="","",IFERROR(INDEX(Harytlar!$C$5:$C$44,MATCH(B4801,Harytlar!$A$5:$A$44,0)),""))</f>
        <v/>
      </c>
      <c r="F4801" s="10" t="str">
        <f t="shared" si="74"/>
        <v/>
      </c>
      <c r="G4801" s="10" t="str">
        <f>IF(OR(C4801="",B4801=""),"",IFERROR(C4801*INDEX(Harytlar!$D$5:$D$44,MATCH(B4801,Harytlar!$A$5:$A$44,0)),""))</f>
        <v/>
      </c>
    </row>
    <row r="4802" spans="1:7" x14ac:dyDescent="0.3">
      <c r="A4802" s="17"/>
      <c r="B4802" s="18"/>
      <c r="C4802" s="18"/>
      <c r="D4802" s="18"/>
      <c r="E4802" s="10" t="str">
        <f>IF(B4802="","",IFERROR(INDEX(Harytlar!$C$5:$C$44,MATCH(B4802,Harytlar!$A$5:$A$44,0)),""))</f>
        <v/>
      </c>
      <c r="F4802" s="10" t="str">
        <f t="shared" si="74"/>
        <v/>
      </c>
      <c r="G4802" s="10" t="str">
        <f>IF(OR(C4802="",B4802=""),"",IFERROR(C4802*INDEX(Harytlar!$D$5:$D$44,MATCH(B4802,Harytlar!$A$5:$A$44,0)),""))</f>
        <v/>
      </c>
    </row>
    <row r="4803" spans="1:7" x14ac:dyDescent="0.3">
      <c r="A4803" s="17"/>
      <c r="B4803" s="18"/>
      <c r="C4803" s="18"/>
      <c r="D4803" s="18"/>
      <c r="E4803" s="10" t="str">
        <f>IF(B4803="","",IFERROR(INDEX(Harytlar!$C$5:$C$44,MATCH(B4803,Harytlar!$A$5:$A$44,0)),""))</f>
        <v/>
      </c>
      <c r="F4803" s="10" t="str">
        <f t="shared" si="74"/>
        <v/>
      </c>
      <c r="G4803" s="10" t="str">
        <f>IF(OR(C4803="",B4803=""),"",IFERROR(C4803*INDEX(Harytlar!$D$5:$D$44,MATCH(B4803,Harytlar!$A$5:$A$44,0)),""))</f>
        <v/>
      </c>
    </row>
    <row r="4804" spans="1:7" x14ac:dyDescent="0.3">
      <c r="A4804" s="17"/>
      <c r="B4804" s="18"/>
      <c r="C4804" s="18"/>
      <c r="D4804" s="18"/>
      <c r="E4804" s="10" t="str">
        <f>IF(B4804="","",IFERROR(INDEX(Harytlar!$C$5:$C$44,MATCH(B4804,Harytlar!$A$5:$A$44,0)),""))</f>
        <v/>
      </c>
      <c r="F4804" s="10" t="str">
        <f t="shared" si="74"/>
        <v/>
      </c>
      <c r="G4804" s="10" t="str">
        <f>IF(OR(C4804="",B4804=""),"",IFERROR(C4804*INDEX(Harytlar!$D$5:$D$44,MATCH(B4804,Harytlar!$A$5:$A$44,0)),""))</f>
        <v/>
      </c>
    </row>
    <row r="4805" spans="1:7" x14ac:dyDescent="0.3">
      <c r="A4805" s="17"/>
      <c r="B4805" s="18"/>
      <c r="C4805" s="18"/>
      <c r="D4805" s="18"/>
      <c r="E4805" s="10" t="str">
        <f>IF(B4805="","",IFERROR(INDEX(Harytlar!$C$5:$C$44,MATCH(B4805,Harytlar!$A$5:$A$44,0)),""))</f>
        <v/>
      </c>
      <c r="F4805" s="10" t="str">
        <f t="shared" si="74"/>
        <v/>
      </c>
      <c r="G4805" s="10" t="str">
        <f>IF(OR(C4805="",B4805=""),"",IFERROR(C4805*INDEX(Harytlar!$D$5:$D$44,MATCH(B4805,Harytlar!$A$5:$A$44,0)),""))</f>
        <v/>
      </c>
    </row>
    <row r="4806" spans="1:7" x14ac:dyDescent="0.3">
      <c r="A4806" s="17"/>
      <c r="B4806" s="18"/>
      <c r="C4806" s="18"/>
      <c r="D4806" s="18"/>
      <c r="E4806" s="10" t="str">
        <f>IF(B4806="","",IFERROR(INDEX(Harytlar!$C$5:$C$44,MATCH(B4806,Harytlar!$A$5:$A$44,0)),""))</f>
        <v/>
      </c>
      <c r="F4806" s="10" t="str">
        <f t="shared" ref="F4806:F4869" si="75">IF(OR(C4806="",E4806=""),"",C4806*E4806)</f>
        <v/>
      </c>
      <c r="G4806" s="10" t="str">
        <f>IF(OR(C4806="",B4806=""),"",IFERROR(C4806*INDEX(Harytlar!$D$5:$D$44,MATCH(B4806,Harytlar!$A$5:$A$44,0)),""))</f>
        <v/>
      </c>
    </row>
    <row r="4807" spans="1:7" x14ac:dyDescent="0.3">
      <c r="A4807" s="17"/>
      <c r="B4807" s="18"/>
      <c r="C4807" s="18"/>
      <c r="D4807" s="18"/>
      <c r="E4807" s="10" t="str">
        <f>IF(B4807="","",IFERROR(INDEX(Harytlar!$C$5:$C$44,MATCH(B4807,Harytlar!$A$5:$A$44,0)),""))</f>
        <v/>
      </c>
      <c r="F4807" s="10" t="str">
        <f t="shared" si="75"/>
        <v/>
      </c>
      <c r="G4807" s="10" t="str">
        <f>IF(OR(C4807="",B4807=""),"",IFERROR(C4807*INDEX(Harytlar!$D$5:$D$44,MATCH(B4807,Harytlar!$A$5:$A$44,0)),""))</f>
        <v/>
      </c>
    </row>
    <row r="4808" spans="1:7" x14ac:dyDescent="0.3">
      <c r="A4808" s="17"/>
      <c r="B4808" s="18"/>
      <c r="C4808" s="18"/>
      <c r="D4808" s="18"/>
      <c r="E4808" s="10" t="str">
        <f>IF(B4808="","",IFERROR(INDEX(Harytlar!$C$5:$C$44,MATCH(B4808,Harytlar!$A$5:$A$44,0)),""))</f>
        <v/>
      </c>
      <c r="F4808" s="10" t="str">
        <f t="shared" si="75"/>
        <v/>
      </c>
      <c r="G4808" s="10" t="str">
        <f>IF(OR(C4808="",B4808=""),"",IFERROR(C4808*INDEX(Harytlar!$D$5:$D$44,MATCH(B4808,Harytlar!$A$5:$A$44,0)),""))</f>
        <v/>
      </c>
    </row>
    <row r="4809" spans="1:7" x14ac:dyDescent="0.3">
      <c r="A4809" s="17"/>
      <c r="B4809" s="18"/>
      <c r="C4809" s="18"/>
      <c r="D4809" s="18"/>
      <c r="E4809" s="10" t="str">
        <f>IF(B4809="","",IFERROR(INDEX(Harytlar!$C$5:$C$44,MATCH(B4809,Harytlar!$A$5:$A$44,0)),""))</f>
        <v/>
      </c>
      <c r="F4809" s="10" t="str">
        <f t="shared" si="75"/>
        <v/>
      </c>
      <c r="G4809" s="10" t="str">
        <f>IF(OR(C4809="",B4809=""),"",IFERROR(C4809*INDEX(Harytlar!$D$5:$D$44,MATCH(B4809,Harytlar!$A$5:$A$44,0)),""))</f>
        <v/>
      </c>
    </row>
    <row r="4810" spans="1:7" x14ac:dyDescent="0.3">
      <c r="A4810" s="17"/>
      <c r="B4810" s="18"/>
      <c r="C4810" s="18"/>
      <c r="D4810" s="18"/>
      <c r="E4810" s="10" t="str">
        <f>IF(B4810="","",IFERROR(INDEX(Harytlar!$C$5:$C$44,MATCH(B4810,Harytlar!$A$5:$A$44,0)),""))</f>
        <v/>
      </c>
      <c r="F4810" s="10" t="str">
        <f t="shared" si="75"/>
        <v/>
      </c>
      <c r="G4810" s="10" t="str">
        <f>IF(OR(C4810="",B4810=""),"",IFERROR(C4810*INDEX(Harytlar!$D$5:$D$44,MATCH(B4810,Harytlar!$A$5:$A$44,0)),""))</f>
        <v/>
      </c>
    </row>
    <row r="4811" spans="1:7" x14ac:dyDescent="0.3">
      <c r="A4811" s="17"/>
      <c r="B4811" s="18"/>
      <c r="C4811" s="18"/>
      <c r="D4811" s="18"/>
      <c r="E4811" s="10" t="str">
        <f>IF(B4811="","",IFERROR(INDEX(Harytlar!$C$5:$C$44,MATCH(B4811,Harytlar!$A$5:$A$44,0)),""))</f>
        <v/>
      </c>
      <c r="F4811" s="10" t="str">
        <f t="shared" si="75"/>
        <v/>
      </c>
      <c r="G4811" s="10" t="str">
        <f>IF(OR(C4811="",B4811=""),"",IFERROR(C4811*INDEX(Harytlar!$D$5:$D$44,MATCH(B4811,Harytlar!$A$5:$A$44,0)),""))</f>
        <v/>
      </c>
    </row>
    <row r="4812" spans="1:7" x14ac:dyDescent="0.3">
      <c r="A4812" s="17"/>
      <c r="B4812" s="18"/>
      <c r="C4812" s="18"/>
      <c r="D4812" s="18"/>
      <c r="E4812" s="10" t="str">
        <f>IF(B4812="","",IFERROR(INDEX(Harytlar!$C$5:$C$44,MATCH(B4812,Harytlar!$A$5:$A$44,0)),""))</f>
        <v/>
      </c>
      <c r="F4812" s="10" t="str">
        <f t="shared" si="75"/>
        <v/>
      </c>
      <c r="G4812" s="10" t="str">
        <f>IF(OR(C4812="",B4812=""),"",IFERROR(C4812*INDEX(Harytlar!$D$5:$D$44,MATCH(B4812,Harytlar!$A$5:$A$44,0)),""))</f>
        <v/>
      </c>
    </row>
    <row r="4813" spans="1:7" x14ac:dyDescent="0.3">
      <c r="A4813" s="17"/>
      <c r="B4813" s="18"/>
      <c r="C4813" s="18"/>
      <c r="D4813" s="18"/>
      <c r="E4813" s="10" t="str">
        <f>IF(B4813="","",IFERROR(INDEX(Harytlar!$C$5:$C$44,MATCH(B4813,Harytlar!$A$5:$A$44,0)),""))</f>
        <v/>
      </c>
      <c r="F4813" s="10" t="str">
        <f t="shared" si="75"/>
        <v/>
      </c>
      <c r="G4813" s="10" t="str">
        <f>IF(OR(C4813="",B4813=""),"",IFERROR(C4813*INDEX(Harytlar!$D$5:$D$44,MATCH(B4813,Harytlar!$A$5:$A$44,0)),""))</f>
        <v/>
      </c>
    </row>
    <row r="4814" spans="1:7" x14ac:dyDescent="0.3">
      <c r="A4814" s="17"/>
      <c r="B4814" s="18"/>
      <c r="C4814" s="18"/>
      <c r="D4814" s="18"/>
      <c r="E4814" s="10" t="str">
        <f>IF(B4814="","",IFERROR(INDEX(Harytlar!$C$5:$C$44,MATCH(B4814,Harytlar!$A$5:$A$44,0)),""))</f>
        <v/>
      </c>
      <c r="F4814" s="10" t="str">
        <f t="shared" si="75"/>
        <v/>
      </c>
      <c r="G4814" s="10" t="str">
        <f>IF(OR(C4814="",B4814=""),"",IFERROR(C4814*INDEX(Harytlar!$D$5:$D$44,MATCH(B4814,Harytlar!$A$5:$A$44,0)),""))</f>
        <v/>
      </c>
    </row>
    <row r="4815" spans="1:7" x14ac:dyDescent="0.3">
      <c r="A4815" s="17"/>
      <c r="B4815" s="18"/>
      <c r="C4815" s="18"/>
      <c r="D4815" s="18"/>
      <c r="E4815" s="10" t="str">
        <f>IF(B4815="","",IFERROR(INDEX(Harytlar!$C$5:$C$44,MATCH(B4815,Harytlar!$A$5:$A$44,0)),""))</f>
        <v/>
      </c>
      <c r="F4815" s="10" t="str">
        <f t="shared" si="75"/>
        <v/>
      </c>
      <c r="G4815" s="10" t="str">
        <f>IF(OR(C4815="",B4815=""),"",IFERROR(C4815*INDEX(Harytlar!$D$5:$D$44,MATCH(B4815,Harytlar!$A$5:$A$44,0)),""))</f>
        <v/>
      </c>
    </row>
    <row r="4816" spans="1:7" x14ac:dyDescent="0.3">
      <c r="A4816" s="17"/>
      <c r="B4816" s="18"/>
      <c r="C4816" s="18"/>
      <c r="D4816" s="18"/>
      <c r="E4816" s="10" t="str">
        <f>IF(B4816="","",IFERROR(INDEX(Harytlar!$C$5:$C$44,MATCH(B4816,Harytlar!$A$5:$A$44,0)),""))</f>
        <v/>
      </c>
      <c r="F4816" s="10" t="str">
        <f t="shared" si="75"/>
        <v/>
      </c>
      <c r="G4816" s="10" t="str">
        <f>IF(OR(C4816="",B4816=""),"",IFERROR(C4816*INDEX(Harytlar!$D$5:$D$44,MATCH(B4816,Harytlar!$A$5:$A$44,0)),""))</f>
        <v/>
      </c>
    </row>
    <row r="4817" spans="1:7" x14ac:dyDescent="0.3">
      <c r="A4817" s="17"/>
      <c r="B4817" s="18"/>
      <c r="C4817" s="18"/>
      <c r="D4817" s="18"/>
      <c r="E4817" s="10" t="str">
        <f>IF(B4817="","",IFERROR(INDEX(Harytlar!$C$5:$C$44,MATCH(B4817,Harytlar!$A$5:$A$44,0)),""))</f>
        <v/>
      </c>
      <c r="F4817" s="10" t="str">
        <f t="shared" si="75"/>
        <v/>
      </c>
      <c r="G4817" s="10" t="str">
        <f>IF(OR(C4817="",B4817=""),"",IFERROR(C4817*INDEX(Harytlar!$D$5:$D$44,MATCH(B4817,Harytlar!$A$5:$A$44,0)),""))</f>
        <v/>
      </c>
    </row>
    <row r="4818" spans="1:7" x14ac:dyDescent="0.3">
      <c r="A4818" s="17"/>
      <c r="B4818" s="18"/>
      <c r="C4818" s="18"/>
      <c r="D4818" s="18"/>
      <c r="E4818" s="10" t="str">
        <f>IF(B4818="","",IFERROR(INDEX(Harytlar!$C$5:$C$44,MATCH(B4818,Harytlar!$A$5:$A$44,0)),""))</f>
        <v/>
      </c>
      <c r="F4818" s="10" t="str">
        <f t="shared" si="75"/>
        <v/>
      </c>
      <c r="G4818" s="10" t="str">
        <f>IF(OR(C4818="",B4818=""),"",IFERROR(C4818*INDEX(Harytlar!$D$5:$D$44,MATCH(B4818,Harytlar!$A$5:$A$44,0)),""))</f>
        <v/>
      </c>
    </row>
    <row r="4819" spans="1:7" x14ac:dyDescent="0.3">
      <c r="A4819" s="17"/>
      <c r="B4819" s="18"/>
      <c r="C4819" s="18"/>
      <c r="D4819" s="18"/>
      <c r="E4819" s="10" t="str">
        <f>IF(B4819="","",IFERROR(INDEX(Harytlar!$C$5:$C$44,MATCH(B4819,Harytlar!$A$5:$A$44,0)),""))</f>
        <v/>
      </c>
      <c r="F4819" s="10" t="str">
        <f t="shared" si="75"/>
        <v/>
      </c>
      <c r="G4819" s="10" t="str">
        <f>IF(OR(C4819="",B4819=""),"",IFERROR(C4819*INDEX(Harytlar!$D$5:$D$44,MATCH(B4819,Harytlar!$A$5:$A$44,0)),""))</f>
        <v/>
      </c>
    </row>
    <row r="4820" spans="1:7" x14ac:dyDescent="0.3">
      <c r="A4820" s="17"/>
      <c r="B4820" s="18"/>
      <c r="C4820" s="18"/>
      <c r="D4820" s="18"/>
      <c r="E4820" s="10" t="str">
        <f>IF(B4820="","",IFERROR(INDEX(Harytlar!$C$5:$C$44,MATCH(B4820,Harytlar!$A$5:$A$44,0)),""))</f>
        <v/>
      </c>
      <c r="F4820" s="10" t="str">
        <f t="shared" si="75"/>
        <v/>
      </c>
      <c r="G4820" s="10" t="str">
        <f>IF(OR(C4820="",B4820=""),"",IFERROR(C4820*INDEX(Harytlar!$D$5:$D$44,MATCH(B4820,Harytlar!$A$5:$A$44,0)),""))</f>
        <v/>
      </c>
    </row>
    <row r="4821" spans="1:7" x14ac:dyDescent="0.3">
      <c r="A4821" s="17"/>
      <c r="B4821" s="18"/>
      <c r="C4821" s="18"/>
      <c r="D4821" s="18"/>
      <c r="E4821" s="10" t="str">
        <f>IF(B4821="","",IFERROR(INDEX(Harytlar!$C$5:$C$44,MATCH(B4821,Harytlar!$A$5:$A$44,0)),""))</f>
        <v/>
      </c>
      <c r="F4821" s="10" t="str">
        <f t="shared" si="75"/>
        <v/>
      </c>
      <c r="G4821" s="10" t="str">
        <f>IF(OR(C4821="",B4821=""),"",IFERROR(C4821*INDEX(Harytlar!$D$5:$D$44,MATCH(B4821,Harytlar!$A$5:$A$44,0)),""))</f>
        <v/>
      </c>
    </row>
    <row r="4822" spans="1:7" x14ac:dyDescent="0.3">
      <c r="A4822" s="17"/>
      <c r="B4822" s="18"/>
      <c r="C4822" s="18"/>
      <c r="D4822" s="18"/>
      <c r="E4822" s="10" t="str">
        <f>IF(B4822="","",IFERROR(INDEX(Harytlar!$C$5:$C$44,MATCH(B4822,Harytlar!$A$5:$A$44,0)),""))</f>
        <v/>
      </c>
      <c r="F4822" s="10" t="str">
        <f t="shared" si="75"/>
        <v/>
      </c>
      <c r="G4822" s="10" t="str">
        <f>IF(OR(C4822="",B4822=""),"",IFERROR(C4822*INDEX(Harytlar!$D$5:$D$44,MATCH(B4822,Harytlar!$A$5:$A$44,0)),""))</f>
        <v/>
      </c>
    </row>
    <row r="4823" spans="1:7" x14ac:dyDescent="0.3">
      <c r="A4823" s="17"/>
      <c r="B4823" s="18"/>
      <c r="C4823" s="18"/>
      <c r="D4823" s="18"/>
      <c r="E4823" s="10" t="str">
        <f>IF(B4823="","",IFERROR(INDEX(Harytlar!$C$5:$C$44,MATCH(B4823,Harytlar!$A$5:$A$44,0)),""))</f>
        <v/>
      </c>
      <c r="F4823" s="10" t="str">
        <f t="shared" si="75"/>
        <v/>
      </c>
      <c r="G4823" s="10" t="str">
        <f>IF(OR(C4823="",B4823=""),"",IFERROR(C4823*INDEX(Harytlar!$D$5:$D$44,MATCH(B4823,Harytlar!$A$5:$A$44,0)),""))</f>
        <v/>
      </c>
    </row>
    <row r="4824" spans="1:7" x14ac:dyDescent="0.3">
      <c r="A4824" s="17"/>
      <c r="B4824" s="18"/>
      <c r="C4824" s="18"/>
      <c r="D4824" s="18"/>
      <c r="E4824" s="10" t="str">
        <f>IF(B4824="","",IFERROR(INDEX(Harytlar!$C$5:$C$44,MATCH(B4824,Harytlar!$A$5:$A$44,0)),""))</f>
        <v/>
      </c>
      <c r="F4824" s="10" t="str">
        <f t="shared" si="75"/>
        <v/>
      </c>
      <c r="G4824" s="10" t="str">
        <f>IF(OR(C4824="",B4824=""),"",IFERROR(C4824*INDEX(Harytlar!$D$5:$D$44,MATCH(B4824,Harytlar!$A$5:$A$44,0)),""))</f>
        <v/>
      </c>
    </row>
    <row r="4825" spans="1:7" x14ac:dyDescent="0.3">
      <c r="A4825" s="17"/>
      <c r="B4825" s="18"/>
      <c r="C4825" s="18"/>
      <c r="D4825" s="18"/>
      <c r="E4825" s="10" t="str">
        <f>IF(B4825="","",IFERROR(INDEX(Harytlar!$C$5:$C$44,MATCH(B4825,Harytlar!$A$5:$A$44,0)),""))</f>
        <v/>
      </c>
      <c r="F4825" s="10" t="str">
        <f t="shared" si="75"/>
        <v/>
      </c>
      <c r="G4825" s="10" t="str">
        <f>IF(OR(C4825="",B4825=""),"",IFERROR(C4825*INDEX(Harytlar!$D$5:$D$44,MATCH(B4825,Harytlar!$A$5:$A$44,0)),""))</f>
        <v/>
      </c>
    </row>
    <row r="4826" spans="1:7" x14ac:dyDescent="0.3">
      <c r="A4826" s="17"/>
      <c r="B4826" s="18"/>
      <c r="C4826" s="18"/>
      <c r="D4826" s="18"/>
      <c r="E4826" s="10" t="str">
        <f>IF(B4826="","",IFERROR(INDEX(Harytlar!$C$5:$C$44,MATCH(B4826,Harytlar!$A$5:$A$44,0)),""))</f>
        <v/>
      </c>
      <c r="F4826" s="10" t="str">
        <f t="shared" si="75"/>
        <v/>
      </c>
      <c r="G4826" s="10" t="str">
        <f>IF(OR(C4826="",B4826=""),"",IFERROR(C4826*INDEX(Harytlar!$D$5:$D$44,MATCH(B4826,Harytlar!$A$5:$A$44,0)),""))</f>
        <v/>
      </c>
    </row>
    <row r="4827" spans="1:7" x14ac:dyDescent="0.3">
      <c r="A4827" s="17"/>
      <c r="B4827" s="18"/>
      <c r="C4827" s="18"/>
      <c r="D4827" s="18"/>
      <c r="E4827" s="10" t="str">
        <f>IF(B4827="","",IFERROR(INDEX(Harytlar!$C$5:$C$44,MATCH(B4827,Harytlar!$A$5:$A$44,0)),""))</f>
        <v/>
      </c>
      <c r="F4827" s="10" t="str">
        <f t="shared" si="75"/>
        <v/>
      </c>
      <c r="G4827" s="10" t="str">
        <f>IF(OR(C4827="",B4827=""),"",IFERROR(C4827*INDEX(Harytlar!$D$5:$D$44,MATCH(B4827,Harytlar!$A$5:$A$44,0)),""))</f>
        <v/>
      </c>
    </row>
    <row r="4828" spans="1:7" x14ac:dyDescent="0.3">
      <c r="A4828" s="17"/>
      <c r="B4828" s="18"/>
      <c r="C4828" s="18"/>
      <c r="D4828" s="18"/>
      <c r="E4828" s="10" t="str">
        <f>IF(B4828="","",IFERROR(INDEX(Harytlar!$C$5:$C$44,MATCH(B4828,Harytlar!$A$5:$A$44,0)),""))</f>
        <v/>
      </c>
      <c r="F4828" s="10" t="str">
        <f t="shared" si="75"/>
        <v/>
      </c>
      <c r="G4828" s="10" t="str">
        <f>IF(OR(C4828="",B4828=""),"",IFERROR(C4828*INDEX(Harytlar!$D$5:$D$44,MATCH(B4828,Harytlar!$A$5:$A$44,0)),""))</f>
        <v/>
      </c>
    </row>
    <row r="4829" spans="1:7" x14ac:dyDescent="0.3">
      <c r="A4829" s="17"/>
      <c r="B4829" s="18"/>
      <c r="C4829" s="18"/>
      <c r="D4829" s="18"/>
      <c r="E4829" s="10" t="str">
        <f>IF(B4829="","",IFERROR(INDEX(Harytlar!$C$5:$C$44,MATCH(B4829,Harytlar!$A$5:$A$44,0)),""))</f>
        <v/>
      </c>
      <c r="F4829" s="10" t="str">
        <f t="shared" si="75"/>
        <v/>
      </c>
      <c r="G4829" s="10" t="str">
        <f>IF(OR(C4829="",B4829=""),"",IFERROR(C4829*INDEX(Harytlar!$D$5:$D$44,MATCH(B4829,Harytlar!$A$5:$A$44,0)),""))</f>
        <v/>
      </c>
    </row>
    <row r="4830" spans="1:7" x14ac:dyDescent="0.3">
      <c r="A4830" s="17"/>
      <c r="B4830" s="18"/>
      <c r="C4830" s="18"/>
      <c r="D4830" s="18"/>
      <c r="E4830" s="10" t="str">
        <f>IF(B4830="","",IFERROR(INDEX(Harytlar!$C$5:$C$44,MATCH(B4830,Harytlar!$A$5:$A$44,0)),""))</f>
        <v/>
      </c>
      <c r="F4830" s="10" t="str">
        <f t="shared" si="75"/>
        <v/>
      </c>
      <c r="G4830" s="10" t="str">
        <f>IF(OR(C4830="",B4830=""),"",IFERROR(C4830*INDEX(Harytlar!$D$5:$D$44,MATCH(B4830,Harytlar!$A$5:$A$44,0)),""))</f>
        <v/>
      </c>
    </row>
    <row r="4831" spans="1:7" x14ac:dyDescent="0.3">
      <c r="A4831" s="17"/>
      <c r="B4831" s="18"/>
      <c r="C4831" s="18"/>
      <c r="D4831" s="18"/>
      <c r="E4831" s="10" t="str">
        <f>IF(B4831="","",IFERROR(INDEX(Harytlar!$C$5:$C$44,MATCH(B4831,Harytlar!$A$5:$A$44,0)),""))</f>
        <v/>
      </c>
      <c r="F4831" s="10" t="str">
        <f t="shared" si="75"/>
        <v/>
      </c>
      <c r="G4831" s="10" t="str">
        <f>IF(OR(C4831="",B4831=""),"",IFERROR(C4831*INDEX(Harytlar!$D$5:$D$44,MATCH(B4831,Harytlar!$A$5:$A$44,0)),""))</f>
        <v/>
      </c>
    </row>
    <row r="4832" spans="1:7" x14ac:dyDescent="0.3">
      <c r="A4832" s="17"/>
      <c r="B4832" s="18"/>
      <c r="C4832" s="18"/>
      <c r="D4832" s="18"/>
      <c r="E4832" s="10" t="str">
        <f>IF(B4832="","",IFERROR(INDEX(Harytlar!$C$5:$C$44,MATCH(B4832,Harytlar!$A$5:$A$44,0)),""))</f>
        <v/>
      </c>
      <c r="F4832" s="10" t="str">
        <f t="shared" si="75"/>
        <v/>
      </c>
      <c r="G4832" s="10" t="str">
        <f>IF(OR(C4832="",B4832=""),"",IFERROR(C4832*INDEX(Harytlar!$D$5:$D$44,MATCH(B4832,Harytlar!$A$5:$A$44,0)),""))</f>
        <v/>
      </c>
    </row>
    <row r="4833" spans="1:7" x14ac:dyDescent="0.3">
      <c r="A4833" s="17"/>
      <c r="B4833" s="18"/>
      <c r="C4833" s="18"/>
      <c r="D4833" s="18"/>
      <c r="E4833" s="10" t="str">
        <f>IF(B4833="","",IFERROR(INDEX(Harytlar!$C$5:$C$44,MATCH(B4833,Harytlar!$A$5:$A$44,0)),""))</f>
        <v/>
      </c>
      <c r="F4833" s="10" t="str">
        <f t="shared" si="75"/>
        <v/>
      </c>
      <c r="G4833" s="10" t="str">
        <f>IF(OR(C4833="",B4833=""),"",IFERROR(C4833*INDEX(Harytlar!$D$5:$D$44,MATCH(B4833,Harytlar!$A$5:$A$44,0)),""))</f>
        <v/>
      </c>
    </row>
    <row r="4834" spans="1:7" x14ac:dyDescent="0.3">
      <c r="A4834" s="17"/>
      <c r="B4834" s="18"/>
      <c r="C4834" s="18"/>
      <c r="D4834" s="18"/>
      <c r="E4834" s="10" t="str">
        <f>IF(B4834="","",IFERROR(INDEX(Harytlar!$C$5:$C$44,MATCH(B4834,Harytlar!$A$5:$A$44,0)),""))</f>
        <v/>
      </c>
      <c r="F4834" s="10" t="str">
        <f t="shared" si="75"/>
        <v/>
      </c>
      <c r="G4834" s="10" t="str">
        <f>IF(OR(C4834="",B4834=""),"",IFERROR(C4834*INDEX(Harytlar!$D$5:$D$44,MATCH(B4834,Harytlar!$A$5:$A$44,0)),""))</f>
        <v/>
      </c>
    </row>
    <row r="4835" spans="1:7" x14ac:dyDescent="0.3">
      <c r="A4835" s="17"/>
      <c r="B4835" s="18"/>
      <c r="C4835" s="18"/>
      <c r="D4835" s="18"/>
      <c r="E4835" s="10" t="str">
        <f>IF(B4835="","",IFERROR(INDEX(Harytlar!$C$5:$C$44,MATCH(B4835,Harytlar!$A$5:$A$44,0)),""))</f>
        <v/>
      </c>
      <c r="F4835" s="10" t="str">
        <f t="shared" si="75"/>
        <v/>
      </c>
      <c r="G4835" s="10" t="str">
        <f>IF(OR(C4835="",B4835=""),"",IFERROR(C4835*INDEX(Harytlar!$D$5:$D$44,MATCH(B4835,Harytlar!$A$5:$A$44,0)),""))</f>
        <v/>
      </c>
    </row>
    <row r="4836" spans="1:7" x14ac:dyDescent="0.3">
      <c r="A4836" s="17"/>
      <c r="B4836" s="18"/>
      <c r="C4836" s="18"/>
      <c r="D4836" s="18"/>
      <c r="E4836" s="10" t="str">
        <f>IF(B4836="","",IFERROR(INDEX(Harytlar!$C$5:$C$44,MATCH(B4836,Harytlar!$A$5:$A$44,0)),""))</f>
        <v/>
      </c>
      <c r="F4836" s="10" t="str">
        <f t="shared" si="75"/>
        <v/>
      </c>
      <c r="G4836" s="10" t="str">
        <f>IF(OR(C4836="",B4836=""),"",IFERROR(C4836*INDEX(Harytlar!$D$5:$D$44,MATCH(B4836,Harytlar!$A$5:$A$44,0)),""))</f>
        <v/>
      </c>
    </row>
    <row r="4837" spans="1:7" x14ac:dyDescent="0.3">
      <c r="A4837" s="17"/>
      <c r="B4837" s="18"/>
      <c r="C4837" s="18"/>
      <c r="D4837" s="18"/>
      <c r="E4837" s="10" t="str">
        <f>IF(B4837="","",IFERROR(INDEX(Harytlar!$C$5:$C$44,MATCH(B4837,Harytlar!$A$5:$A$44,0)),""))</f>
        <v/>
      </c>
      <c r="F4837" s="10" t="str">
        <f t="shared" si="75"/>
        <v/>
      </c>
      <c r="G4837" s="10" t="str">
        <f>IF(OR(C4837="",B4837=""),"",IFERROR(C4837*INDEX(Harytlar!$D$5:$D$44,MATCH(B4837,Harytlar!$A$5:$A$44,0)),""))</f>
        <v/>
      </c>
    </row>
    <row r="4838" spans="1:7" x14ac:dyDescent="0.3">
      <c r="A4838" s="17"/>
      <c r="B4838" s="18"/>
      <c r="C4838" s="18"/>
      <c r="D4838" s="18"/>
      <c r="E4838" s="10" t="str">
        <f>IF(B4838="","",IFERROR(INDEX(Harytlar!$C$5:$C$44,MATCH(B4838,Harytlar!$A$5:$A$44,0)),""))</f>
        <v/>
      </c>
      <c r="F4838" s="10" t="str">
        <f t="shared" si="75"/>
        <v/>
      </c>
      <c r="G4838" s="10" t="str">
        <f>IF(OR(C4838="",B4838=""),"",IFERROR(C4838*INDEX(Harytlar!$D$5:$D$44,MATCH(B4838,Harytlar!$A$5:$A$44,0)),""))</f>
        <v/>
      </c>
    </row>
    <row r="4839" spans="1:7" x14ac:dyDescent="0.3">
      <c r="A4839" s="17"/>
      <c r="B4839" s="18"/>
      <c r="C4839" s="18"/>
      <c r="D4839" s="18"/>
      <c r="E4839" s="10" t="str">
        <f>IF(B4839="","",IFERROR(INDEX(Harytlar!$C$5:$C$44,MATCH(B4839,Harytlar!$A$5:$A$44,0)),""))</f>
        <v/>
      </c>
      <c r="F4839" s="10" t="str">
        <f t="shared" si="75"/>
        <v/>
      </c>
      <c r="G4839" s="10" t="str">
        <f>IF(OR(C4839="",B4839=""),"",IFERROR(C4839*INDEX(Harytlar!$D$5:$D$44,MATCH(B4839,Harytlar!$A$5:$A$44,0)),""))</f>
        <v/>
      </c>
    </row>
    <row r="4840" spans="1:7" x14ac:dyDescent="0.3">
      <c r="A4840" s="17"/>
      <c r="B4840" s="18"/>
      <c r="C4840" s="18"/>
      <c r="D4840" s="18"/>
      <c r="E4840" s="10" t="str">
        <f>IF(B4840="","",IFERROR(INDEX(Harytlar!$C$5:$C$44,MATCH(B4840,Harytlar!$A$5:$A$44,0)),""))</f>
        <v/>
      </c>
      <c r="F4840" s="10" t="str">
        <f t="shared" si="75"/>
        <v/>
      </c>
      <c r="G4840" s="10" t="str">
        <f>IF(OR(C4840="",B4840=""),"",IFERROR(C4840*INDEX(Harytlar!$D$5:$D$44,MATCH(B4840,Harytlar!$A$5:$A$44,0)),""))</f>
        <v/>
      </c>
    </row>
    <row r="4841" spans="1:7" x14ac:dyDescent="0.3">
      <c r="A4841" s="17"/>
      <c r="B4841" s="18"/>
      <c r="C4841" s="18"/>
      <c r="D4841" s="18"/>
      <c r="E4841" s="10" t="str">
        <f>IF(B4841="","",IFERROR(INDEX(Harytlar!$C$5:$C$44,MATCH(B4841,Harytlar!$A$5:$A$44,0)),""))</f>
        <v/>
      </c>
      <c r="F4841" s="10" t="str">
        <f t="shared" si="75"/>
        <v/>
      </c>
      <c r="G4841" s="10" t="str">
        <f>IF(OR(C4841="",B4841=""),"",IFERROR(C4841*INDEX(Harytlar!$D$5:$D$44,MATCH(B4841,Harytlar!$A$5:$A$44,0)),""))</f>
        <v/>
      </c>
    </row>
    <row r="4842" spans="1:7" x14ac:dyDescent="0.3">
      <c r="A4842" s="17"/>
      <c r="B4842" s="18"/>
      <c r="C4842" s="18"/>
      <c r="D4842" s="18"/>
      <c r="E4842" s="10" t="str">
        <f>IF(B4842="","",IFERROR(INDEX(Harytlar!$C$5:$C$44,MATCH(B4842,Harytlar!$A$5:$A$44,0)),""))</f>
        <v/>
      </c>
      <c r="F4842" s="10" t="str">
        <f t="shared" si="75"/>
        <v/>
      </c>
      <c r="G4842" s="10" t="str">
        <f>IF(OR(C4842="",B4842=""),"",IFERROR(C4842*INDEX(Harytlar!$D$5:$D$44,MATCH(B4842,Harytlar!$A$5:$A$44,0)),""))</f>
        <v/>
      </c>
    </row>
    <row r="4843" spans="1:7" x14ac:dyDescent="0.3">
      <c r="A4843" s="17"/>
      <c r="B4843" s="18"/>
      <c r="C4843" s="18"/>
      <c r="D4843" s="18"/>
      <c r="E4843" s="10" t="str">
        <f>IF(B4843="","",IFERROR(INDEX(Harytlar!$C$5:$C$44,MATCH(B4843,Harytlar!$A$5:$A$44,0)),""))</f>
        <v/>
      </c>
      <c r="F4843" s="10" t="str">
        <f t="shared" si="75"/>
        <v/>
      </c>
      <c r="G4843" s="10" t="str">
        <f>IF(OR(C4843="",B4843=""),"",IFERROR(C4843*INDEX(Harytlar!$D$5:$D$44,MATCH(B4843,Harytlar!$A$5:$A$44,0)),""))</f>
        <v/>
      </c>
    </row>
    <row r="4844" spans="1:7" x14ac:dyDescent="0.3">
      <c r="A4844" s="17"/>
      <c r="B4844" s="18"/>
      <c r="C4844" s="18"/>
      <c r="D4844" s="18"/>
      <c r="E4844" s="10" t="str">
        <f>IF(B4844="","",IFERROR(INDEX(Harytlar!$C$5:$C$44,MATCH(B4844,Harytlar!$A$5:$A$44,0)),""))</f>
        <v/>
      </c>
      <c r="F4844" s="10" t="str">
        <f t="shared" si="75"/>
        <v/>
      </c>
      <c r="G4844" s="10" t="str">
        <f>IF(OR(C4844="",B4844=""),"",IFERROR(C4844*INDEX(Harytlar!$D$5:$D$44,MATCH(B4844,Harytlar!$A$5:$A$44,0)),""))</f>
        <v/>
      </c>
    </row>
    <row r="4845" spans="1:7" x14ac:dyDescent="0.3">
      <c r="A4845" s="17"/>
      <c r="B4845" s="18"/>
      <c r="C4845" s="18"/>
      <c r="D4845" s="18"/>
      <c r="E4845" s="10" t="str">
        <f>IF(B4845="","",IFERROR(INDEX(Harytlar!$C$5:$C$44,MATCH(B4845,Harytlar!$A$5:$A$44,0)),""))</f>
        <v/>
      </c>
      <c r="F4845" s="10" t="str">
        <f t="shared" si="75"/>
        <v/>
      </c>
      <c r="G4845" s="10" t="str">
        <f>IF(OR(C4845="",B4845=""),"",IFERROR(C4845*INDEX(Harytlar!$D$5:$D$44,MATCH(B4845,Harytlar!$A$5:$A$44,0)),""))</f>
        <v/>
      </c>
    </row>
    <row r="4846" spans="1:7" x14ac:dyDescent="0.3">
      <c r="A4846" s="17"/>
      <c r="B4846" s="18"/>
      <c r="C4846" s="18"/>
      <c r="D4846" s="18"/>
      <c r="E4846" s="10" t="str">
        <f>IF(B4846="","",IFERROR(INDEX(Harytlar!$C$5:$C$44,MATCH(B4846,Harytlar!$A$5:$A$44,0)),""))</f>
        <v/>
      </c>
      <c r="F4846" s="10" t="str">
        <f t="shared" si="75"/>
        <v/>
      </c>
      <c r="G4846" s="10" t="str">
        <f>IF(OR(C4846="",B4846=""),"",IFERROR(C4846*INDEX(Harytlar!$D$5:$D$44,MATCH(B4846,Harytlar!$A$5:$A$44,0)),""))</f>
        <v/>
      </c>
    </row>
    <row r="4847" spans="1:7" x14ac:dyDescent="0.3">
      <c r="A4847" s="17"/>
      <c r="B4847" s="18"/>
      <c r="C4847" s="18"/>
      <c r="D4847" s="18"/>
      <c r="E4847" s="10" t="str">
        <f>IF(B4847="","",IFERROR(INDEX(Harytlar!$C$5:$C$44,MATCH(B4847,Harytlar!$A$5:$A$44,0)),""))</f>
        <v/>
      </c>
      <c r="F4847" s="10" t="str">
        <f t="shared" si="75"/>
        <v/>
      </c>
      <c r="G4847" s="10" t="str">
        <f>IF(OR(C4847="",B4847=""),"",IFERROR(C4847*INDEX(Harytlar!$D$5:$D$44,MATCH(B4847,Harytlar!$A$5:$A$44,0)),""))</f>
        <v/>
      </c>
    </row>
    <row r="4848" spans="1:7" x14ac:dyDescent="0.3">
      <c r="A4848" s="17"/>
      <c r="B4848" s="18"/>
      <c r="C4848" s="18"/>
      <c r="D4848" s="18"/>
      <c r="E4848" s="10" t="str">
        <f>IF(B4848="","",IFERROR(INDEX(Harytlar!$C$5:$C$44,MATCH(B4848,Harytlar!$A$5:$A$44,0)),""))</f>
        <v/>
      </c>
      <c r="F4848" s="10" t="str">
        <f t="shared" si="75"/>
        <v/>
      </c>
      <c r="G4848" s="10" t="str">
        <f>IF(OR(C4848="",B4848=""),"",IFERROR(C4848*INDEX(Harytlar!$D$5:$D$44,MATCH(B4848,Harytlar!$A$5:$A$44,0)),""))</f>
        <v/>
      </c>
    </row>
    <row r="4849" spans="1:7" x14ac:dyDescent="0.3">
      <c r="A4849" s="17"/>
      <c r="B4849" s="18"/>
      <c r="C4849" s="18"/>
      <c r="D4849" s="18"/>
      <c r="E4849" s="10" t="str">
        <f>IF(B4849="","",IFERROR(INDEX(Harytlar!$C$5:$C$44,MATCH(B4849,Harytlar!$A$5:$A$44,0)),""))</f>
        <v/>
      </c>
      <c r="F4849" s="10" t="str">
        <f t="shared" si="75"/>
        <v/>
      </c>
      <c r="G4849" s="10" t="str">
        <f>IF(OR(C4849="",B4849=""),"",IFERROR(C4849*INDEX(Harytlar!$D$5:$D$44,MATCH(B4849,Harytlar!$A$5:$A$44,0)),""))</f>
        <v/>
      </c>
    </row>
    <row r="4850" spans="1:7" x14ac:dyDescent="0.3">
      <c r="A4850" s="17"/>
      <c r="B4850" s="18"/>
      <c r="C4850" s="18"/>
      <c r="D4850" s="18"/>
      <c r="E4850" s="10" t="str">
        <f>IF(B4850="","",IFERROR(INDEX(Harytlar!$C$5:$C$44,MATCH(B4850,Harytlar!$A$5:$A$44,0)),""))</f>
        <v/>
      </c>
      <c r="F4850" s="10" t="str">
        <f t="shared" si="75"/>
        <v/>
      </c>
      <c r="G4850" s="10" t="str">
        <f>IF(OR(C4850="",B4850=""),"",IFERROR(C4850*INDEX(Harytlar!$D$5:$D$44,MATCH(B4850,Harytlar!$A$5:$A$44,0)),""))</f>
        <v/>
      </c>
    </row>
    <row r="4851" spans="1:7" x14ac:dyDescent="0.3">
      <c r="A4851" s="17"/>
      <c r="B4851" s="18"/>
      <c r="C4851" s="18"/>
      <c r="D4851" s="18"/>
      <c r="E4851" s="10" t="str">
        <f>IF(B4851="","",IFERROR(INDEX(Harytlar!$C$5:$C$44,MATCH(B4851,Harytlar!$A$5:$A$44,0)),""))</f>
        <v/>
      </c>
      <c r="F4851" s="10" t="str">
        <f t="shared" si="75"/>
        <v/>
      </c>
      <c r="G4851" s="10" t="str">
        <f>IF(OR(C4851="",B4851=""),"",IFERROR(C4851*INDEX(Harytlar!$D$5:$D$44,MATCH(B4851,Harytlar!$A$5:$A$44,0)),""))</f>
        <v/>
      </c>
    </row>
    <row r="4852" spans="1:7" x14ac:dyDescent="0.3">
      <c r="A4852" s="17"/>
      <c r="B4852" s="18"/>
      <c r="C4852" s="18"/>
      <c r="D4852" s="18"/>
      <c r="E4852" s="10" t="str">
        <f>IF(B4852="","",IFERROR(INDEX(Harytlar!$C$5:$C$44,MATCH(B4852,Harytlar!$A$5:$A$44,0)),""))</f>
        <v/>
      </c>
      <c r="F4852" s="10" t="str">
        <f t="shared" si="75"/>
        <v/>
      </c>
      <c r="G4852" s="10" t="str">
        <f>IF(OR(C4852="",B4852=""),"",IFERROR(C4852*INDEX(Harytlar!$D$5:$D$44,MATCH(B4852,Harytlar!$A$5:$A$44,0)),""))</f>
        <v/>
      </c>
    </row>
    <row r="4853" spans="1:7" x14ac:dyDescent="0.3">
      <c r="A4853" s="17"/>
      <c r="B4853" s="18"/>
      <c r="C4853" s="18"/>
      <c r="D4853" s="18"/>
      <c r="E4853" s="10" t="str">
        <f>IF(B4853="","",IFERROR(INDEX(Harytlar!$C$5:$C$44,MATCH(B4853,Harytlar!$A$5:$A$44,0)),""))</f>
        <v/>
      </c>
      <c r="F4853" s="10" t="str">
        <f t="shared" si="75"/>
        <v/>
      </c>
      <c r="G4853" s="10" t="str">
        <f>IF(OR(C4853="",B4853=""),"",IFERROR(C4853*INDEX(Harytlar!$D$5:$D$44,MATCH(B4853,Harytlar!$A$5:$A$44,0)),""))</f>
        <v/>
      </c>
    </row>
    <row r="4854" spans="1:7" x14ac:dyDescent="0.3">
      <c r="A4854" s="17"/>
      <c r="B4854" s="18"/>
      <c r="C4854" s="18"/>
      <c r="D4854" s="18"/>
      <c r="E4854" s="10" t="str">
        <f>IF(B4854="","",IFERROR(INDEX(Harytlar!$C$5:$C$44,MATCH(B4854,Harytlar!$A$5:$A$44,0)),""))</f>
        <v/>
      </c>
      <c r="F4854" s="10" t="str">
        <f t="shared" si="75"/>
        <v/>
      </c>
      <c r="G4854" s="10" t="str">
        <f>IF(OR(C4854="",B4854=""),"",IFERROR(C4854*INDEX(Harytlar!$D$5:$D$44,MATCH(B4854,Harytlar!$A$5:$A$44,0)),""))</f>
        <v/>
      </c>
    </row>
    <row r="4855" spans="1:7" x14ac:dyDescent="0.3">
      <c r="A4855" s="17"/>
      <c r="B4855" s="18"/>
      <c r="C4855" s="18"/>
      <c r="D4855" s="18"/>
      <c r="E4855" s="10" t="str">
        <f>IF(B4855="","",IFERROR(INDEX(Harytlar!$C$5:$C$44,MATCH(B4855,Harytlar!$A$5:$A$44,0)),""))</f>
        <v/>
      </c>
      <c r="F4855" s="10" t="str">
        <f t="shared" si="75"/>
        <v/>
      </c>
      <c r="G4855" s="10" t="str">
        <f>IF(OR(C4855="",B4855=""),"",IFERROR(C4855*INDEX(Harytlar!$D$5:$D$44,MATCH(B4855,Harytlar!$A$5:$A$44,0)),""))</f>
        <v/>
      </c>
    </row>
    <row r="4856" spans="1:7" x14ac:dyDescent="0.3">
      <c r="A4856" s="17"/>
      <c r="B4856" s="18"/>
      <c r="C4856" s="18"/>
      <c r="D4856" s="18"/>
      <c r="E4856" s="10" t="str">
        <f>IF(B4856="","",IFERROR(INDEX(Harytlar!$C$5:$C$44,MATCH(B4856,Harytlar!$A$5:$A$44,0)),""))</f>
        <v/>
      </c>
      <c r="F4856" s="10" t="str">
        <f t="shared" si="75"/>
        <v/>
      </c>
      <c r="G4856" s="10" t="str">
        <f>IF(OR(C4856="",B4856=""),"",IFERROR(C4856*INDEX(Harytlar!$D$5:$D$44,MATCH(B4856,Harytlar!$A$5:$A$44,0)),""))</f>
        <v/>
      </c>
    </row>
    <row r="4857" spans="1:7" x14ac:dyDescent="0.3">
      <c r="A4857" s="17"/>
      <c r="B4857" s="18"/>
      <c r="C4857" s="18"/>
      <c r="D4857" s="18"/>
      <c r="E4857" s="10" t="str">
        <f>IF(B4857="","",IFERROR(INDEX(Harytlar!$C$5:$C$44,MATCH(B4857,Harytlar!$A$5:$A$44,0)),""))</f>
        <v/>
      </c>
      <c r="F4857" s="10" t="str">
        <f t="shared" si="75"/>
        <v/>
      </c>
      <c r="G4857" s="10" t="str">
        <f>IF(OR(C4857="",B4857=""),"",IFERROR(C4857*INDEX(Harytlar!$D$5:$D$44,MATCH(B4857,Harytlar!$A$5:$A$44,0)),""))</f>
        <v/>
      </c>
    </row>
    <row r="4858" spans="1:7" x14ac:dyDescent="0.3">
      <c r="A4858" s="17"/>
      <c r="B4858" s="18"/>
      <c r="C4858" s="18"/>
      <c r="D4858" s="18"/>
      <c r="E4858" s="10" t="str">
        <f>IF(B4858="","",IFERROR(INDEX(Harytlar!$C$5:$C$44,MATCH(B4858,Harytlar!$A$5:$A$44,0)),""))</f>
        <v/>
      </c>
      <c r="F4858" s="10" t="str">
        <f t="shared" si="75"/>
        <v/>
      </c>
      <c r="G4858" s="10" t="str">
        <f>IF(OR(C4858="",B4858=""),"",IFERROR(C4858*INDEX(Harytlar!$D$5:$D$44,MATCH(B4858,Harytlar!$A$5:$A$44,0)),""))</f>
        <v/>
      </c>
    </row>
    <row r="4859" spans="1:7" x14ac:dyDescent="0.3">
      <c r="A4859" s="17"/>
      <c r="B4859" s="18"/>
      <c r="C4859" s="18"/>
      <c r="D4859" s="18"/>
      <c r="E4859" s="10" t="str">
        <f>IF(B4859="","",IFERROR(INDEX(Harytlar!$C$5:$C$44,MATCH(B4859,Harytlar!$A$5:$A$44,0)),""))</f>
        <v/>
      </c>
      <c r="F4859" s="10" t="str">
        <f t="shared" si="75"/>
        <v/>
      </c>
      <c r="G4859" s="10" t="str">
        <f>IF(OR(C4859="",B4859=""),"",IFERROR(C4859*INDEX(Harytlar!$D$5:$D$44,MATCH(B4859,Harytlar!$A$5:$A$44,0)),""))</f>
        <v/>
      </c>
    </row>
    <row r="4860" spans="1:7" x14ac:dyDescent="0.3">
      <c r="A4860" s="17"/>
      <c r="B4860" s="18"/>
      <c r="C4860" s="18"/>
      <c r="D4860" s="18"/>
      <c r="E4860" s="10" t="str">
        <f>IF(B4860="","",IFERROR(INDEX(Harytlar!$C$5:$C$44,MATCH(B4860,Harytlar!$A$5:$A$44,0)),""))</f>
        <v/>
      </c>
      <c r="F4860" s="10" t="str">
        <f t="shared" si="75"/>
        <v/>
      </c>
      <c r="G4860" s="10" t="str">
        <f>IF(OR(C4860="",B4860=""),"",IFERROR(C4860*INDEX(Harytlar!$D$5:$D$44,MATCH(B4860,Harytlar!$A$5:$A$44,0)),""))</f>
        <v/>
      </c>
    </row>
    <row r="4861" spans="1:7" x14ac:dyDescent="0.3">
      <c r="A4861" s="17"/>
      <c r="B4861" s="18"/>
      <c r="C4861" s="18"/>
      <c r="D4861" s="18"/>
      <c r="E4861" s="10" t="str">
        <f>IF(B4861="","",IFERROR(INDEX(Harytlar!$C$5:$C$44,MATCH(B4861,Harytlar!$A$5:$A$44,0)),""))</f>
        <v/>
      </c>
      <c r="F4861" s="10" t="str">
        <f t="shared" si="75"/>
        <v/>
      </c>
      <c r="G4861" s="10" t="str">
        <f>IF(OR(C4861="",B4861=""),"",IFERROR(C4861*INDEX(Harytlar!$D$5:$D$44,MATCH(B4861,Harytlar!$A$5:$A$44,0)),""))</f>
        <v/>
      </c>
    </row>
    <row r="4862" spans="1:7" x14ac:dyDescent="0.3">
      <c r="A4862" s="17"/>
      <c r="B4862" s="18"/>
      <c r="C4862" s="18"/>
      <c r="D4862" s="18"/>
      <c r="E4862" s="10" t="str">
        <f>IF(B4862="","",IFERROR(INDEX(Harytlar!$C$5:$C$44,MATCH(B4862,Harytlar!$A$5:$A$44,0)),""))</f>
        <v/>
      </c>
      <c r="F4862" s="10" t="str">
        <f t="shared" si="75"/>
        <v/>
      </c>
      <c r="G4862" s="10" t="str">
        <f>IF(OR(C4862="",B4862=""),"",IFERROR(C4862*INDEX(Harytlar!$D$5:$D$44,MATCH(B4862,Harytlar!$A$5:$A$44,0)),""))</f>
        <v/>
      </c>
    </row>
    <row r="4863" spans="1:7" x14ac:dyDescent="0.3">
      <c r="A4863" s="17"/>
      <c r="B4863" s="18"/>
      <c r="C4863" s="18"/>
      <c r="D4863" s="18"/>
      <c r="E4863" s="10" t="str">
        <f>IF(B4863="","",IFERROR(INDEX(Harytlar!$C$5:$C$44,MATCH(B4863,Harytlar!$A$5:$A$44,0)),""))</f>
        <v/>
      </c>
      <c r="F4863" s="10" t="str">
        <f t="shared" si="75"/>
        <v/>
      </c>
      <c r="G4863" s="10" t="str">
        <f>IF(OR(C4863="",B4863=""),"",IFERROR(C4863*INDEX(Harytlar!$D$5:$D$44,MATCH(B4863,Harytlar!$A$5:$A$44,0)),""))</f>
        <v/>
      </c>
    </row>
    <row r="4864" spans="1:7" x14ac:dyDescent="0.3">
      <c r="A4864" s="17"/>
      <c r="B4864" s="18"/>
      <c r="C4864" s="18"/>
      <c r="D4864" s="18"/>
      <c r="E4864" s="10" t="str">
        <f>IF(B4864="","",IFERROR(INDEX(Harytlar!$C$5:$C$44,MATCH(B4864,Harytlar!$A$5:$A$44,0)),""))</f>
        <v/>
      </c>
      <c r="F4864" s="10" t="str">
        <f t="shared" si="75"/>
        <v/>
      </c>
      <c r="G4864" s="10" t="str">
        <f>IF(OR(C4864="",B4864=""),"",IFERROR(C4864*INDEX(Harytlar!$D$5:$D$44,MATCH(B4864,Harytlar!$A$5:$A$44,0)),""))</f>
        <v/>
      </c>
    </row>
    <row r="4865" spans="1:7" x14ac:dyDescent="0.3">
      <c r="A4865" s="17"/>
      <c r="B4865" s="18"/>
      <c r="C4865" s="18"/>
      <c r="D4865" s="18"/>
      <c r="E4865" s="10" t="str">
        <f>IF(B4865="","",IFERROR(INDEX(Harytlar!$C$5:$C$44,MATCH(B4865,Harytlar!$A$5:$A$44,0)),""))</f>
        <v/>
      </c>
      <c r="F4865" s="10" t="str">
        <f t="shared" si="75"/>
        <v/>
      </c>
      <c r="G4865" s="10" t="str">
        <f>IF(OR(C4865="",B4865=""),"",IFERROR(C4865*INDEX(Harytlar!$D$5:$D$44,MATCH(B4865,Harytlar!$A$5:$A$44,0)),""))</f>
        <v/>
      </c>
    </row>
    <row r="4866" spans="1:7" x14ac:dyDescent="0.3">
      <c r="A4866" s="17"/>
      <c r="B4866" s="18"/>
      <c r="C4866" s="18"/>
      <c r="D4866" s="18"/>
      <c r="E4866" s="10" t="str">
        <f>IF(B4866="","",IFERROR(INDEX(Harytlar!$C$5:$C$44,MATCH(B4866,Harytlar!$A$5:$A$44,0)),""))</f>
        <v/>
      </c>
      <c r="F4866" s="10" t="str">
        <f t="shared" si="75"/>
        <v/>
      </c>
      <c r="G4866" s="10" t="str">
        <f>IF(OR(C4866="",B4866=""),"",IFERROR(C4866*INDEX(Harytlar!$D$5:$D$44,MATCH(B4866,Harytlar!$A$5:$A$44,0)),""))</f>
        <v/>
      </c>
    </row>
    <row r="4867" spans="1:7" x14ac:dyDescent="0.3">
      <c r="A4867" s="17"/>
      <c r="B4867" s="18"/>
      <c r="C4867" s="18"/>
      <c r="D4867" s="18"/>
      <c r="E4867" s="10" t="str">
        <f>IF(B4867="","",IFERROR(INDEX(Harytlar!$C$5:$C$44,MATCH(B4867,Harytlar!$A$5:$A$44,0)),""))</f>
        <v/>
      </c>
      <c r="F4867" s="10" t="str">
        <f t="shared" si="75"/>
        <v/>
      </c>
      <c r="G4867" s="10" t="str">
        <f>IF(OR(C4867="",B4867=""),"",IFERROR(C4867*INDEX(Harytlar!$D$5:$D$44,MATCH(B4867,Harytlar!$A$5:$A$44,0)),""))</f>
        <v/>
      </c>
    </row>
    <row r="4868" spans="1:7" x14ac:dyDescent="0.3">
      <c r="A4868" s="17"/>
      <c r="B4868" s="18"/>
      <c r="C4868" s="18"/>
      <c r="D4868" s="18"/>
      <c r="E4868" s="10" t="str">
        <f>IF(B4868="","",IFERROR(INDEX(Harytlar!$C$5:$C$44,MATCH(B4868,Harytlar!$A$5:$A$44,0)),""))</f>
        <v/>
      </c>
      <c r="F4868" s="10" t="str">
        <f t="shared" si="75"/>
        <v/>
      </c>
      <c r="G4868" s="10" t="str">
        <f>IF(OR(C4868="",B4868=""),"",IFERROR(C4868*INDEX(Harytlar!$D$5:$D$44,MATCH(B4868,Harytlar!$A$5:$A$44,0)),""))</f>
        <v/>
      </c>
    </row>
    <row r="4869" spans="1:7" x14ac:dyDescent="0.3">
      <c r="A4869" s="17"/>
      <c r="B4869" s="18"/>
      <c r="C4869" s="18"/>
      <c r="D4869" s="18"/>
      <c r="E4869" s="10" t="str">
        <f>IF(B4869="","",IFERROR(INDEX(Harytlar!$C$5:$C$44,MATCH(B4869,Harytlar!$A$5:$A$44,0)),""))</f>
        <v/>
      </c>
      <c r="F4869" s="10" t="str">
        <f t="shared" si="75"/>
        <v/>
      </c>
      <c r="G4869" s="10" t="str">
        <f>IF(OR(C4869="",B4869=""),"",IFERROR(C4869*INDEX(Harytlar!$D$5:$D$44,MATCH(B4869,Harytlar!$A$5:$A$44,0)),""))</f>
        <v/>
      </c>
    </row>
    <row r="4870" spans="1:7" x14ac:dyDescent="0.3">
      <c r="A4870" s="17"/>
      <c r="B4870" s="18"/>
      <c r="C4870" s="18"/>
      <c r="D4870" s="18"/>
      <c r="E4870" s="10" t="str">
        <f>IF(B4870="","",IFERROR(INDEX(Harytlar!$C$5:$C$44,MATCH(B4870,Harytlar!$A$5:$A$44,0)),""))</f>
        <v/>
      </c>
      <c r="F4870" s="10" t="str">
        <f t="shared" ref="F4870:F4933" si="76">IF(OR(C4870="",E4870=""),"",C4870*E4870)</f>
        <v/>
      </c>
      <c r="G4870" s="10" t="str">
        <f>IF(OR(C4870="",B4870=""),"",IFERROR(C4870*INDEX(Harytlar!$D$5:$D$44,MATCH(B4870,Harytlar!$A$5:$A$44,0)),""))</f>
        <v/>
      </c>
    </row>
    <row r="4871" spans="1:7" x14ac:dyDescent="0.3">
      <c r="A4871" s="17"/>
      <c r="B4871" s="18"/>
      <c r="C4871" s="18"/>
      <c r="D4871" s="18"/>
      <c r="E4871" s="10" t="str">
        <f>IF(B4871="","",IFERROR(INDEX(Harytlar!$C$5:$C$44,MATCH(B4871,Harytlar!$A$5:$A$44,0)),""))</f>
        <v/>
      </c>
      <c r="F4871" s="10" t="str">
        <f t="shared" si="76"/>
        <v/>
      </c>
      <c r="G4871" s="10" t="str">
        <f>IF(OR(C4871="",B4871=""),"",IFERROR(C4871*INDEX(Harytlar!$D$5:$D$44,MATCH(B4871,Harytlar!$A$5:$A$44,0)),""))</f>
        <v/>
      </c>
    </row>
    <row r="4872" spans="1:7" x14ac:dyDescent="0.3">
      <c r="A4872" s="17"/>
      <c r="B4872" s="18"/>
      <c r="C4872" s="18"/>
      <c r="D4872" s="18"/>
      <c r="E4872" s="10" t="str">
        <f>IF(B4872="","",IFERROR(INDEX(Harytlar!$C$5:$C$44,MATCH(B4872,Harytlar!$A$5:$A$44,0)),""))</f>
        <v/>
      </c>
      <c r="F4872" s="10" t="str">
        <f t="shared" si="76"/>
        <v/>
      </c>
      <c r="G4872" s="10" t="str">
        <f>IF(OR(C4872="",B4872=""),"",IFERROR(C4872*INDEX(Harytlar!$D$5:$D$44,MATCH(B4872,Harytlar!$A$5:$A$44,0)),""))</f>
        <v/>
      </c>
    </row>
    <row r="4873" spans="1:7" x14ac:dyDescent="0.3">
      <c r="A4873" s="17"/>
      <c r="B4873" s="18"/>
      <c r="C4873" s="18"/>
      <c r="D4873" s="18"/>
      <c r="E4873" s="10" t="str">
        <f>IF(B4873="","",IFERROR(INDEX(Harytlar!$C$5:$C$44,MATCH(B4873,Harytlar!$A$5:$A$44,0)),""))</f>
        <v/>
      </c>
      <c r="F4873" s="10" t="str">
        <f t="shared" si="76"/>
        <v/>
      </c>
      <c r="G4873" s="10" t="str">
        <f>IF(OR(C4873="",B4873=""),"",IFERROR(C4873*INDEX(Harytlar!$D$5:$D$44,MATCH(B4873,Harytlar!$A$5:$A$44,0)),""))</f>
        <v/>
      </c>
    </row>
    <row r="4874" spans="1:7" x14ac:dyDescent="0.3">
      <c r="A4874" s="17"/>
      <c r="B4874" s="18"/>
      <c r="C4874" s="18"/>
      <c r="D4874" s="18"/>
      <c r="E4874" s="10" t="str">
        <f>IF(B4874="","",IFERROR(INDEX(Harytlar!$C$5:$C$44,MATCH(B4874,Harytlar!$A$5:$A$44,0)),""))</f>
        <v/>
      </c>
      <c r="F4874" s="10" t="str">
        <f t="shared" si="76"/>
        <v/>
      </c>
      <c r="G4874" s="10" t="str">
        <f>IF(OR(C4874="",B4874=""),"",IFERROR(C4874*INDEX(Harytlar!$D$5:$D$44,MATCH(B4874,Harytlar!$A$5:$A$44,0)),""))</f>
        <v/>
      </c>
    </row>
    <row r="4875" spans="1:7" x14ac:dyDescent="0.3">
      <c r="A4875" s="17"/>
      <c r="B4875" s="18"/>
      <c r="C4875" s="18"/>
      <c r="D4875" s="18"/>
      <c r="E4875" s="10" t="str">
        <f>IF(B4875="","",IFERROR(INDEX(Harytlar!$C$5:$C$44,MATCH(B4875,Harytlar!$A$5:$A$44,0)),""))</f>
        <v/>
      </c>
      <c r="F4875" s="10" t="str">
        <f t="shared" si="76"/>
        <v/>
      </c>
      <c r="G4875" s="10" t="str">
        <f>IF(OR(C4875="",B4875=""),"",IFERROR(C4875*INDEX(Harytlar!$D$5:$D$44,MATCH(B4875,Harytlar!$A$5:$A$44,0)),""))</f>
        <v/>
      </c>
    </row>
    <row r="4876" spans="1:7" x14ac:dyDescent="0.3">
      <c r="A4876" s="17"/>
      <c r="B4876" s="18"/>
      <c r="C4876" s="18"/>
      <c r="D4876" s="18"/>
      <c r="E4876" s="10" t="str">
        <f>IF(B4876="","",IFERROR(INDEX(Harytlar!$C$5:$C$44,MATCH(B4876,Harytlar!$A$5:$A$44,0)),""))</f>
        <v/>
      </c>
      <c r="F4876" s="10" t="str">
        <f t="shared" si="76"/>
        <v/>
      </c>
      <c r="G4876" s="10" t="str">
        <f>IF(OR(C4876="",B4876=""),"",IFERROR(C4876*INDEX(Harytlar!$D$5:$D$44,MATCH(B4876,Harytlar!$A$5:$A$44,0)),""))</f>
        <v/>
      </c>
    </row>
    <row r="4877" spans="1:7" x14ac:dyDescent="0.3">
      <c r="A4877" s="17"/>
      <c r="B4877" s="18"/>
      <c r="C4877" s="18"/>
      <c r="D4877" s="18"/>
      <c r="E4877" s="10" t="str">
        <f>IF(B4877="","",IFERROR(INDEX(Harytlar!$C$5:$C$44,MATCH(B4877,Harytlar!$A$5:$A$44,0)),""))</f>
        <v/>
      </c>
      <c r="F4877" s="10" t="str">
        <f t="shared" si="76"/>
        <v/>
      </c>
      <c r="G4877" s="10" t="str">
        <f>IF(OR(C4877="",B4877=""),"",IFERROR(C4877*INDEX(Harytlar!$D$5:$D$44,MATCH(B4877,Harytlar!$A$5:$A$44,0)),""))</f>
        <v/>
      </c>
    </row>
    <row r="4878" spans="1:7" x14ac:dyDescent="0.3">
      <c r="A4878" s="17"/>
      <c r="B4878" s="18"/>
      <c r="C4878" s="18"/>
      <c r="D4878" s="18"/>
      <c r="E4878" s="10" t="str">
        <f>IF(B4878="","",IFERROR(INDEX(Harytlar!$C$5:$C$44,MATCH(B4878,Harytlar!$A$5:$A$44,0)),""))</f>
        <v/>
      </c>
      <c r="F4878" s="10" t="str">
        <f t="shared" si="76"/>
        <v/>
      </c>
      <c r="G4878" s="10" t="str">
        <f>IF(OR(C4878="",B4878=""),"",IFERROR(C4878*INDEX(Harytlar!$D$5:$D$44,MATCH(B4878,Harytlar!$A$5:$A$44,0)),""))</f>
        <v/>
      </c>
    </row>
    <row r="4879" spans="1:7" x14ac:dyDescent="0.3">
      <c r="A4879" s="17"/>
      <c r="B4879" s="18"/>
      <c r="C4879" s="18"/>
      <c r="D4879" s="18"/>
      <c r="E4879" s="10" t="str">
        <f>IF(B4879="","",IFERROR(INDEX(Harytlar!$C$5:$C$44,MATCH(B4879,Harytlar!$A$5:$A$44,0)),""))</f>
        <v/>
      </c>
      <c r="F4879" s="10" t="str">
        <f t="shared" si="76"/>
        <v/>
      </c>
      <c r="G4879" s="10" t="str">
        <f>IF(OR(C4879="",B4879=""),"",IFERROR(C4879*INDEX(Harytlar!$D$5:$D$44,MATCH(B4879,Harytlar!$A$5:$A$44,0)),""))</f>
        <v/>
      </c>
    </row>
    <row r="4880" spans="1:7" x14ac:dyDescent="0.3">
      <c r="A4880" s="17"/>
      <c r="B4880" s="18"/>
      <c r="C4880" s="18"/>
      <c r="D4880" s="18"/>
      <c r="E4880" s="10" t="str">
        <f>IF(B4880="","",IFERROR(INDEX(Harytlar!$C$5:$C$44,MATCH(B4880,Harytlar!$A$5:$A$44,0)),""))</f>
        <v/>
      </c>
      <c r="F4880" s="10" t="str">
        <f t="shared" si="76"/>
        <v/>
      </c>
      <c r="G4880" s="10" t="str">
        <f>IF(OR(C4880="",B4880=""),"",IFERROR(C4880*INDEX(Harytlar!$D$5:$D$44,MATCH(B4880,Harytlar!$A$5:$A$44,0)),""))</f>
        <v/>
      </c>
    </row>
    <row r="4881" spans="1:7" x14ac:dyDescent="0.3">
      <c r="A4881" s="17"/>
      <c r="B4881" s="18"/>
      <c r="C4881" s="18"/>
      <c r="D4881" s="18"/>
      <c r="E4881" s="10" t="str">
        <f>IF(B4881="","",IFERROR(INDEX(Harytlar!$C$5:$C$44,MATCH(B4881,Harytlar!$A$5:$A$44,0)),""))</f>
        <v/>
      </c>
      <c r="F4881" s="10" t="str">
        <f t="shared" si="76"/>
        <v/>
      </c>
      <c r="G4881" s="10" t="str">
        <f>IF(OR(C4881="",B4881=""),"",IFERROR(C4881*INDEX(Harytlar!$D$5:$D$44,MATCH(B4881,Harytlar!$A$5:$A$44,0)),""))</f>
        <v/>
      </c>
    </row>
    <row r="4882" spans="1:7" x14ac:dyDescent="0.3">
      <c r="A4882" s="17"/>
      <c r="B4882" s="18"/>
      <c r="C4882" s="18"/>
      <c r="D4882" s="18"/>
      <c r="E4882" s="10" t="str">
        <f>IF(B4882="","",IFERROR(INDEX(Harytlar!$C$5:$C$44,MATCH(B4882,Harytlar!$A$5:$A$44,0)),""))</f>
        <v/>
      </c>
      <c r="F4882" s="10" t="str">
        <f t="shared" si="76"/>
        <v/>
      </c>
      <c r="G4882" s="10" t="str">
        <f>IF(OR(C4882="",B4882=""),"",IFERROR(C4882*INDEX(Harytlar!$D$5:$D$44,MATCH(B4882,Harytlar!$A$5:$A$44,0)),""))</f>
        <v/>
      </c>
    </row>
    <row r="4883" spans="1:7" x14ac:dyDescent="0.3">
      <c r="A4883" s="17"/>
      <c r="B4883" s="18"/>
      <c r="C4883" s="18"/>
      <c r="D4883" s="18"/>
      <c r="E4883" s="10" t="str">
        <f>IF(B4883="","",IFERROR(INDEX(Harytlar!$C$5:$C$44,MATCH(B4883,Harytlar!$A$5:$A$44,0)),""))</f>
        <v/>
      </c>
      <c r="F4883" s="10" t="str">
        <f t="shared" si="76"/>
        <v/>
      </c>
      <c r="G4883" s="10" t="str">
        <f>IF(OR(C4883="",B4883=""),"",IFERROR(C4883*INDEX(Harytlar!$D$5:$D$44,MATCH(B4883,Harytlar!$A$5:$A$44,0)),""))</f>
        <v/>
      </c>
    </row>
    <row r="4884" spans="1:7" x14ac:dyDescent="0.3">
      <c r="A4884" s="17"/>
      <c r="B4884" s="18"/>
      <c r="C4884" s="18"/>
      <c r="D4884" s="18"/>
      <c r="E4884" s="10" t="str">
        <f>IF(B4884="","",IFERROR(INDEX(Harytlar!$C$5:$C$44,MATCH(B4884,Harytlar!$A$5:$A$44,0)),""))</f>
        <v/>
      </c>
      <c r="F4884" s="10" t="str">
        <f t="shared" si="76"/>
        <v/>
      </c>
      <c r="G4884" s="10" t="str">
        <f>IF(OR(C4884="",B4884=""),"",IFERROR(C4884*INDEX(Harytlar!$D$5:$D$44,MATCH(B4884,Harytlar!$A$5:$A$44,0)),""))</f>
        <v/>
      </c>
    </row>
    <row r="4885" spans="1:7" x14ac:dyDescent="0.3">
      <c r="A4885" s="17"/>
      <c r="B4885" s="18"/>
      <c r="C4885" s="18"/>
      <c r="D4885" s="18"/>
      <c r="E4885" s="10" t="str">
        <f>IF(B4885="","",IFERROR(INDEX(Harytlar!$C$5:$C$44,MATCH(B4885,Harytlar!$A$5:$A$44,0)),""))</f>
        <v/>
      </c>
      <c r="F4885" s="10" t="str">
        <f t="shared" si="76"/>
        <v/>
      </c>
      <c r="G4885" s="10" t="str">
        <f>IF(OR(C4885="",B4885=""),"",IFERROR(C4885*INDEX(Harytlar!$D$5:$D$44,MATCH(B4885,Harytlar!$A$5:$A$44,0)),""))</f>
        <v/>
      </c>
    </row>
    <row r="4886" spans="1:7" x14ac:dyDescent="0.3">
      <c r="A4886" s="17"/>
      <c r="B4886" s="18"/>
      <c r="C4886" s="18"/>
      <c r="D4886" s="18"/>
      <c r="E4886" s="10" t="str">
        <f>IF(B4886="","",IFERROR(INDEX(Harytlar!$C$5:$C$44,MATCH(B4886,Harytlar!$A$5:$A$44,0)),""))</f>
        <v/>
      </c>
      <c r="F4886" s="10" t="str">
        <f t="shared" si="76"/>
        <v/>
      </c>
      <c r="G4886" s="10" t="str">
        <f>IF(OR(C4886="",B4886=""),"",IFERROR(C4886*INDEX(Harytlar!$D$5:$D$44,MATCH(B4886,Harytlar!$A$5:$A$44,0)),""))</f>
        <v/>
      </c>
    </row>
    <row r="4887" spans="1:7" x14ac:dyDescent="0.3">
      <c r="A4887" s="17"/>
      <c r="B4887" s="18"/>
      <c r="C4887" s="18"/>
      <c r="D4887" s="18"/>
      <c r="E4887" s="10" t="str">
        <f>IF(B4887="","",IFERROR(INDEX(Harytlar!$C$5:$C$44,MATCH(B4887,Harytlar!$A$5:$A$44,0)),""))</f>
        <v/>
      </c>
      <c r="F4887" s="10" t="str">
        <f t="shared" si="76"/>
        <v/>
      </c>
      <c r="G4887" s="10" t="str">
        <f>IF(OR(C4887="",B4887=""),"",IFERROR(C4887*INDEX(Harytlar!$D$5:$D$44,MATCH(B4887,Harytlar!$A$5:$A$44,0)),""))</f>
        <v/>
      </c>
    </row>
    <row r="4888" spans="1:7" x14ac:dyDescent="0.3">
      <c r="A4888" s="17"/>
      <c r="B4888" s="18"/>
      <c r="C4888" s="18"/>
      <c r="D4888" s="18"/>
      <c r="E4888" s="10" t="str">
        <f>IF(B4888="","",IFERROR(INDEX(Harytlar!$C$5:$C$44,MATCH(B4888,Harytlar!$A$5:$A$44,0)),""))</f>
        <v/>
      </c>
      <c r="F4888" s="10" t="str">
        <f t="shared" si="76"/>
        <v/>
      </c>
      <c r="G4888" s="10" t="str">
        <f>IF(OR(C4888="",B4888=""),"",IFERROR(C4888*INDEX(Harytlar!$D$5:$D$44,MATCH(B4888,Harytlar!$A$5:$A$44,0)),""))</f>
        <v/>
      </c>
    </row>
    <row r="4889" spans="1:7" x14ac:dyDescent="0.3">
      <c r="A4889" s="17"/>
      <c r="B4889" s="18"/>
      <c r="C4889" s="18"/>
      <c r="D4889" s="18"/>
      <c r="E4889" s="10" t="str">
        <f>IF(B4889="","",IFERROR(INDEX(Harytlar!$C$5:$C$44,MATCH(B4889,Harytlar!$A$5:$A$44,0)),""))</f>
        <v/>
      </c>
      <c r="F4889" s="10" t="str">
        <f t="shared" si="76"/>
        <v/>
      </c>
      <c r="G4889" s="10" t="str">
        <f>IF(OR(C4889="",B4889=""),"",IFERROR(C4889*INDEX(Harytlar!$D$5:$D$44,MATCH(B4889,Harytlar!$A$5:$A$44,0)),""))</f>
        <v/>
      </c>
    </row>
    <row r="4890" spans="1:7" x14ac:dyDescent="0.3">
      <c r="A4890" s="17"/>
      <c r="B4890" s="18"/>
      <c r="C4890" s="18"/>
      <c r="D4890" s="18"/>
      <c r="E4890" s="10" t="str">
        <f>IF(B4890="","",IFERROR(INDEX(Harytlar!$C$5:$C$44,MATCH(B4890,Harytlar!$A$5:$A$44,0)),""))</f>
        <v/>
      </c>
      <c r="F4890" s="10" t="str">
        <f t="shared" si="76"/>
        <v/>
      </c>
      <c r="G4890" s="10" t="str">
        <f>IF(OR(C4890="",B4890=""),"",IFERROR(C4890*INDEX(Harytlar!$D$5:$D$44,MATCH(B4890,Harytlar!$A$5:$A$44,0)),""))</f>
        <v/>
      </c>
    </row>
    <row r="4891" spans="1:7" x14ac:dyDescent="0.3">
      <c r="A4891" s="17"/>
      <c r="B4891" s="18"/>
      <c r="C4891" s="18"/>
      <c r="D4891" s="18"/>
      <c r="E4891" s="10" t="str">
        <f>IF(B4891="","",IFERROR(INDEX(Harytlar!$C$5:$C$44,MATCH(B4891,Harytlar!$A$5:$A$44,0)),""))</f>
        <v/>
      </c>
      <c r="F4891" s="10" t="str">
        <f t="shared" si="76"/>
        <v/>
      </c>
      <c r="G4891" s="10" t="str">
        <f>IF(OR(C4891="",B4891=""),"",IFERROR(C4891*INDEX(Harytlar!$D$5:$D$44,MATCH(B4891,Harytlar!$A$5:$A$44,0)),""))</f>
        <v/>
      </c>
    </row>
    <row r="4892" spans="1:7" x14ac:dyDescent="0.3">
      <c r="A4892" s="17"/>
      <c r="B4892" s="18"/>
      <c r="C4892" s="18"/>
      <c r="D4892" s="18"/>
      <c r="E4892" s="10" t="str">
        <f>IF(B4892="","",IFERROR(INDEX(Harytlar!$C$5:$C$44,MATCH(B4892,Harytlar!$A$5:$A$44,0)),""))</f>
        <v/>
      </c>
      <c r="F4892" s="10" t="str">
        <f t="shared" si="76"/>
        <v/>
      </c>
      <c r="G4892" s="10" t="str">
        <f>IF(OR(C4892="",B4892=""),"",IFERROR(C4892*INDEX(Harytlar!$D$5:$D$44,MATCH(B4892,Harytlar!$A$5:$A$44,0)),""))</f>
        <v/>
      </c>
    </row>
    <row r="4893" spans="1:7" x14ac:dyDescent="0.3">
      <c r="A4893" s="17"/>
      <c r="B4893" s="18"/>
      <c r="C4893" s="18"/>
      <c r="D4893" s="18"/>
      <c r="E4893" s="10" t="str">
        <f>IF(B4893="","",IFERROR(INDEX(Harytlar!$C$5:$C$44,MATCH(B4893,Harytlar!$A$5:$A$44,0)),""))</f>
        <v/>
      </c>
      <c r="F4893" s="10" t="str">
        <f t="shared" si="76"/>
        <v/>
      </c>
      <c r="G4893" s="10" t="str">
        <f>IF(OR(C4893="",B4893=""),"",IFERROR(C4893*INDEX(Harytlar!$D$5:$D$44,MATCH(B4893,Harytlar!$A$5:$A$44,0)),""))</f>
        <v/>
      </c>
    </row>
    <row r="4894" spans="1:7" x14ac:dyDescent="0.3">
      <c r="A4894" s="17"/>
      <c r="B4894" s="18"/>
      <c r="C4894" s="18"/>
      <c r="D4894" s="18"/>
      <c r="E4894" s="10" t="str">
        <f>IF(B4894="","",IFERROR(INDEX(Harytlar!$C$5:$C$44,MATCH(B4894,Harytlar!$A$5:$A$44,0)),""))</f>
        <v/>
      </c>
      <c r="F4894" s="10" t="str">
        <f t="shared" si="76"/>
        <v/>
      </c>
      <c r="G4894" s="10" t="str">
        <f>IF(OR(C4894="",B4894=""),"",IFERROR(C4894*INDEX(Harytlar!$D$5:$D$44,MATCH(B4894,Harytlar!$A$5:$A$44,0)),""))</f>
        <v/>
      </c>
    </row>
    <row r="4895" spans="1:7" x14ac:dyDescent="0.3">
      <c r="A4895" s="17"/>
      <c r="B4895" s="18"/>
      <c r="C4895" s="18"/>
      <c r="D4895" s="18"/>
      <c r="E4895" s="10" t="str">
        <f>IF(B4895="","",IFERROR(INDEX(Harytlar!$C$5:$C$44,MATCH(B4895,Harytlar!$A$5:$A$44,0)),""))</f>
        <v/>
      </c>
      <c r="F4895" s="10" t="str">
        <f t="shared" si="76"/>
        <v/>
      </c>
      <c r="G4895" s="10" t="str">
        <f>IF(OR(C4895="",B4895=""),"",IFERROR(C4895*INDEX(Harytlar!$D$5:$D$44,MATCH(B4895,Harytlar!$A$5:$A$44,0)),""))</f>
        <v/>
      </c>
    </row>
    <row r="4896" spans="1:7" x14ac:dyDescent="0.3">
      <c r="A4896" s="17"/>
      <c r="B4896" s="18"/>
      <c r="C4896" s="18"/>
      <c r="D4896" s="18"/>
      <c r="E4896" s="10" t="str">
        <f>IF(B4896="","",IFERROR(INDEX(Harytlar!$C$5:$C$44,MATCH(B4896,Harytlar!$A$5:$A$44,0)),""))</f>
        <v/>
      </c>
      <c r="F4896" s="10" t="str">
        <f t="shared" si="76"/>
        <v/>
      </c>
      <c r="G4896" s="10" t="str">
        <f>IF(OR(C4896="",B4896=""),"",IFERROR(C4896*INDEX(Harytlar!$D$5:$D$44,MATCH(B4896,Harytlar!$A$5:$A$44,0)),""))</f>
        <v/>
      </c>
    </row>
    <row r="4897" spans="1:7" x14ac:dyDescent="0.3">
      <c r="A4897" s="17"/>
      <c r="B4897" s="18"/>
      <c r="C4897" s="18"/>
      <c r="D4897" s="18"/>
      <c r="E4897" s="10" t="str">
        <f>IF(B4897="","",IFERROR(INDEX(Harytlar!$C$5:$C$44,MATCH(B4897,Harytlar!$A$5:$A$44,0)),""))</f>
        <v/>
      </c>
      <c r="F4897" s="10" t="str">
        <f t="shared" si="76"/>
        <v/>
      </c>
      <c r="G4897" s="10" t="str">
        <f>IF(OR(C4897="",B4897=""),"",IFERROR(C4897*INDEX(Harytlar!$D$5:$D$44,MATCH(B4897,Harytlar!$A$5:$A$44,0)),""))</f>
        <v/>
      </c>
    </row>
    <row r="4898" spans="1:7" x14ac:dyDescent="0.3">
      <c r="A4898" s="17"/>
      <c r="B4898" s="18"/>
      <c r="C4898" s="18"/>
      <c r="D4898" s="18"/>
      <c r="E4898" s="10" t="str">
        <f>IF(B4898="","",IFERROR(INDEX(Harytlar!$C$5:$C$44,MATCH(B4898,Harytlar!$A$5:$A$44,0)),""))</f>
        <v/>
      </c>
      <c r="F4898" s="10" t="str">
        <f t="shared" si="76"/>
        <v/>
      </c>
      <c r="G4898" s="10" t="str">
        <f>IF(OR(C4898="",B4898=""),"",IFERROR(C4898*INDEX(Harytlar!$D$5:$D$44,MATCH(B4898,Harytlar!$A$5:$A$44,0)),""))</f>
        <v/>
      </c>
    </row>
    <row r="4899" spans="1:7" x14ac:dyDescent="0.3">
      <c r="A4899" s="17"/>
      <c r="B4899" s="18"/>
      <c r="C4899" s="18"/>
      <c r="D4899" s="18"/>
      <c r="E4899" s="10" t="str">
        <f>IF(B4899="","",IFERROR(INDEX(Harytlar!$C$5:$C$44,MATCH(B4899,Harytlar!$A$5:$A$44,0)),""))</f>
        <v/>
      </c>
      <c r="F4899" s="10" t="str">
        <f t="shared" si="76"/>
        <v/>
      </c>
      <c r="G4899" s="10" t="str">
        <f>IF(OR(C4899="",B4899=""),"",IFERROR(C4899*INDEX(Harytlar!$D$5:$D$44,MATCH(B4899,Harytlar!$A$5:$A$44,0)),""))</f>
        <v/>
      </c>
    </row>
    <row r="4900" spans="1:7" x14ac:dyDescent="0.3">
      <c r="A4900" s="17"/>
      <c r="B4900" s="18"/>
      <c r="C4900" s="18"/>
      <c r="D4900" s="18"/>
      <c r="E4900" s="10" t="str">
        <f>IF(B4900="","",IFERROR(INDEX(Harytlar!$C$5:$C$44,MATCH(B4900,Harytlar!$A$5:$A$44,0)),""))</f>
        <v/>
      </c>
      <c r="F4900" s="10" t="str">
        <f t="shared" si="76"/>
        <v/>
      </c>
      <c r="G4900" s="10" t="str">
        <f>IF(OR(C4900="",B4900=""),"",IFERROR(C4900*INDEX(Harytlar!$D$5:$D$44,MATCH(B4900,Harytlar!$A$5:$A$44,0)),""))</f>
        <v/>
      </c>
    </row>
    <row r="4901" spans="1:7" x14ac:dyDescent="0.3">
      <c r="A4901" s="17"/>
      <c r="B4901" s="18"/>
      <c r="C4901" s="18"/>
      <c r="D4901" s="18"/>
      <c r="E4901" s="10" t="str">
        <f>IF(B4901="","",IFERROR(INDEX(Harytlar!$C$5:$C$44,MATCH(B4901,Harytlar!$A$5:$A$44,0)),""))</f>
        <v/>
      </c>
      <c r="F4901" s="10" t="str">
        <f t="shared" si="76"/>
        <v/>
      </c>
      <c r="G4901" s="10" t="str">
        <f>IF(OR(C4901="",B4901=""),"",IFERROR(C4901*INDEX(Harytlar!$D$5:$D$44,MATCH(B4901,Harytlar!$A$5:$A$44,0)),""))</f>
        <v/>
      </c>
    </row>
    <row r="4902" spans="1:7" x14ac:dyDescent="0.3">
      <c r="A4902" s="17"/>
      <c r="B4902" s="18"/>
      <c r="C4902" s="18"/>
      <c r="D4902" s="18"/>
      <c r="E4902" s="10" t="str">
        <f>IF(B4902="","",IFERROR(INDEX(Harytlar!$C$5:$C$44,MATCH(B4902,Harytlar!$A$5:$A$44,0)),""))</f>
        <v/>
      </c>
      <c r="F4902" s="10" t="str">
        <f t="shared" si="76"/>
        <v/>
      </c>
      <c r="G4902" s="10" t="str">
        <f>IF(OR(C4902="",B4902=""),"",IFERROR(C4902*INDEX(Harytlar!$D$5:$D$44,MATCH(B4902,Harytlar!$A$5:$A$44,0)),""))</f>
        <v/>
      </c>
    </row>
    <row r="4903" spans="1:7" x14ac:dyDescent="0.3">
      <c r="A4903" s="17"/>
      <c r="B4903" s="18"/>
      <c r="C4903" s="18"/>
      <c r="D4903" s="18"/>
      <c r="E4903" s="10" t="str">
        <f>IF(B4903="","",IFERROR(INDEX(Harytlar!$C$5:$C$44,MATCH(B4903,Harytlar!$A$5:$A$44,0)),""))</f>
        <v/>
      </c>
      <c r="F4903" s="10" t="str">
        <f t="shared" si="76"/>
        <v/>
      </c>
      <c r="G4903" s="10" t="str">
        <f>IF(OR(C4903="",B4903=""),"",IFERROR(C4903*INDEX(Harytlar!$D$5:$D$44,MATCH(B4903,Harytlar!$A$5:$A$44,0)),""))</f>
        <v/>
      </c>
    </row>
    <row r="4904" spans="1:7" x14ac:dyDescent="0.3">
      <c r="A4904" s="17"/>
      <c r="B4904" s="18"/>
      <c r="C4904" s="18"/>
      <c r="D4904" s="18"/>
      <c r="E4904" s="10" t="str">
        <f>IF(B4904="","",IFERROR(INDEX(Harytlar!$C$5:$C$44,MATCH(B4904,Harytlar!$A$5:$A$44,0)),""))</f>
        <v/>
      </c>
      <c r="F4904" s="10" t="str">
        <f t="shared" si="76"/>
        <v/>
      </c>
      <c r="G4904" s="10" t="str">
        <f>IF(OR(C4904="",B4904=""),"",IFERROR(C4904*INDEX(Harytlar!$D$5:$D$44,MATCH(B4904,Harytlar!$A$5:$A$44,0)),""))</f>
        <v/>
      </c>
    </row>
    <row r="4905" spans="1:7" x14ac:dyDescent="0.3">
      <c r="A4905" s="17"/>
      <c r="B4905" s="18"/>
      <c r="C4905" s="18"/>
      <c r="D4905" s="18"/>
      <c r="E4905" s="10" t="str">
        <f>IF(B4905="","",IFERROR(INDEX(Harytlar!$C$5:$C$44,MATCH(B4905,Harytlar!$A$5:$A$44,0)),""))</f>
        <v/>
      </c>
      <c r="F4905" s="10" t="str">
        <f t="shared" si="76"/>
        <v/>
      </c>
      <c r="G4905" s="10" t="str">
        <f>IF(OR(C4905="",B4905=""),"",IFERROR(C4905*INDEX(Harytlar!$D$5:$D$44,MATCH(B4905,Harytlar!$A$5:$A$44,0)),""))</f>
        <v/>
      </c>
    </row>
    <row r="4906" spans="1:7" x14ac:dyDescent="0.3">
      <c r="A4906" s="17"/>
      <c r="B4906" s="18"/>
      <c r="C4906" s="18"/>
      <c r="D4906" s="18"/>
      <c r="E4906" s="10" t="str">
        <f>IF(B4906="","",IFERROR(INDEX(Harytlar!$C$5:$C$44,MATCH(B4906,Harytlar!$A$5:$A$44,0)),""))</f>
        <v/>
      </c>
      <c r="F4906" s="10" t="str">
        <f t="shared" si="76"/>
        <v/>
      </c>
      <c r="G4906" s="10" t="str">
        <f>IF(OR(C4906="",B4906=""),"",IFERROR(C4906*INDEX(Harytlar!$D$5:$D$44,MATCH(B4906,Harytlar!$A$5:$A$44,0)),""))</f>
        <v/>
      </c>
    </row>
    <row r="4907" spans="1:7" x14ac:dyDescent="0.3">
      <c r="A4907" s="17"/>
      <c r="B4907" s="18"/>
      <c r="C4907" s="18"/>
      <c r="D4907" s="18"/>
      <c r="E4907" s="10" t="str">
        <f>IF(B4907="","",IFERROR(INDEX(Harytlar!$C$5:$C$44,MATCH(B4907,Harytlar!$A$5:$A$44,0)),""))</f>
        <v/>
      </c>
      <c r="F4907" s="10" t="str">
        <f t="shared" si="76"/>
        <v/>
      </c>
      <c r="G4907" s="10" t="str">
        <f>IF(OR(C4907="",B4907=""),"",IFERROR(C4907*INDEX(Harytlar!$D$5:$D$44,MATCH(B4907,Harytlar!$A$5:$A$44,0)),""))</f>
        <v/>
      </c>
    </row>
    <row r="4908" spans="1:7" x14ac:dyDescent="0.3">
      <c r="A4908" s="17"/>
      <c r="B4908" s="18"/>
      <c r="C4908" s="18"/>
      <c r="D4908" s="18"/>
      <c r="E4908" s="10" t="str">
        <f>IF(B4908="","",IFERROR(INDEX(Harytlar!$C$5:$C$44,MATCH(B4908,Harytlar!$A$5:$A$44,0)),""))</f>
        <v/>
      </c>
      <c r="F4908" s="10" t="str">
        <f t="shared" si="76"/>
        <v/>
      </c>
      <c r="G4908" s="10" t="str">
        <f>IF(OR(C4908="",B4908=""),"",IFERROR(C4908*INDEX(Harytlar!$D$5:$D$44,MATCH(B4908,Harytlar!$A$5:$A$44,0)),""))</f>
        <v/>
      </c>
    </row>
    <row r="4909" spans="1:7" x14ac:dyDescent="0.3">
      <c r="A4909" s="17"/>
      <c r="B4909" s="18"/>
      <c r="C4909" s="18"/>
      <c r="D4909" s="18"/>
      <c r="E4909" s="10" t="str">
        <f>IF(B4909="","",IFERROR(INDEX(Harytlar!$C$5:$C$44,MATCH(B4909,Harytlar!$A$5:$A$44,0)),""))</f>
        <v/>
      </c>
      <c r="F4909" s="10" t="str">
        <f t="shared" si="76"/>
        <v/>
      </c>
      <c r="G4909" s="10" t="str">
        <f>IF(OR(C4909="",B4909=""),"",IFERROR(C4909*INDEX(Harytlar!$D$5:$D$44,MATCH(B4909,Harytlar!$A$5:$A$44,0)),""))</f>
        <v/>
      </c>
    </row>
    <row r="4910" spans="1:7" x14ac:dyDescent="0.3">
      <c r="A4910" s="17"/>
      <c r="B4910" s="18"/>
      <c r="C4910" s="18"/>
      <c r="D4910" s="18"/>
      <c r="E4910" s="10" t="str">
        <f>IF(B4910="","",IFERROR(INDEX(Harytlar!$C$5:$C$44,MATCH(B4910,Harytlar!$A$5:$A$44,0)),""))</f>
        <v/>
      </c>
      <c r="F4910" s="10" t="str">
        <f t="shared" si="76"/>
        <v/>
      </c>
      <c r="G4910" s="10" t="str">
        <f>IF(OR(C4910="",B4910=""),"",IFERROR(C4910*INDEX(Harytlar!$D$5:$D$44,MATCH(B4910,Harytlar!$A$5:$A$44,0)),""))</f>
        <v/>
      </c>
    </row>
    <row r="4911" spans="1:7" x14ac:dyDescent="0.3">
      <c r="A4911" s="17"/>
      <c r="B4911" s="18"/>
      <c r="C4911" s="18"/>
      <c r="D4911" s="18"/>
      <c r="E4911" s="10" t="str">
        <f>IF(B4911="","",IFERROR(INDEX(Harytlar!$C$5:$C$44,MATCH(B4911,Harytlar!$A$5:$A$44,0)),""))</f>
        <v/>
      </c>
      <c r="F4911" s="10" t="str">
        <f t="shared" si="76"/>
        <v/>
      </c>
      <c r="G4911" s="10" t="str">
        <f>IF(OR(C4911="",B4911=""),"",IFERROR(C4911*INDEX(Harytlar!$D$5:$D$44,MATCH(B4911,Harytlar!$A$5:$A$44,0)),""))</f>
        <v/>
      </c>
    </row>
    <row r="4912" spans="1:7" x14ac:dyDescent="0.3">
      <c r="A4912" s="17"/>
      <c r="B4912" s="18"/>
      <c r="C4912" s="18"/>
      <c r="D4912" s="18"/>
      <c r="E4912" s="10" t="str">
        <f>IF(B4912="","",IFERROR(INDEX(Harytlar!$C$5:$C$44,MATCH(B4912,Harytlar!$A$5:$A$44,0)),""))</f>
        <v/>
      </c>
      <c r="F4912" s="10" t="str">
        <f t="shared" si="76"/>
        <v/>
      </c>
      <c r="G4912" s="10" t="str">
        <f>IF(OR(C4912="",B4912=""),"",IFERROR(C4912*INDEX(Harytlar!$D$5:$D$44,MATCH(B4912,Harytlar!$A$5:$A$44,0)),""))</f>
        <v/>
      </c>
    </row>
    <row r="4913" spans="1:7" x14ac:dyDescent="0.3">
      <c r="A4913" s="17"/>
      <c r="B4913" s="18"/>
      <c r="C4913" s="18"/>
      <c r="D4913" s="18"/>
      <c r="E4913" s="10" t="str">
        <f>IF(B4913="","",IFERROR(INDEX(Harytlar!$C$5:$C$44,MATCH(B4913,Harytlar!$A$5:$A$44,0)),""))</f>
        <v/>
      </c>
      <c r="F4913" s="10" t="str">
        <f t="shared" si="76"/>
        <v/>
      </c>
      <c r="G4913" s="10" t="str">
        <f>IF(OR(C4913="",B4913=""),"",IFERROR(C4913*INDEX(Harytlar!$D$5:$D$44,MATCH(B4913,Harytlar!$A$5:$A$44,0)),""))</f>
        <v/>
      </c>
    </row>
    <row r="4914" spans="1:7" x14ac:dyDescent="0.3">
      <c r="A4914" s="17"/>
      <c r="B4914" s="18"/>
      <c r="C4914" s="18"/>
      <c r="D4914" s="18"/>
      <c r="E4914" s="10" t="str">
        <f>IF(B4914="","",IFERROR(INDEX(Harytlar!$C$5:$C$44,MATCH(B4914,Harytlar!$A$5:$A$44,0)),""))</f>
        <v/>
      </c>
      <c r="F4914" s="10" t="str">
        <f t="shared" si="76"/>
        <v/>
      </c>
      <c r="G4914" s="10" t="str">
        <f>IF(OR(C4914="",B4914=""),"",IFERROR(C4914*INDEX(Harytlar!$D$5:$D$44,MATCH(B4914,Harytlar!$A$5:$A$44,0)),""))</f>
        <v/>
      </c>
    </row>
    <row r="4915" spans="1:7" x14ac:dyDescent="0.3">
      <c r="A4915" s="17"/>
      <c r="B4915" s="18"/>
      <c r="C4915" s="18"/>
      <c r="D4915" s="18"/>
      <c r="E4915" s="10" t="str">
        <f>IF(B4915="","",IFERROR(INDEX(Harytlar!$C$5:$C$44,MATCH(B4915,Harytlar!$A$5:$A$44,0)),""))</f>
        <v/>
      </c>
      <c r="F4915" s="10" t="str">
        <f t="shared" si="76"/>
        <v/>
      </c>
      <c r="G4915" s="10" t="str">
        <f>IF(OR(C4915="",B4915=""),"",IFERROR(C4915*INDEX(Harytlar!$D$5:$D$44,MATCH(B4915,Harytlar!$A$5:$A$44,0)),""))</f>
        <v/>
      </c>
    </row>
    <row r="4916" spans="1:7" x14ac:dyDescent="0.3">
      <c r="A4916" s="17"/>
      <c r="B4916" s="18"/>
      <c r="C4916" s="18"/>
      <c r="D4916" s="18"/>
      <c r="E4916" s="10" t="str">
        <f>IF(B4916="","",IFERROR(INDEX(Harytlar!$C$5:$C$44,MATCH(B4916,Harytlar!$A$5:$A$44,0)),""))</f>
        <v/>
      </c>
      <c r="F4916" s="10" t="str">
        <f t="shared" si="76"/>
        <v/>
      </c>
      <c r="G4916" s="10" t="str">
        <f>IF(OR(C4916="",B4916=""),"",IFERROR(C4916*INDEX(Harytlar!$D$5:$D$44,MATCH(B4916,Harytlar!$A$5:$A$44,0)),""))</f>
        <v/>
      </c>
    </row>
    <row r="4917" spans="1:7" x14ac:dyDescent="0.3">
      <c r="A4917" s="17"/>
      <c r="B4917" s="18"/>
      <c r="C4917" s="18"/>
      <c r="D4917" s="18"/>
      <c r="E4917" s="10" t="str">
        <f>IF(B4917="","",IFERROR(INDEX(Harytlar!$C$5:$C$44,MATCH(B4917,Harytlar!$A$5:$A$44,0)),""))</f>
        <v/>
      </c>
      <c r="F4917" s="10" t="str">
        <f t="shared" si="76"/>
        <v/>
      </c>
      <c r="G4917" s="10" t="str">
        <f>IF(OR(C4917="",B4917=""),"",IFERROR(C4917*INDEX(Harytlar!$D$5:$D$44,MATCH(B4917,Harytlar!$A$5:$A$44,0)),""))</f>
        <v/>
      </c>
    </row>
    <row r="4918" spans="1:7" x14ac:dyDescent="0.3">
      <c r="A4918" s="17"/>
      <c r="B4918" s="18"/>
      <c r="C4918" s="18"/>
      <c r="D4918" s="18"/>
      <c r="E4918" s="10" t="str">
        <f>IF(B4918="","",IFERROR(INDEX(Harytlar!$C$5:$C$44,MATCH(B4918,Harytlar!$A$5:$A$44,0)),""))</f>
        <v/>
      </c>
      <c r="F4918" s="10" t="str">
        <f t="shared" si="76"/>
        <v/>
      </c>
      <c r="G4918" s="10" t="str">
        <f>IF(OR(C4918="",B4918=""),"",IFERROR(C4918*INDEX(Harytlar!$D$5:$D$44,MATCH(B4918,Harytlar!$A$5:$A$44,0)),""))</f>
        <v/>
      </c>
    </row>
    <row r="4919" spans="1:7" x14ac:dyDescent="0.3">
      <c r="A4919" s="17"/>
      <c r="B4919" s="18"/>
      <c r="C4919" s="18"/>
      <c r="D4919" s="18"/>
      <c r="E4919" s="10" t="str">
        <f>IF(B4919="","",IFERROR(INDEX(Harytlar!$C$5:$C$44,MATCH(B4919,Harytlar!$A$5:$A$44,0)),""))</f>
        <v/>
      </c>
      <c r="F4919" s="10" t="str">
        <f t="shared" si="76"/>
        <v/>
      </c>
      <c r="G4919" s="10" t="str">
        <f>IF(OR(C4919="",B4919=""),"",IFERROR(C4919*INDEX(Harytlar!$D$5:$D$44,MATCH(B4919,Harytlar!$A$5:$A$44,0)),""))</f>
        <v/>
      </c>
    </row>
    <row r="4920" spans="1:7" x14ac:dyDescent="0.3">
      <c r="A4920" s="17"/>
      <c r="B4920" s="18"/>
      <c r="C4920" s="18"/>
      <c r="D4920" s="18"/>
      <c r="E4920" s="10" t="str">
        <f>IF(B4920="","",IFERROR(INDEX(Harytlar!$C$5:$C$44,MATCH(B4920,Harytlar!$A$5:$A$44,0)),""))</f>
        <v/>
      </c>
      <c r="F4920" s="10" t="str">
        <f t="shared" si="76"/>
        <v/>
      </c>
      <c r="G4920" s="10" t="str">
        <f>IF(OR(C4920="",B4920=""),"",IFERROR(C4920*INDEX(Harytlar!$D$5:$D$44,MATCH(B4920,Harytlar!$A$5:$A$44,0)),""))</f>
        <v/>
      </c>
    </row>
    <row r="4921" spans="1:7" x14ac:dyDescent="0.3">
      <c r="A4921" s="17"/>
      <c r="B4921" s="18"/>
      <c r="C4921" s="18"/>
      <c r="D4921" s="18"/>
      <c r="E4921" s="10" t="str">
        <f>IF(B4921="","",IFERROR(INDEX(Harytlar!$C$5:$C$44,MATCH(B4921,Harytlar!$A$5:$A$44,0)),""))</f>
        <v/>
      </c>
      <c r="F4921" s="10" t="str">
        <f t="shared" si="76"/>
        <v/>
      </c>
      <c r="G4921" s="10" t="str">
        <f>IF(OR(C4921="",B4921=""),"",IFERROR(C4921*INDEX(Harytlar!$D$5:$D$44,MATCH(B4921,Harytlar!$A$5:$A$44,0)),""))</f>
        <v/>
      </c>
    </row>
    <row r="4922" spans="1:7" x14ac:dyDescent="0.3">
      <c r="A4922" s="17"/>
      <c r="B4922" s="18"/>
      <c r="C4922" s="18"/>
      <c r="D4922" s="18"/>
      <c r="E4922" s="10" t="str">
        <f>IF(B4922="","",IFERROR(INDEX(Harytlar!$C$5:$C$44,MATCH(B4922,Harytlar!$A$5:$A$44,0)),""))</f>
        <v/>
      </c>
      <c r="F4922" s="10" t="str">
        <f t="shared" si="76"/>
        <v/>
      </c>
      <c r="G4922" s="10" t="str">
        <f>IF(OR(C4922="",B4922=""),"",IFERROR(C4922*INDEX(Harytlar!$D$5:$D$44,MATCH(B4922,Harytlar!$A$5:$A$44,0)),""))</f>
        <v/>
      </c>
    </row>
    <row r="4923" spans="1:7" x14ac:dyDescent="0.3">
      <c r="A4923" s="17"/>
      <c r="B4923" s="18"/>
      <c r="C4923" s="18"/>
      <c r="D4923" s="18"/>
      <c r="E4923" s="10" t="str">
        <f>IF(B4923="","",IFERROR(INDEX(Harytlar!$C$5:$C$44,MATCH(B4923,Harytlar!$A$5:$A$44,0)),""))</f>
        <v/>
      </c>
      <c r="F4923" s="10" t="str">
        <f t="shared" si="76"/>
        <v/>
      </c>
      <c r="G4923" s="10" t="str">
        <f>IF(OR(C4923="",B4923=""),"",IFERROR(C4923*INDEX(Harytlar!$D$5:$D$44,MATCH(B4923,Harytlar!$A$5:$A$44,0)),""))</f>
        <v/>
      </c>
    </row>
    <row r="4924" spans="1:7" x14ac:dyDescent="0.3">
      <c r="A4924" s="17"/>
      <c r="B4924" s="18"/>
      <c r="C4924" s="18"/>
      <c r="D4924" s="18"/>
      <c r="E4924" s="10" t="str">
        <f>IF(B4924="","",IFERROR(INDEX(Harytlar!$C$5:$C$44,MATCH(B4924,Harytlar!$A$5:$A$44,0)),""))</f>
        <v/>
      </c>
      <c r="F4924" s="10" t="str">
        <f t="shared" si="76"/>
        <v/>
      </c>
      <c r="G4924" s="10" t="str">
        <f>IF(OR(C4924="",B4924=""),"",IFERROR(C4924*INDEX(Harytlar!$D$5:$D$44,MATCH(B4924,Harytlar!$A$5:$A$44,0)),""))</f>
        <v/>
      </c>
    </row>
    <row r="4925" spans="1:7" x14ac:dyDescent="0.3">
      <c r="A4925" s="17"/>
      <c r="B4925" s="18"/>
      <c r="C4925" s="18"/>
      <c r="D4925" s="18"/>
      <c r="E4925" s="10" t="str">
        <f>IF(B4925="","",IFERROR(INDEX(Harytlar!$C$5:$C$44,MATCH(B4925,Harytlar!$A$5:$A$44,0)),""))</f>
        <v/>
      </c>
      <c r="F4925" s="10" t="str">
        <f t="shared" si="76"/>
        <v/>
      </c>
      <c r="G4925" s="10" t="str">
        <f>IF(OR(C4925="",B4925=""),"",IFERROR(C4925*INDEX(Harytlar!$D$5:$D$44,MATCH(B4925,Harytlar!$A$5:$A$44,0)),""))</f>
        <v/>
      </c>
    </row>
    <row r="4926" spans="1:7" x14ac:dyDescent="0.3">
      <c r="A4926" s="17"/>
      <c r="B4926" s="18"/>
      <c r="C4926" s="18"/>
      <c r="D4926" s="18"/>
      <c r="E4926" s="10" t="str">
        <f>IF(B4926="","",IFERROR(INDEX(Harytlar!$C$5:$C$44,MATCH(B4926,Harytlar!$A$5:$A$44,0)),""))</f>
        <v/>
      </c>
      <c r="F4926" s="10" t="str">
        <f t="shared" si="76"/>
        <v/>
      </c>
      <c r="G4926" s="10" t="str">
        <f>IF(OR(C4926="",B4926=""),"",IFERROR(C4926*INDEX(Harytlar!$D$5:$D$44,MATCH(B4926,Harytlar!$A$5:$A$44,0)),""))</f>
        <v/>
      </c>
    </row>
    <row r="4927" spans="1:7" x14ac:dyDescent="0.3">
      <c r="A4927" s="17"/>
      <c r="B4927" s="18"/>
      <c r="C4927" s="18"/>
      <c r="D4927" s="18"/>
      <c r="E4927" s="10" t="str">
        <f>IF(B4927="","",IFERROR(INDEX(Harytlar!$C$5:$C$44,MATCH(B4927,Harytlar!$A$5:$A$44,0)),""))</f>
        <v/>
      </c>
      <c r="F4927" s="10" t="str">
        <f t="shared" si="76"/>
        <v/>
      </c>
      <c r="G4927" s="10" t="str">
        <f>IF(OR(C4927="",B4927=""),"",IFERROR(C4927*INDEX(Harytlar!$D$5:$D$44,MATCH(B4927,Harytlar!$A$5:$A$44,0)),""))</f>
        <v/>
      </c>
    </row>
    <row r="4928" spans="1:7" x14ac:dyDescent="0.3">
      <c r="A4928" s="17"/>
      <c r="B4928" s="18"/>
      <c r="C4928" s="18"/>
      <c r="D4928" s="18"/>
      <c r="E4928" s="10" t="str">
        <f>IF(B4928="","",IFERROR(INDEX(Harytlar!$C$5:$C$44,MATCH(B4928,Harytlar!$A$5:$A$44,0)),""))</f>
        <v/>
      </c>
      <c r="F4928" s="10" t="str">
        <f t="shared" si="76"/>
        <v/>
      </c>
      <c r="G4928" s="10" t="str">
        <f>IF(OR(C4928="",B4928=""),"",IFERROR(C4928*INDEX(Harytlar!$D$5:$D$44,MATCH(B4928,Harytlar!$A$5:$A$44,0)),""))</f>
        <v/>
      </c>
    </row>
    <row r="4929" spans="1:7" x14ac:dyDescent="0.3">
      <c r="A4929" s="17"/>
      <c r="B4929" s="18"/>
      <c r="C4929" s="18"/>
      <c r="D4929" s="18"/>
      <c r="E4929" s="10" t="str">
        <f>IF(B4929="","",IFERROR(INDEX(Harytlar!$C$5:$C$44,MATCH(B4929,Harytlar!$A$5:$A$44,0)),""))</f>
        <v/>
      </c>
      <c r="F4929" s="10" t="str">
        <f t="shared" si="76"/>
        <v/>
      </c>
      <c r="G4929" s="10" t="str">
        <f>IF(OR(C4929="",B4929=""),"",IFERROR(C4929*INDEX(Harytlar!$D$5:$D$44,MATCH(B4929,Harytlar!$A$5:$A$44,0)),""))</f>
        <v/>
      </c>
    </row>
    <row r="4930" spans="1:7" x14ac:dyDescent="0.3">
      <c r="A4930" s="17"/>
      <c r="B4930" s="18"/>
      <c r="C4930" s="18"/>
      <c r="D4930" s="18"/>
      <c r="E4930" s="10" t="str">
        <f>IF(B4930="","",IFERROR(INDEX(Harytlar!$C$5:$C$44,MATCH(B4930,Harytlar!$A$5:$A$44,0)),""))</f>
        <v/>
      </c>
      <c r="F4930" s="10" t="str">
        <f t="shared" si="76"/>
        <v/>
      </c>
      <c r="G4930" s="10" t="str">
        <f>IF(OR(C4930="",B4930=""),"",IFERROR(C4930*INDEX(Harytlar!$D$5:$D$44,MATCH(B4930,Harytlar!$A$5:$A$44,0)),""))</f>
        <v/>
      </c>
    </row>
    <row r="4931" spans="1:7" x14ac:dyDescent="0.3">
      <c r="A4931" s="17"/>
      <c r="B4931" s="18"/>
      <c r="C4931" s="18"/>
      <c r="D4931" s="18"/>
      <c r="E4931" s="10" t="str">
        <f>IF(B4931="","",IFERROR(INDEX(Harytlar!$C$5:$C$44,MATCH(B4931,Harytlar!$A$5:$A$44,0)),""))</f>
        <v/>
      </c>
      <c r="F4931" s="10" t="str">
        <f t="shared" si="76"/>
        <v/>
      </c>
      <c r="G4931" s="10" t="str">
        <f>IF(OR(C4931="",B4931=""),"",IFERROR(C4931*INDEX(Harytlar!$D$5:$D$44,MATCH(B4931,Harytlar!$A$5:$A$44,0)),""))</f>
        <v/>
      </c>
    </row>
    <row r="4932" spans="1:7" x14ac:dyDescent="0.3">
      <c r="A4932" s="17"/>
      <c r="B4932" s="18"/>
      <c r="C4932" s="18"/>
      <c r="D4932" s="18"/>
      <c r="E4932" s="10" t="str">
        <f>IF(B4932="","",IFERROR(INDEX(Harytlar!$C$5:$C$44,MATCH(B4932,Harytlar!$A$5:$A$44,0)),""))</f>
        <v/>
      </c>
      <c r="F4932" s="10" t="str">
        <f t="shared" si="76"/>
        <v/>
      </c>
      <c r="G4932" s="10" t="str">
        <f>IF(OR(C4932="",B4932=""),"",IFERROR(C4932*INDEX(Harytlar!$D$5:$D$44,MATCH(B4932,Harytlar!$A$5:$A$44,0)),""))</f>
        <v/>
      </c>
    </row>
    <row r="4933" spans="1:7" x14ac:dyDescent="0.3">
      <c r="A4933" s="17"/>
      <c r="B4933" s="18"/>
      <c r="C4933" s="18"/>
      <c r="D4933" s="18"/>
      <c r="E4933" s="10" t="str">
        <f>IF(B4933="","",IFERROR(INDEX(Harytlar!$C$5:$C$44,MATCH(B4933,Harytlar!$A$5:$A$44,0)),""))</f>
        <v/>
      </c>
      <c r="F4933" s="10" t="str">
        <f t="shared" si="76"/>
        <v/>
      </c>
      <c r="G4933" s="10" t="str">
        <f>IF(OR(C4933="",B4933=""),"",IFERROR(C4933*INDEX(Harytlar!$D$5:$D$44,MATCH(B4933,Harytlar!$A$5:$A$44,0)),""))</f>
        <v/>
      </c>
    </row>
    <row r="4934" spans="1:7" x14ac:dyDescent="0.3">
      <c r="A4934" s="17"/>
      <c r="B4934" s="18"/>
      <c r="C4934" s="18"/>
      <c r="D4934" s="18"/>
      <c r="E4934" s="10" t="str">
        <f>IF(B4934="","",IFERROR(INDEX(Harytlar!$C$5:$C$44,MATCH(B4934,Harytlar!$A$5:$A$44,0)),""))</f>
        <v/>
      </c>
      <c r="F4934" s="10" t="str">
        <f t="shared" ref="F4934:F4997" si="77">IF(OR(C4934="",E4934=""),"",C4934*E4934)</f>
        <v/>
      </c>
      <c r="G4934" s="10" t="str">
        <f>IF(OR(C4934="",B4934=""),"",IFERROR(C4934*INDEX(Harytlar!$D$5:$D$44,MATCH(B4934,Harytlar!$A$5:$A$44,0)),""))</f>
        <v/>
      </c>
    </row>
    <row r="4935" spans="1:7" x14ac:dyDescent="0.3">
      <c r="A4935" s="17"/>
      <c r="B4935" s="18"/>
      <c r="C4935" s="18"/>
      <c r="D4935" s="18"/>
      <c r="E4935" s="10" t="str">
        <f>IF(B4935="","",IFERROR(INDEX(Harytlar!$C$5:$C$44,MATCH(B4935,Harytlar!$A$5:$A$44,0)),""))</f>
        <v/>
      </c>
      <c r="F4935" s="10" t="str">
        <f t="shared" si="77"/>
        <v/>
      </c>
      <c r="G4935" s="10" t="str">
        <f>IF(OR(C4935="",B4935=""),"",IFERROR(C4935*INDEX(Harytlar!$D$5:$D$44,MATCH(B4935,Harytlar!$A$5:$A$44,0)),""))</f>
        <v/>
      </c>
    </row>
    <row r="4936" spans="1:7" x14ac:dyDescent="0.3">
      <c r="A4936" s="17"/>
      <c r="B4936" s="18"/>
      <c r="C4936" s="18"/>
      <c r="D4936" s="18"/>
      <c r="E4936" s="10" t="str">
        <f>IF(B4936="","",IFERROR(INDEX(Harytlar!$C$5:$C$44,MATCH(B4936,Harytlar!$A$5:$A$44,0)),""))</f>
        <v/>
      </c>
      <c r="F4936" s="10" t="str">
        <f t="shared" si="77"/>
        <v/>
      </c>
      <c r="G4936" s="10" t="str">
        <f>IF(OR(C4936="",B4936=""),"",IFERROR(C4936*INDEX(Harytlar!$D$5:$D$44,MATCH(B4936,Harytlar!$A$5:$A$44,0)),""))</f>
        <v/>
      </c>
    </row>
    <row r="4937" spans="1:7" x14ac:dyDescent="0.3">
      <c r="A4937" s="17"/>
      <c r="B4937" s="18"/>
      <c r="C4937" s="18"/>
      <c r="D4937" s="18"/>
      <c r="E4937" s="10" t="str">
        <f>IF(B4937="","",IFERROR(INDEX(Harytlar!$C$5:$C$44,MATCH(B4937,Harytlar!$A$5:$A$44,0)),""))</f>
        <v/>
      </c>
      <c r="F4937" s="10" t="str">
        <f t="shared" si="77"/>
        <v/>
      </c>
      <c r="G4937" s="10" t="str">
        <f>IF(OR(C4937="",B4937=""),"",IFERROR(C4937*INDEX(Harytlar!$D$5:$D$44,MATCH(B4937,Harytlar!$A$5:$A$44,0)),""))</f>
        <v/>
      </c>
    </row>
    <row r="4938" spans="1:7" x14ac:dyDescent="0.3">
      <c r="A4938" s="17"/>
      <c r="B4938" s="18"/>
      <c r="C4938" s="18"/>
      <c r="D4938" s="18"/>
      <c r="E4938" s="10" t="str">
        <f>IF(B4938="","",IFERROR(INDEX(Harytlar!$C$5:$C$44,MATCH(B4938,Harytlar!$A$5:$A$44,0)),""))</f>
        <v/>
      </c>
      <c r="F4938" s="10" t="str">
        <f t="shared" si="77"/>
        <v/>
      </c>
      <c r="G4938" s="10" t="str">
        <f>IF(OR(C4938="",B4938=""),"",IFERROR(C4938*INDEX(Harytlar!$D$5:$D$44,MATCH(B4938,Harytlar!$A$5:$A$44,0)),""))</f>
        <v/>
      </c>
    </row>
    <row r="4939" spans="1:7" x14ac:dyDescent="0.3">
      <c r="A4939" s="17"/>
      <c r="B4939" s="18"/>
      <c r="C4939" s="18"/>
      <c r="D4939" s="18"/>
      <c r="E4939" s="10" t="str">
        <f>IF(B4939="","",IFERROR(INDEX(Harytlar!$C$5:$C$44,MATCH(B4939,Harytlar!$A$5:$A$44,0)),""))</f>
        <v/>
      </c>
      <c r="F4939" s="10" t="str">
        <f t="shared" si="77"/>
        <v/>
      </c>
      <c r="G4939" s="10" t="str">
        <f>IF(OR(C4939="",B4939=""),"",IFERROR(C4939*INDEX(Harytlar!$D$5:$D$44,MATCH(B4939,Harytlar!$A$5:$A$44,0)),""))</f>
        <v/>
      </c>
    </row>
    <row r="4940" spans="1:7" x14ac:dyDescent="0.3">
      <c r="A4940" s="17"/>
      <c r="B4940" s="18"/>
      <c r="C4940" s="18"/>
      <c r="D4940" s="18"/>
      <c r="E4940" s="10" t="str">
        <f>IF(B4940="","",IFERROR(INDEX(Harytlar!$C$5:$C$44,MATCH(B4940,Harytlar!$A$5:$A$44,0)),""))</f>
        <v/>
      </c>
      <c r="F4940" s="10" t="str">
        <f t="shared" si="77"/>
        <v/>
      </c>
      <c r="G4940" s="10" t="str">
        <f>IF(OR(C4940="",B4940=""),"",IFERROR(C4940*INDEX(Harytlar!$D$5:$D$44,MATCH(B4940,Harytlar!$A$5:$A$44,0)),""))</f>
        <v/>
      </c>
    </row>
    <row r="4941" spans="1:7" x14ac:dyDescent="0.3">
      <c r="A4941" s="17"/>
      <c r="B4941" s="18"/>
      <c r="C4941" s="18"/>
      <c r="D4941" s="18"/>
      <c r="E4941" s="10" t="str">
        <f>IF(B4941="","",IFERROR(INDEX(Harytlar!$C$5:$C$44,MATCH(B4941,Harytlar!$A$5:$A$44,0)),""))</f>
        <v/>
      </c>
      <c r="F4941" s="10" t="str">
        <f t="shared" si="77"/>
        <v/>
      </c>
      <c r="G4941" s="10" t="str">
        <f>IF(OR(C4941="",B4941=""),"",IFERROR(C4941*INDEX(Harytlar!$D$5:$D$44,MATCH(B4941,Harytlar!$A$5:$A$44,0)),""))</f>
        <v/>
      </c>
    </row>
    <row r="4942" spans="1:7" x14ac:dyDescent="0.3">
      <c r="A4942" s="17"/>
      <c r="B4942" s="18"/>
      <c r="C4942" s="18"/>
      <c r="D4942" s="18"/>
      <c r="E4942" s="10" t="str">
        <f>IF(B4942="","",IFERROR(INDEX(Harytlar!$C$5:$C$44,MATCH(B4942,Harytlar!$A$5:$A$44,0)),""))</f>
        <v/>
      </c>
      <c r="F4942" s="10" t="str">
        <f t="shared" si="77"/>
        <v/>
      </c>
      <c r="G4942" s="10" t="str">
        <f>IF(OR(C4942="",B4942=""),"",IFERROR(C4942*INDEX(Harytlar!$D$5:$D$44,MATCH(B4942,Harytlar!$A$5:$A$44,0)),""))</f>
        <v/>
      </c>
    </row>
    <row r="4943" spans="1:7" x14ac:dyDescent="0.3">
      <c r="A4943" s="17"/>
      <c r="B4943" s="18"/>
      <c r="C4943" s="18"/>
      <c r="D4943" s="18"/>
      <c r="E4943" s="10" t="str">
        <f>IF(B4943="","",IFERROR(INDEX(Harytlar!$C$5:$C$44,MATCH(B4943,Harytlar!$A$5:$A$44,0)),""))</f>
        <v/>
      </c>
      <c r="F4943" s="10" t="str">
        <f t="shared" si="77"/>
        <v/>
      </c>
      <c r="G4943" s="10" t="str">
        <f>IF(OR(C4943="",B4943=""),"",IFERROR(C4943*INDEX(Harytlar!$D$5:$D$44,MATCH(B4943,Harytlar!$A$5:$A$44,0)),""))</f>
        <v/>
      </c>
    </row>
    <row r="4944" spans="1:7" x14ac:dyDescent="0.3">
      <c r="A4944" s="17"/>
      <c r="B4944" s="18"/>
      <c r="C4944" s="18"/>
      <c r="D4944" s="18"/>
      <c r="E4944" s="10" t="str">
        <f>IF(B4944="","",IFERROR(INDEX(Harytlar!$C$5:$C$44,MATCH(B4944,Harytlar!$A$5:$A$44,0)),""))</f>
        <v/>
      </c>
      <c r="F4944" s="10" t="str">
        <f t="shared" si="77"/>
        <v/>
      </c>
      <c r="G4944" s="10" t="str">
        <f>IF(OR(C4944="",B4944=""),"",IFERROR(C4944*INDEX(Harytlar!$D$5:$D$44,MATCH(B4944,Harytlar!$A$5:$A$44,0)),""))</f>
        <v/>
      </c>
    </row>
    <row r="4945" spans="1:7" x14ac:dyDescent="0.3">
      <c r="A4945" s="17"/>
      <c r="B4945" s="18"/>
      <c r="C4945" s="18"/>
      <c r="D4945" s="18"/>
      <c r="E4945" s="10" t="str">
        <f>IF(B4945="","",IFERROR(INDEX(Harytlar!$C$5:$C$44,MATCH(B4945,Harytlar!$A$5:$A$44,0)),""))</f>
        <v/>
      </c>
      <c r="F4945" s="10" t="str">
        <f t="shared" si="77"/>
        <v/>
      </c>
      <c r="G4945" s="10" t="str">
        <f>IF(OR(C4945="",B4945=""),"",IFERROR(C4945*INDEX(Harytlar!$D$5:$D$44,MATCH(B4945,Harytlar!$A$5:$A$44,0)),""))</f>
        <v/>
      </c>
    </row>
    <row r="4946" spans="1:7" x14ac:dyDescent="0.3">
      <c r="A4946" s="17"/>
      <c r="B4946" s="18"/>
      <c r="C4946" s="18"/>
      <c r="D4946" s="18"/>
      <c r="E4946" s="10" t="str">
        <f>IF(B4946="","",IFERROR(INDEX(Harytlar!$C$5:$C$44,MATCH(B4946,Harytlar!$A$5:$A$44,0)),""))</f>
        <v/>
      </c>
      <c r="F4946" s="10" t="str">
        <f t="shared" si="77"/>
        <v/>
      </c>
      <c r="G4946" s="10" t="str">
        <f>IF(OR(C4946="",B4946=""),"",IFERROR(C4946*INDEX(Harytlar!$D$5:$D$44,MATCH(B4946,Harytlar!$A$5:$A$44,0)),""))</f>
        <v/>
      </c>
    </row>
    <row r="4947" spans="1:7" x14ac:dyDescent="0.3">
      <c r="A4947" s="17"/>
      <c r="B4947" s="18"/>
      <c r="C4947" s="18"/>
      <c r="D4947" s="18"/>
      <c r="E4947" s="10" t="str">
        <f>IF(B4947="","",IFERROR(INDEX(Harytlar!$C$5:$C$44,MATCH(B4947,Harytlar!$A$5:$A$44,0)),""))</f>
        <v/>
      </c>
      <c r="F4947" s="10" t="str">
        <f t="shared" si="77"/>
        <v/>
      </c>
      <c r="G4947" s="10" t="str">
        <f>IF(OR(C4947="",B4947=""),"",IFERROR(C4947*INDEX(Harytlar!$D$5:$D$44,MATCH(B4947,Harytlar!$A$5:$A$44,0)),""))</f>
        <v/>
      </c>
    </row>
    <row r="4948" spans="1:7" x14ac:dyDescent="0.3">
      <c r="A4948" s="17"/>
      <c r="B4948" s="18"/>
      <c r="C4948" s="18"/>
      <c r="D4948" s="18"/>
      <c r="E4948" s="10" t="str">
        <f>IF(B4948="","",IFERROR(INDEX(Harytlar!$C$5:$C$44,MATCH(B4948,Harytlar!$A$5:$A$44,0)),""))</f>
        <v/>
      </c>
      <c r="F4948" s="10" t="str">
        <f t="shared" si="77"/>
        <v/>
      </c>
      <c r="G4948" s="10" t="str">
        <f>IF(OR(C4948="",B4948=""),"",IFERROR(C4948*INDEX(Harytlar!$D$5:$D$44,MATCH(B4948,Harytlar!$A$5:$A$44,0)),""))</f>
        <v/>
      </c>
    </row>
    <row r="4949" spans="1:7" x14ac:dyDescent="0.3">
      <c r="A4949" s="17"/>
      <c r="B4949" s="18"/>
      <c r="C4949" s="18"/>
      <c r="D4949" s="18"/>
      <c r="E4949" s="10" t="str">
        <f>IF(B4949="","",IFERROR(INDEX(Harytlar!$C$5:$C$44,MATCH(B4949,Harytlar!$A$5:$A$44,0)),""))</f>
        <v/>
      </c>
      <c r="F4949" s="10" t="str">
        <f t="shared" si="77"/>
        <v/>
      </c>
      <c r="G4949" s="10" t="str">
        <f>IF(OR(C4949="",B4949=""),"",IFERROR(C4949*INDEX(Harytlar!$D$5:$D$44,MATCH(B4949,Harytlar!$A$5:$A$44,0)),""))</f>
        <v/>
      </c>
    </row>
    <row r="4950" spans="1:7" x14ac:dyDescent="0.3">
      <c r="A4950" s="17"/>
      <c r="B4950" s="18"/>
      <c r="C4950" s="18"/>
      <c r="D4950" s="18"/>
      <c r="E4950" s="10" t="str">
        <f>IF(B4950="","",IFERROR(INDEX(Harytlar!$C$5:$C$44,MATCH(B4950,Harytlar!$A$5:$A$44,0)),""))</f>
        <v/>
      </c>
      <c r="F4950" s="10" t="str">
        <f t="shared" si="77"/>
        <v/>
      </c>
      <c r="G4950" s="10" t="str">
        <f>IF(OR(C4950="",B4950=""),"",IFERROR(C4950*INDEX(Harytlar!$D$5:$D$44,MATCH(B4950,Harytlar!$A$5:$A$44,0)),""))</f>
        <v/>
      </c>
    </row>
    <row r="4951" spans="1:7" x14ac:dyDescent="0.3">
      <c r="A4951" s="17"/>
      <c r="B4951" s="18"/>
      <c r="C4951" s="18"/>
      <c r="D4951" s="18"/>
      <c r="E4951" s="10" t="str">
        <f>IF(B4951="","",IFERROR(INDEX(Harytlar!$C$5:$C$44,MATCH(B4951,Harytlar!$A$5:$A$44,0)),""))</f>
        <v/>
      </c>
      <c r="F4951" s="10" t="str">
        <f t="shared" si="77"/>
        <v/>
      </c>
      <c r="G4951" s="10" t="str">
        <f>IF(OR(C4951="",B4951=""),"",IFERROR(C4951*INDEX(Harytlar!$D$5:$D$44,MATCH(B4951,Harytlar!$A$5:$A$44,0)),""))</f>
        <v/>
      </c>
    </row>
    <row r="4952" spans="1:7" x14ac:dyDescent="0.3">
      <c r="A4952" s="17"/>
      <c r="B4952" s="18"/>
      <c r="C4952" s="18"/>
      <c r="D4952" s="18"/>
      <c r="E4952" s="10" t="str">
        <f>IF(B4952="","",IFERROR(INDEX(Harytlar!$C$5:$C$44,MATCH(B4952,Harytlar!$A$5:$A$44,0)),""))</f>
        <v/>
      </c>
      <c r="F4952" s="10" t="str">
        <f t="shared" si="77"/>
        <v/>
      </c>
      <c r="G4952" s="10" t="str">
        <f>IF(OR(C4952="",B4952=""),"",IFERROR(C4952*INDEX(Harytlar!$D$5:$D$44,MATCH(B4952,Harytlar!$A$5:$A$44,0)),""))</f>
        <v/>
      </c>
    </row>
    <row r="4953" spans="1:7" x14ac:dyDescent="0.3">
      <c r="A4953" s="17"/>
      <c r="B4953" s="18"/>
      <c r="C4953" s="18"/>
      <c r="D4953" s="18"/>
      <c r="E4953" s="10" t="str">
        <f>IF(B4953="","",IFERROR(INDEX(Harytlar!$C$5:$C$44,MATCH(B4953,Harytlar!$A$5:$A$44,0)),""))</f>
        <v/>
      </c>
      <c r="F4953" s="10" t="str">
        <f t="shared" si="77"/>
        <v/>
      </c>
      <c r="G4953" s="10" t="str">
        <f>IF(OR(C4953="",B4953=""),"",IFERROR(C4953*INDEX(Harytlar!$D$5:$D$44,MATCH(B4953,Harytlar!$A$5:$A$44,0)),""))</f>
        <v/>
      </c>
    </row>
    <row r="4954" spans="1:7" x14ac:dyDescent="0.3">
      <c r="A4954" s="17"/>
      <c r="B4954" s="18"/>
      <c r="C4954" s="18"/>
      <c r="D4954" s="18"/>
      <c r="E4954" s="10" t="str">
        <f>IF(B4954="","",IFERROR(INDEX(Harytlar!$C$5:$C$44,MATCH(B4954,Harytlar!$A$5:$A$44,0)),""))</f>
        <v/>
      </c>
      <c r="F4954" s="10" t="str">
        <f t="shared" si="77"/>
        <v/>
      </c>
      <c r="G4954" s="10" t="str">
        <f>IF(OR(C4954="",B4954=""),"",IFERROR(C4954*INDEX(Harytlar!$D$5:$D$44,MATCH(B4954,Harytlar!$A$5:$A$44,0)),""))</f>
        <v/>
      </c>
    </row>
    <row r="4955" spans="1:7" x14ac:dyDescent="0.3">
      <c r="A4955" s="17"/>
      <c r="B4955" s="18"/>
      <c r="C4955" s="18"/>
      <c r="D4955" s="18"/>
      <c r="E4955" s="10" t="str">
        <f>IF(B4955="","",IFERROR(INDEX(Harytlar!$C$5:$C$44,MATCH(B4955,Harytlar!$A$5:$A$44,0)),""))</f>
        <v/>
      </c>
      <c r="F4955" s="10" t="str">
        <f t="shared" si="77"/>
        <v/>
      </c>
      <c r="G4955" s="10" t="str">
        <f>IF(OR(C4955="",B4955=""),"",IFERROR(C4955*INDEX(Harytlar!$D$5:$D$44,MATCH(B4955,Harytlar!$A$5:$A$44,0)),""))</f>
        <v/>
      </c>
    </row>
    <row r="4956" spans="1:7" x14ac:dyDescent="0.3">
      <c r="A4956" s="17"/>
      <c r="B4956" s="18"/>
      <c r="C4956" s="18"/>
      <c r="D4956" s="18"/>
      <c r="E4956" s="10" t="str">
        <f>IF(B4956="","",IFERROR(INDEX(Harytlar!$C$5:$C$44,MATCH(B4956,Harytlar!$A$5:$A$44,0)),""))</f>
        <v/>
      </c>
      <c r="F4956" s="10" t="str">
        <f t="shared" si="77"/>
        <v/>
      </c>
      <c r="G4956" s="10" t="str">
        <f>IF(OR(C4956="",B4956=""),"",IFERROR(C4956*INDEX(Harytlar!$D$5:$D$44,MATCH(B4956,Harytlar!$A$5:$A$44,0)),""))</f>
        <v/>
      </c>
    </row>
    <row r="4957" spans="1:7" x14ac:dyDescent="0.3">
      <c r="A4957" s="17"/>
      <c r="B4957" s="18"/>
      <c r="C4957" s="18"/>
      <c r="D4957" s="18"/>
      <c r="E4957" s="10" t="str">
        <f>IF(B4957="","",IFERROR(INDEX(Harytlar!$C$5:$C$44,MATCH(B4957,Harytlar!$A$5:$A$44,0)),""))</f>
        <v/>
      </c>
      <c r="F4957" s="10" t="str">
        <f t="shared" si="77"/>
        <v/>
      </c>
      <c r="G4957" s="10" t="str">
        <f>IF(OR(C4957="",B4957=""),"",IFERROR(C4957*INDEX(Harytlar!$D$5:$D$44,MATCH(B4957,Harytlar!$A$5:$A$44,0)),""))</f>
        <v/>
      </c>
    </row>
    <row r="4958" spans="1:7" x14ac:dyDescent="0.3">
      <c r="A4958" s="17"/>
      <c r="B4958" s="18"/>
      <c r="C4958" s="18"/>
      <c r="D4958" s="18"/>
      <c r="E4958" s="10" t="str">
        <f>IF(B4958="","",IFERROR(INDEX(Harytlar!$C$5:$C$44,MATCH(B4958,Harytlar!$A$5:$A$44,0)),""))</f>
        <v/>
      </c>
      <c r="F4958" s="10" t="str">
        <f t="shared" si="77"/>
        <v/>
      </c>
      <c r="G4958" s="10" t="str">
        <f>IF(OR(C4958="",B4958=""),"",IFERROR(C4958*INDEX(Harytlar!$D$5:$D$44,MATCH(B4958,Harytlar!$A$5:$A$44,0)),""))</f>
        <v/>
      </c>
    </row>
    <row r="4959" spans="1:7" x14ac:dyDescent="0.3">
      <c r="A4959" s="17"/>
      <c r="B4959" s="18"/>
      <c r="C4959" s="18"/>
      <c r="D4959" s="18"/>
      <c r="E4959" s="10" t="str">
        <f>IF(B4959="","",IFERROR(INDEX(Harytlar!$C$5:$C$44,MATCH(B4959,Harytlar!$A$5:$A$44,0)),""))</f>
        <v/>
      </c>
      <c r="F4959" s="10" t="str">
        <f t="shared" si="77"/>
        <v/>
      </c>
      <c r="G4959" s="10" t="str">
        <f>IF(OR(C4959="",B4959=""),"",IFERROR(C4959*INDEX(Harytlar!$D$5:$D$44,MATCH(B4959,Harytlar!$A$5:$A$44,0)),""))</f>
        <v/>
      </c>
    </row>
    <row r="4960" spans="1:7" x14ac:dyDescent="0.3">
      <c r="A4960" s="17"/>
      <c r="B4960" s="18"/>
      <c r="C4960" s="18"/>
      <c r="D4960" s="18"/>
      <c r="E4960" s="10" t="str">
        <f>IF(B4960="","",IFERROR(INDEX(Harytlar!$C$5:$C$44,MATCH(B4960,Harytlar!$A$5:$A$44,0)),""))</f>
        <v/>
      </c>
      <c r="F4960" s="10" t="str">
        <f t="shared" si="77"/>
        <v/>
      </c>
      <c r="G4960" s="10" t="str">
        <f>IF(OR(C4960="",B4960=""),"",IFERROR(C4960*INDEX(Harytlar!$D$5:$D$44,MATCH(B4960,Harytlar!$A$5:$A$44,0)),""))</f>
        <v/>
      </c>
    </row>
    <row r="4961" spans="1:7" x14ac:dyDescent="0.3">
      <c r="A4961" s="17"/>
      <c r="B4961" s="18"/>
      <c r="C4961" s="18"/>
      <c r="D4961" s="18"/>
      <c r="E4961" s="10" t="str">
        <f>IF(B4961="","",IFERROR(INDEX(Harytlar!$C$5:$C$44,MATCH(B4961,Harytlar!$A$5:$A$44,0)),""))</f>
        <v/>
      </c>
      <c r="F4961" s="10" t="str">
        <f t="shared" si="77"/>
        <v/>
      </c>
      <c r="G4961" s="10" t="str">
        <f>IF(OR(C4961="",B4961=""),"",IFERROR(C4961*INDEX(Harytlar!$D$5:$D$44,MATCH(B4961,Harytlar!$A$5:$A$44,0)),""))</f>
        <v/>
      </c>
    </row>
    <row r="4962" spans="1:7" x14ac:dyDescent="0.3">
      <c r="A4962" s="17"/>
      <c r="B4962" s="18"/>
      <c r="C4962" s="18"/>
      <c r="D4962" s="18"/>
      <c r="E4962" s="10" t="str">
        <f>IF(B4962="","",IFERROR(INDEX(Harytlar!$C$5:$C$44,MATCH(B4962,Harytlar!$A$5:$A$44,0)),""))</f>
        <v/>
      </c>
      <c r="F4962" s="10" t="str">
        <f t="shared" si="77"/>
        <v/>
      </c>
      <c r="G4962" s="10" t="str">
        <f>IF(OR(C4962="",B4962=""),"",IFERROR(C4962*INDEX(Harytlar!$D$5:$D$44,MATCH(B4962,Harytlar!$A$5:$A$44,0)),""))</f>
        <v/>
      </c>
    </row>
    <row r="4963" spans="1:7" x14ac:dyDescent="0.3">
      <c r="A4963" s="17"/>
      <c r="B4963" s="18"/>
      <c r="C4963" s="18"/>
      <c r="D4963" s="18"/>
      <c r="E4963" s="10" t="str">
        <f>IF(B4963="","",IFERROR(INDEX(Harytlar!$C$5:$C$44,MATCH(B4963,Harytlar!$A$5:$A$44,0)),""))</f>
        <v/>
      </c>
      <c r="F4963" s="10" t="str">
        <f t="shared" si="77"/>
        <v/>
      </c>
      <c r="G4963" s="10" t="str">
        <f>IF(OR(C4963="",B4963=""),"",IFERROR(C4963*INDEX(Harytlar!$D$5:$D$44,MATCH(B4963,Harytlar!$A$5:$A$44,0)),""))</f>
        <v/>
      </c>
    </row>
    <row r="4964" spans="1:7" x14ac:dyDescent="0.3">
      <c r="A4964" s="17"/>
      <c r="B4964" s="18"/>
      <c r="C4964" s="18"/>
      <c r="D4964" s="18"/>
      <c r="E4964" s="10" t="str">
        <f>IF(B4964="","",IFERROR(INDEX(Harytlar!$C$5:$C$44,MATCH(B4964,Harytlar!$A$5:$A$44,0)),""))</f>
        <v/>
      </c>
      <c r="F4964" s="10" t="str">
        <f t="shared" si="77"/>
        <v/>
      </c>
      <c r="G4964" s="10" t="str">
        <f>IF(OR(C4964="",B4964=""),"",IFERROR(C4964*INDEX(Harytlar!$D$5:$D$44,MATCH(B4964,Harytlar!$A$5:$A$44,0)),""))</f>
        <v/>
      </c>
    </row>
    <row r="4965" spans="1:7" x14ac:dyDescent="0.3">
      <c r="A4965" s="17"/>
      <c r="B4965" s="18"/>
      <c r="C4965" s="18"/>
      <c r="D4965" s="18"/>
      <c r="E4965" s="10" t="str">
        <f>IF(B4965="","",IFERROR(INDEX(Harytlar!$C$5:$C$44,MATCH(B4965,Harytlar!$A$5:$A$44,0)),""))</f>
        <v/>
      </c>
      <c r="F4965" s="10" t="str">
        <f t="shared" si="77"/>
        <v/>
      </c>
      <c r="G4965" s="10" t="str">
        <f>IF(OR(C4965="",B4965=""),"",IFERROR(C4965*INDEX(Harytlar!$D$5:$D$44,MATCH(B4965,Harytlar!$A$5:$A$44,0)),""))</f>
        <v/>
      </c>
    </row>
    <row r="4966" spans="1:7" x14ac:dyDescent="0.3">
      <c r="A4966" s="17"/>
      <c r="B4966" s="18"/>
      <c r="C4966" s="18"/>
      <c r="D4966" s="18"/>
      <c r="E4966" s="10" t="str">
        <f>IF(B4966="","",IFERROR(INDEX(Harytlar!$C$5:$C$44,MATCH(B4966,Harytlar!$A$5:$A$44,0)),""))</f>
        <v/>
      </c>
      <c r="F4966" s="10" t="str">
        <f t="shared" si="77"/>
        <v/>
      </c>
      <c r="G4966" s="10" t="str">
        <f>IF(OR(C4966="",B4966=""),"",IFERROR(C4966*INDEX(Harytlar!$D$5:$D$44,MATCH(B4966,Harytlar!$A$5:$A$44,0)),""))</f>
        <v/>
      </c>
    </row>
    <row r="4967" spans="1:7" x14ac:dyDescent="0.3">
      <c r="A4967" s="17"/>
      <c r="B4967" s="18"/>
      <c r="C4967" s="18"/>
      <c r="D4967" s="18"/>
      <c r="E4967" s="10" t="str">
        <f>IF(B4967="","",IFERROR(INDEX(Harytlar!$C$5:$C$44,MATCH(B4967,Harytlar!$A$5:$A$44,0)),""))</f>
        <v/>
      </c>
      <c r="F4967" s="10" t="str">
        <f t="shared" si="77"/>
        <v/>
      </c>
      <c r="G4967" s="10" t="str">
        <f>IF(OR(C4967="",B4967=""),"",IFERROR(C4967*INDEX(Harytlar!$D$5:$D$44,MATCH(B4967,Harytlar!$A$5:$A$44,0)),""))</f>
        <v/>
      </c>
    </row>
    <row r="4968" spans="1:7" x14ac:dyDescent="0.3">
      <c r="A4968" s="17"/>
      <c r="B4968" s="18"/>
      <c r="C4968" s="18"/>
      <c r="D4968" s="18"/>
      <c r="E4968" s="10" t="str">
        <f>IF(B4968="","",IFERROR(INDEX(Harytlar!$C$5:$C$44,MATCH(B4968,Harytlar!$A$5:$A$44,0)),""))</f>
        <v/>
      </c>
      <c r="F4968" s="10" t="str">
        <f t="shared" si="77"/>
        <v/>
      </c>
      <c r="G4968" s="10" t="str">
        <f>IF(OR(C4968="",B4968=""),"",IFERROR(C4968*INDEX(Harytlar!$D$5:$D$44,MATCH(B4968,Harytlar!$A$5:$A$44,0)),""))</f>
        <v/>
      </c>
    </row>
    <row r="4969" spans="1:7" x14ac:dyDescent="0.3">
      <c r="A4969" s="17"/>
      <c r="B4969" s="18"/>
      <c r="C4969" s="18"/>
      <c r="D4969" s="18"/>
      <c r="E4969" s="10" t="str">
        <f>IF(B4969="","",IFERROR(INDEX(Harytlar!$C$5:$C$44,MATCH(B4969,Harytlar!$A$5:$A$44,0)),""))</f>
        <v/>
      </c>
      <c r="F4969" s="10" t="str">
        <f t="shared" si="77"/>
        <v/>
      </c>
      <c r="G4969" s="10" t="str">
        <f>IF(OR(C4969="",B4969=""),"",IFERROR(C4969*INDEX(Harytlar!$D$5:$D$44,MATCH(B4969,Harytlar!$A$5:$A$44,0)),""))</f>
        <v/>
      </c>
    </row>
    <row r="4970" spans="1:7" x14ac:dyDescent="0.3">
      <c r="A4970" s="17"/>
      <c r="B4970" s="18"/>
      <c r="C4970" s="18"/>
      <c r="D4970" s="18"/>
      <c r="E4970" s="10" t="str">
        <f>IF(B4970="","",IFERROR(INDEX(Harytlar!$C$5:$C$44,MATCH(B4970,Harytlar!$A$5:$A$44,0)),""))</f>
        <v/>
      </c>
      <c r="F4970" s="10" t="str">
        <f t="shared" si="77"/>
        <v/>
      </c>
      <c r="G4970" s="10" t="str">
        <f>IF(OR(C4970="",B4970=""),"",IFERROR(C4970*INDEX(Harytlar!$D$5:$D$44,MATCH(B4970,Harytlar!$A$5:$A$44,0)),""))</f>
        <v/>
      </c>
    </row>
    <row r="4971" spans="1:7" x14ac:dyDescent="0.3">
      <c r="A4971" s="17"/>
      <c r="B4971" s="18"/>
      <c r="C4971" s="18"/>
      <c r="D4971" s="18"/>
      <c r="E4971" s="10" t="str">
        <f>IF(B4971="","",IFERROR(INDEX(Harytlar!$C$5:$C$44,MATCH(B4971,Harytlar!$A$5:$A$44,0)),""))</f>
        <v/>
      </c>
      <c r="F4971" s="10" t="str">
        <f t="shared" si="77"/>
        <v/>
      </c>
      <c r="G4971" s="10" t="str">
        <f>IF(OR(C4971="",B4971=""),"",IFERROR(C4971*INDEX(Harytlar!$D$5:$D$44,MATCH(B4971,Harytlar!$A$5:$A$44,0)),""))</f>
        <v/>
      </c>
    </row>
    <row r="4972" spans="1:7" x14ac:dyDescent="0.3">
      <c r="A4972" s="17"/>
      <c r="B4972" s="18"/>
      <c r="C4972" s="18"/>
      <c r="D4972" s="18"/>
      <c r="E4972" s="10" t="str">
        <f>IF(B4972="","",IFERROR(INDEX(Harytlar!$C$5:$C$44,MATCH(B4972,Harytlar!$A$5:$A$44,0)),""))</f>
        <v/>
      </c>
      <c r="F4972" s="10" t="str">
        <f t="shared" si="77"/>
        <v/>
      </c>
      <c r="G4972" s="10" t="str">
        <f>IF(OR(C4972="",B4972=""),"",IFERROR(C4972*INDEX(Harytlar!$D$5:$D$44,MATCH(B4972,Harytlar!$A$5:$A$44,0)),""))</f>
        <v/>
      </c>
    </row>
    <row r="4973" spans="1:7" x14ac:dyDescent="0.3">
      <c r="A4973" s="17"/>
      <c r="B4973" s="18"/>
      <c r="C4973" s="18"/>
      <c r="D4973" s="18"/>
      <c r="E4973" s="10" t="str">
        <f>IF(B4973="","",IFERROR(INDEX(Harytlar!$C$5:$C$44,MATCH(B4973,Harytlar!$A$5:$A$44,0)),""))</f>
        <v/>
      </c>
      <c r="F4973" s="10" t="str">
        <f t="shared" si="77"/>
        <v/>
      </c>
      <c r="G4973" s="10" t="str">
        <f>IF(OR(C4973="",B4973=""),"",IFERROR(C4973*INDEX(Harytlar!$D$5:$D$44,MATCH(B4973,Harytlar!$A$5:$A$44,0)),""))</f>
        <v/>
      </c>
    </row>
    <row r="4974" spans="1:7" x14ac:dyDescent="0.3">
      <c r="A4974" s="17"/>
      <c r="B4974" s="18"/>
      <c r="C4974" s="18"/>
      <c r="D4974" s="18"/>
      <c r="E4974" s="10" t="str">
        <f>IF(B4974="","",IFERROR(INDEX(Harytlar!$C$5:$C$44,MATCH(B4974,Harytlar!$A$5:$A$44,0)),""))</f>
        <v/>
      </c>
      <c r="F4974" s="10" t="str">
        <f t="shared" si="77"/>
        <v/>
      </c>
      <c r="G4974" s="10" t="str">
        <f>IF(OR(C4974="",B4974=""),"",IFERROR(C4974*INDEX(Harytlar!$D$5:$D$44,MATCH(B4974,Harytlar!$A$5:$A$44,0)),""))</f>
        <v/>
      </c>
    </row>
    <row r="4975" spans="1:7" x14ac:dyDescent="0.3">
      <c r="A4975" s="17"/>
      <c r="B4975" s="18"/>
      <c r="C4975" s="18"/>
      <c r="D4975" s="18"/>
      <c r="E4975" s="10" t="str">
        <f>IF(B4975="","",IFERROR(INDEX(Harytlar!$C$5:$C$44,MATCH(B4975,Harytlar!$A$5:$A$44,0)),""))</f>
        <v/>
      </c>
      <c r="F4975" s="10" t="str">
        <f t="shared" si="77"/>
        <v/>
      </c>
      <c r="G4975" s="10" t="str">
        <f>IF(OR(C4975="",B4975=""),"",IFERROR(C4975*INDEX(Harytlar!$D$5:$D$44,MATCH(B4975,Harytlar!$A$5:$A$44,0)),""))</f>
        <v/>
      </c>
    </row>
    <row r="4976" spans="1:7" x14ac:dyDescent="0.3">
      <c r="A4976" s="17"/>
      <c r="B4976" s="18"/>
      <c r="C4976" s="18"/>
      <c r="D4976" s="18"/>
      <c r="E4976" s="10" t="str">
        <f>IF(B4976="","",IFERROR(INDEX(Harytlar!$C$5:$C$44,MATCH(B4976,Harytlar!$A$5:$A$44,0)),""))</f>
        <v/>
      </c>
      <c r="F4976" s="10" t="str">
        <f t="shared" si="77"/>
        <v/>
      </c>
      <c r="G4976" s="10" t="str">
        <f>IF(OR(C4976="",B4976=""),"",IFERROR(C4976*INDEX(Harytlar!$D$5:$D$44,MATCH(B4976,Harytlar!$A$5:$A$44,0)),""))</f>
        <v/>
      </c>
    </row>
    <row r="4977" spans="1:7" x14ac:dyDescent="0.3">
      <c r="A4977" s="17"/>
      <c r="B4977" s="18"/>
      <c r="C4977" s="18"/>
      <c r="D4977" s="18"/>
      <c r="E4977" s="10" t="str">
        <f>IF(B4977="","",IFERROR(INDEX(Harytlar!$C$5:$C$44,MATCH(B4977,Harytlar!$A$5:$A$44,0)),""))</f>
        <v/>
      </c>
      <c r="F4977" s="10" t="str">
        <f t="shared" si="77"/>
        <v/>
      </c>
      <c r="G4977" s="10" t="str">
        <f>IF(OR(C4977="",B4977=""),"",IFERROR(C4977*INDEX(Harytlar!$D$5:$D$44,MATCH(B4977,Harytlar!$A$5:$A$44,0)),""))</f>
        <v/>
      </c>
    </row>
    <row r="4978" spans="1:7" x14ac:dyDescent="0.3">
      <c r="A4978" s="17"/>
      <c r="B4978" s="18"/>
      <c r="C4978" s="18"/>
      <c r="D4978" s="18"/>
      <c r="E4978" s="10" t="str">
        <f>IF(B4978="","",IFERROR(INDEX(Harytlar!$C$5:$C$44,MATCH(B4978,Harytlar!$A$5:$A$44,0)),""))</f>
        <v/>
      </c>
      <c r="F4978" s="10" t="str">
        <f t="shared" si="77"/>
        <v/>
      </c>
      <c r="G4978" s="10" t="str">
        <f>IF(OR(C4978="",B4978=""),"",IFERROR(C4978*INDEX(Harytlar!$D$5:$D$44,MATCH(B4978,Harytlar!$A$5:$A$44,0)),""))</f>
        <v/>
      </c>
    </row>
    <row r="4979" spans="1:7" x14ac:dyDescent="0.3">
      <c r="A4979" s="17"/>
      <c r="B4979" s="18"/>
      <c r="C4979" s="18"/>
      <c r="D4979" s="18"/>
      <c r="E4979" s="10" t="str">
        <f>IF(B4979="","",IFERROR(INDEX(Harytlar!$C$5:$C$44,MATCH(B4979,Harytlar!$A$5:$A$44,0)),""))</f>
        <v/>
      </c>
      <c r="F4979" s="10" t="str">
        <f t="shared" si="77"/>
        <v/>
      </c>
      <c r="G4979" s="10" t="str">
        <f>IF(OR(C4979="",B4979=""),"",IFERROR(C4979*INDEX(Harytlar!$D$5:$D$44,MATCH(B4979,Harytlar!$A$5:$A$44,0)),""))</f>
        <v/>
      </c>
    </row>
    <row r="4980" spans="1:7" x14ac:dyDescent="0.3">
      <c r="A4980" s="17"/>
      <c r="B4980" s="18"/>
      <c r="C4980" s="18"/>
      <c r="D4980" s="18"/>
      <c r="E4980" s="10" t="str">
        <f>IF(B4980="","",IFERROR(INDEX(Harytlar!$C$5:$C$44,MATCH(B4980,Harytlar!$A$5:$A$44,0)),""))</f>
        <v/>
      </c>
      <c r="F4980" s="10" t="str">
        <f t="shared" si="77"/>
        <v/>
      </c>
      <c r="G4980" s="10" t="str">
        <f>IF(OR(C4980="",B4980=""),"",IFERROR(C4980*INDEX(Harytlar!$D$5:$D$44,MATCH(B4980,Harytlar!$A$5:$A$44,0)),""))</f>
        <v/>
      </c>
    </row>
    <row r="4981" spans="1:7" x14ac:dyDescent="0.3">
      <c r="A4981" s="17"/>
      <c r="B4981" s="18"/>
      <c r="C4981" s="18"/>
      <c r="D4981" s="18"/>
      <c r="E4981" s="10" t="str">
        <f>IF(B4981="","",IFERROR(INDEX(Harytlar!$C$5:$C$44,MATCH(B4981,Harytlar!$A$5:$A$44,0)),""))</f>
        <v/>
      </c>
      <c r="F4981" s="10" t="str">
        <f t="shared" si="77"/>
        <v/>
      </c>
      <c r="G4981" s="10" t="str">
        <f>IF(OR(C4981="",B4981=""),"",IFERROR(C4981*INDEX(Harytlar!$D$5:$D$44,MATCH(B4981,Harytlar!$A$5:$A$44,0)),""))</f>
        <v/>
      </c>
    </row>
    <row r="4982" spans="1:7" x14ac:dyDescent="0.3">
      <c r="A4982" s="17"/>
      <c r="B4982" s="18"/>
      <c r="C4982" s="18"/>
      <c r="D4982" s="18"/>
      <c r="E4982" s="10" t="str">
        <f>IF(B4982="","",IFERROR(INDEX(Harytlar!$C$5:$C$44,MATCH(B4982,Harytlar!$A$5:$A$44,0)),""))</f>
        <v/>
      </c>
      <c r="F4982" s="10" t="str">
        <f t="shared" si="77"/>
        <v/>
      </c>
      <c r="G4982" s="10" t="str">
        <f>IF(OR(C4982="",B4982=""),"",IFERROR(C4982*INDEX(Harytlar!$D$5:$D$44,MATCH(B4982,Harytlar!$A$5:$A$44,0)),""))</f>
        <v/>
      </c>
    </row>
    <row r="4983" spans="1:7" x14ac:dyDescent="0.3">
      <c r="A4983" s="17"/>
      <c r="B4983" s="18"/>
      <c r="C4983" s="18"/>
      <c r="D4983" s="18"/>
      <c r="E4983" s="10" t="str">
        <f>IF(B4983="","",IFERROR(INDEX(Harytlar!$C$5:$C$44,MATCH(B4983,Harytlar!$A$5:$A$44,0)),""))</f>
        <v/>
      </c>
      <c r="F4983" s="10" t="str">
        <f t="shared" si="77"/>
        <v/>
      </c>
      <c r="G4983" s="10" t="str">
        <f>IF(OR(C4983="",B4983=""),"",IFERROR(C4983*INDEX(Harytlar!$D$5:$D$44,MATCH(B4983,Harytlar!$A$5:$A$44,0)),""))</f>
        <v/>
      </c>
    </row>
    <row r="4984" spans="1:7" x14ac:dyDescent="0.3">
      <c r="A4984" s="17"/>
      <c r="B4984" s="18"/>
      <c r="C4984" s="18"/>
      <c r="D4984" s="18"/>
      <c r="E4984" s="10" t="str">
        <f>IF(B4984="","",IFERROR(INDEX(Harytlar!$C$5:$C$44,MATCH(B4984,Harytlar!$A$5:$A$44,0)),""))</f>
        <v/>
      </c>
      <c r="F4984" s="10" t="str">
        <f t="shared" si="77"/>
        <v/>
      </c>
      <c r="G4984" s="10" t="str">
        <f>IF(OR(C4984="",B4984=""),"",IFERROR(C4984*INDEX(Harytlar!$D$5:$D$44,MATCH(B4984,Harytlar!$A$5:$A$44,0)),""))</f>
        <v/>
      </c>
    </row>
    <row r="4985" spans="1:7" x14ac:dyDescent="0.3">
      <c r="A4985" s="17"/>
      <c r="B4985" s="18"/>
      <c r="C4985" s="18"/>
      <c r="D4985" s="18"/>
      <c r="E4985" s="10" t="str">
        <f>IF(B4985="","",IFERROR(INDEX(Harytlar!$C$5:$C$44,MATCH(B4985,Harytlar!$A$5:$A$44,0)),""))</f>
        <v/>
      </c>
      <c r="F4985" s="10" t="str">
        <f t="shared" si="77"/>
        <v/>
      </c>
      <c r="G4985" s="10" t="str">
        <f>IF(OR(C4985="",B4985=""),"",IFERROR(C4985*INDEX(Harytlar!$D$5:$D$44,MATCH(B4985,Harytlar!$A$5:$A$44,0)),""))</f>
        <v/>
      </c>
    </row>
    <row r="4986" spans="1:7" x14ac:dyDescent="0.3">
      <c r="A4986" s="17"/>
      <c r="B4986" s="18"/>
      <c r="C4986" s="18"/>
      <c r="D4986" s="18"/>
      <c r="E4986" s="10" t="str">
        <f>IF(B4986="","",IFERROR(INDEX(Harytlar!$C$5:$C$44,MATCH(B4986,Harytlar!$A$5:$A$44,0)),""))</f>
        <v/>
      </c>
      <c r="F4986" s="10" t="str">
        <f t="shared" si="77"/>
        <v/>
      </c>
      <c r="G4986" s="10" t="str">
        <f>IF(OR(C4986="",B4986=""),"",IFERROR(C4986*INDEX(Harytlar!$D$5:$D$44,MATCH(B4986,Harytlar!$A$5:$A$44,0)),""))</f>
        <v/>
      </c>
    </row>
    <row r="4987" spans="1:7" x14ac:dyDescent="0.3">
      <c r="A4987" s="17"/>
      <c r="B4987" s="18"/>
      <c r="C4987" s="18"/>
      <c r="D4987" s="18"/>
      <c r="E4987" s="10" t="str">
        <f>IF(B4987="","",IFERROR(INDEX(Harytlar!$C$5:$C$44,MATCH(B4987,Harytlar!$A$5:$A$44,0)),""))</f>
        <v/>
      </c>
      <c r="F4987" s="10" t="str">
        <f t="shared" si="77"/>
        <v/>
      </c>
      <c r="G4987" s="10" t="str">
        <f>IF(OR(C4987="",B4987=""),"",IFERROR(C4987*INDEX(Harytlar!$D$5:$D$44,MATCH(B4987,Harytlar!$A$5:$A$44,0)),""))</f>
        <v/>
      </c>
    </row>
    <row r="4988" spans="1:7" x14ac:dyDescent="0.3">
      <c r="A4988" s="17"/>
      <c r="B4988" s="18"/>
      <c r="C4988" s="18"/>
      <c r="D4988" s="18"/>
      <c r="E4988" s="10" t="str">
        <f>IF(B4988="","",IFERROR(INDEX(Harytlar!$C$5:$C$44,MATCH(B4988,Harytlar!$A$5:$A$44,0)),""))</f>
        <v/>
      </c>
      <c r="F4988" s="10" t="str">
        <f t="shared" si="77"/>
        <v/>
      </c>
      <c r="G4988" s="10" t="str">
        <f>IF(OR(C4988="",B4988=""),"",IFERROR(C4988*INDEX(Harytlar!$D$5:$D$44,MATCH(B4988,Harytlar!$A$5:$A$44,0)),""))</f>
        <v/>
      </c>
    </row>
    <row r="4989" spans="1:7" x14ac:dyDescent="0.3">
      <c r="A4989" s="17"/>
      <c r="B4989" s="18"/>
      <c r="C4989" s="18"/>
      <c r="D4989" s="18"/>
      <c r="E4989" s="10" t="str">
        <f>IF(B4989="","",IFERROR(INDEX(Harytlar!$C$5:$C$44,MATCH(B4989,Harytlar!$A$5:$A$44,0)),""))</f>
        <v/>
      </c>
      <c r="F4989" s="10" t="str">
        <f t="shared" si="77"/>
        <v/>
      </c>
      <c r="G4989" s="10" t="str">
        <f>IF(OR(C4989="",B4989=""),"",IFERROR(C4989*INDEX(Harytlar!$D$5:$D$44,MATCH(B4989,Harytlar!$A$5:$A$44,0)),""))</f>
        <v/>
      </c>
    </row>
    <row r="4990" spans="1:7" x14ac:dyDescent="0.3">
      <c r="A4990" s="17"/>
      <c r="B4990" s="18"/>
      <c r="C4990" s="18"/>
      <c r="D4990" s="18"/>
      <c r="E4990" s="10" t="str">
        <f>IF(B4990="","",IFERROR(INDEX(Harytlar!$C$5:$C$44,MATCH(B4990,Harytlar!$A$5:$A$44,0)),""))</f>
        <v/>
      </c>
      <c r="F4990" s="10" t="str">
        <f t="shared" si="77"/>
        <v/>
      </c>
      <c r="G4990" s="10" t="str">
        <f>IF(OR(C4990="",B4990=""),"",IFERROR(C4990*INDEX(Harytlar!$D$5:$D$44,MATCH(B4990,Harytlar!$A$5:$A$44,0)),""))</f>
        <v/>
      </c>
    </row>
    <row r="4991" spans="1:7" x14ac:dyDescent="0.3">
      <c r="A4991" s="17"/>
      <c r="B4991" s="18"/>
      <c r="C4991" s="18"/>
      <c r="D4991" s="18"/>
      <c r="E4991" s="10" t="str">
        <f>IF(B4991="","",IFERROR(INDEX(Harytlar!$C$5:$C$44,MATCH(B4991,Harytlar!$A$5:$A$44,0)),""))</f>
        <v/>
      </c>
      <c r="F4991" s="10" t="str">
        <f t="shared" si="77"/>
        <v/>
      </c>
      <c r="G4991" s="10" t="str">
        <f>IF(OR(C4991="",B4991=""),"",IFERROR(C4991*INDEX(Harytlar!$D$5:$D$44,MATCH(B4991,Harytlar!$A$5:$A$44,0)),""))</f>
        <v/>
      </c>
    </row>
    <row r="4992" spans="1:7" x14ac:dyDescent="0.3">
      <c r="A4992" s="17"/>
      <c r="B4992" s="18"/>
      <c r="C4992" s="18"/>
      <c r="D4992" s="18"/>
      <c r="E4992" s="10" t="str">
        <f>IF(B4992="","",IFERROR(INDEX(Harytlar!$C$5:$C$44,MATCH(B4992,Harytlar!$A$5:$A$44,0)),""))</f>
        <v/>
      </c>
      <c r="F4992" s="10" t="str">
        <f t="shared" si="77"/>
        <v/>
      </c>
      <c r="G4992" s="10" t="str">
        <f>IF(OR(C4992="",B4992=""),"",IFERROR(C4992*INDEX(Harytlar!$D$5:$D$44,MATCH(B4992,Harytlar!$A$5:$A$44,0)),""))</f>
        <v/>
      </c>
    </row>
    <row r="4993" spans="1:7" x14ac:dyDescent="0.3">
      <c r="A4993" s="17"/>
      <c r="B4993" s="18"/>
      <c r="C4993" s="18"/>
      <c r="D4993" s="18"/>
      <c r="E4993" s="10" t="str">
        <f>IF(B4993="","",IFERROR(INDEX(Harytlar!$C$5:$C$44,MATCH(B4993,Harytlar!$A$5:$A$44,0)),""))</f>
        <v/>
      </c>
      <c r="F4993" s="10" t="str">
        <f t="shared" si="77"/>
        <v/>
      </c>
      <c r="G4993" s="10" t="str">
        <f>IF(OR(C4993="",B4993=""),"",IFERROR(C4993*INDEX(Harytlar!$D$5:$D$44,MATCH(B4993,Harytlar!$A$5:$A$44,0)),""))</f>
        <v/>
      </c>
    </row>
    <row r="4994" spans="1:7" x14ac:dyDescent="0.3">
      <c r="A4994" s="17"/>
      <c r="B4994" s="18"/>
      <c r="C4994" s="18"/>
      <c r="D4994" s="18"/>
      <c r="E4994" s="10" t="str">
        <f>IF(B4994="","",IFERROR(INDEX(Harytlar!$C$5:$C$44,MATCH(B4994,Harytlar!$A$5:$A$44,0)),""))</f>
        <v/>
      </c>
      <c r="F4994" s="10" t="str">
        <f t="shared" si="77"/>
        <v/>
      </c>
      <c r="G4994" s="10" t="str">
        <f>IF(OR(C4994="",B4994=""),"",IFERROR(C4994*INDEX(Harytlar!$D$5:$D$44,MATCH(B4994,Harytlar!$A$5:$A$44,0)),""))</f>
        <v/>
      </c>
    </row>
    <row r="4995" spans="1:7" x14ac:dyDescent="0.3">
      <c r="A4995" s="17"/>
      <c r="B4995" s="18"/>
      <c r="C4995" s="18"/>
      <c r="D4995" s="18"/>
      <c r="E4995" s="10" t="str">
        <f>IF(B4995="","",IFERROR(INDEX(Harytlar!$C$5:$C$44,MATCH(B4995,Harytlar!$A$5:$A$44,0)),""))</f>
        <v/>
      </c>
      <c r="F4995" s="10" t="str">
        <f t="shared" si="77"/>
        <v/>
      </c>
      <c r="G4995" s="10" t="str">
        <f>IF(OR(C4995="",B4995=""),"",IFERROR(C4995*INDEX(Harytlar!$D$5:$D$44,MATCH(B4995,Harytlar!$A$5:$A$44,0)),""))</f>
        <v/>
      </c>
    </row>
    <row r="4996" spans="1:7" x14ac:dyDescent="0.3">
      <c r="A4996" s="17"/>
      <c r="B4996" s="18"/>
      <c r="C4996" s="18"/>
      <c r="D4996" s="18"/>
      <c r="E4996" s="10" t="str">
        <f>IF(B4996="","",IFERROR(INDEX(Harytlar!$C$5:$C$44,MATCH(B4996,Harytlar!$A$5:$A$44,0)),""))</f>
        <v/>
      </c>
      <c r="F4996" s="10" t="str">
        <f t="shared" si="77"/>
        <v/>
      </c>
      <c r="G4996" s="10" t="str">
        <f>IF(OR(C4996="",B4996=""),"",IFERROR(C4996*INDEX(Harytlar!$D$5:$D$44,MATCH(B4996,Harytlar!$A$5:$A$44,0)),""))</f>
        <v/>
      </c>
    </row>
    <row r="4997" spans="1:7" x14ac:dyDescent="0.3">
      <c r="A4997" s="17"/>
      <c r="B4997" s="18"/>
      <c r="C4997" s="18"/>
      <c r="D4997" s="18"/>
      <c r="E4997" s="10" t="str">
        <f>IF(B4997="","",IFERROR(INDEX(Harytlar!$C$5:$C$44,MATCH(B4997,Harytlar!$A$5:$A$44,0)),""))</f>
        <v/>
      </c>
      <c r="F4997" s="10" t="str">
        <f t="shared" si="77"/>
        <v/>
      </c>
      <c r="G4997" s="10" t="str">
        <f>IF(OR(C4997="",B4997=""),"",IFERROR(C4997*INDEX(Harytlar!$D$5:$D$44,MATCH(B4997,Harytlar!$A$5:$A$44,0)),""))</f>
        <v/>
      </c>
    </row>
    <row r="4998" spans="1:7" x14ac:dyDescent="0.3">
      <c r="A4998" s="17"/>
      <c r="B4998" s="18"/>
      <c r="C4998" s="18"/>
      <c r="D4998" s="18"/>
      <c r="E4998" s="10" t="str">
        <f>IF(B4998="","",IFERROR(INDEX(Harytlar!$C$5:$C$44,MATCH(B4998,Harytlar!$A$5:$A$44,0)),""))</f>
        <v/>
      </c>
      <c r="F4998" s="10" t="str">
        <f t="shared" ref="F4998:F5061" si="78">IF(OR(C4998="",E4998=""),"",C4998*E4998)</f>
        <v/>
      </c>
      <c r="G4998" s="10" t="str">
        <f>IF(OR(C4998="",B4998=""),"",IFERROR(C4998*INDEX(Harytlar!$D$5:$D$44,MATCH(B4998,Harytlar!$A$5:$A$44,0)),""))</f>
        <v/>
      </c>
    </row>
    <row r="4999" spans="1:7" x14ac:dyDescent="0.3">
      <c r="A4999" s="17"/>
      <c r="B4999" s="18"/>
      <c r="C4999" s="18"/>
      <c r="D4999" s="18"/>
      <c r="E4999" s="10" t="str">
        <f>IF(B4999="","",IFERROR(INDEX(Harytlar!$C$5:$C$44,MATCH(B4999,Harytlar!$A$5:$A$44,0)),""))</f>
        <v/>
      </c>
      <c r="F4999" s="10" t="str">
        <f t="shared" si="78"/>
        <v/>
      </c>
      <c r="G4999" s="10" t="str">
        <f>IF(OR(C4999="",B4999=""),"",IFERROR(C4999*INDEX(Harytlar!$D$5:$D$44,MATCH(B4999,Harytlar!$A$5:$A$44,0)),""))</f>
        <v/>
      </c>
    </row>
    <row r="5000" spans="1:7" x14ac:dyDescent="0.3">
      <c r="A5000" s="17"/>
      <c r="B5000" s="18"/>
      <c r="C5000" s="18"/>
      <c r="D5000" s="18"/>
      <c r="E5000" s="10" t="str">
        <f>IF(B5000="","",IFERROR(INDEX(Harytlar!$C$5:$C$44,MATCH(B5000,Harytlar!$A$5:$A$44,0)),""))</f>
        <v/>
      </c>
      <c r="F5000" s="10" t="str">
        <f t="shared" si="78"/>
        <v/>
      </c>
      <c r="G5000" s="10" t="str">
        <f>IF(OR(C5000="",B5000=""),"",IFERROR(C5000*INDEX(Harytlar!$D$5:$D$44,MATCH(B5000,Harytlar!$A$5:$A$44,0)),""))</f>
        <v/>
      </c>
    </row>
    <row r="5001" spans="1:7" x14ac:dyDescent="0.3">
      <c r="A5001" s="17"/>
      <c r="B5001" s="18"/>
      <c r="C5001" s="18"/>
      <c r="D5001" s="18"/>
      <c r="E5001" s="10" t="str">
        <f>IF(B5001="","",IFERROR(INDEX(Harytlar!$C$5:$C$44,MATCH(B5001,Harytlar!$A$5:$A$44,0)),""))</f>
        <v/>
      </c>
      <c r="F5001" s="10" t="str">
        <f t="shared" si="78"/>
        <v/>
      </c>
      <c r="G5001" s="10" t="str">
        <f>IF(OR(C5001="",B5001=""),"",IFERROR(C5001*INDEX(Harytlar!$D$5:$D$44,MATCH(B5001,Harytlar!$A$5:$A$44,0)),""))</f>
        <v/>
      </c>
    </row>
    <row r="5002" spans="1:7" x14ac:dyDescent="0.3">
      <c r="A5002" s="17"/>
      <c r="B5002" s="18"/>
      <c r="C5002" s="18"/>
      <c r="D5002" s="18"/>
      <c r="E5002" s="10" t="str">
        <f>IF(B5002="","",IFERROR(INDEX(Harytlar!$C$5:$C$44,MATCH(B5002,Harytlar!$A$5:$A$44,0)),""))</f>
        <v/>
      </c>
      <c r="F5002" s="10" t="str">
        <f t="shared" si="78"/>
        <v/>
      </c>
      <c r="G5002" s="10" t="str">
        <f>IF(OR(C5002="",B5002=""),"",IFERROR(C5002*INDEX(Harytlar!$D$5:$D$44,MATCH(B5002,Harytlar!$A$5:$A$44,0)),""))</f>
        <v/>
      </c>
    </row>
    <row r="5003" spans="1:7" x14ac:dyDescent="0.3">
      <c r="A5003" s="17"/>
      <c r="B5003" s="18"/>
      <c r="C5003" s="18"/>
      <c r="D5003" s="18"/>
      <c r="E5003" s="10" t="str">
        <f>IF(B5003="","",IFERROR(INDEX(Harytlar!$C$5:$C$44,MATCH(B5003,Harytlar!$A$5:$A$44,0)),""))</f>
        <v/>
      </c>
      <c r="F5003" s="10" t="str">
        <f t="shared" si="78"/>
        <v/>
      </c>
      <c r="G5003" s="10" t="str">
        <f>IF(OR(C5003="",B5003=""),"",IFERROR(C5003*INDEX(Harytlar!$D$5:$D$44,MATCH(B5003,Harytlar!$A$5:$A$44,0)),""))</f>
        <v/>
      </c>
    </row>
    <row r="5004" spans="1:7" x14ac:dyDescent="0.3">
      <c r="A5004" s="17"/>
      <c r="B5004" s="18"/>
      <c r="C5004" s="18"/>
      <c r="D5004" s="18"/>
      <c r="E5004" s="10" t="str">
        <f>IF(B5004="","",IFERROR(INDEX(Harytlar!$C$5:$C$44,MATCH(B5004,Harytlar!$A$5:$A$44,0)),""))</f>
        <v/>
      </c>
      <c r="F5004" s="10" t="str">
        <f t="shared" si="78"/>
        <v/>
      </c>
      <c r="G5004" s="10" t="str">
        <f>IF(OR(C5004="",B5004=""),"",IFERROR(C5004*INDEX(Harytlar!$D$5:$D$44,MATCH(B5004,Harytlar!$A$5:$A$44,0)),""))</f>
        <v/>
      </c>
    </row>
    <row r="5005" spans="1:7" x14ac:dyDescent="0.3">
      <c r="A5005" s="17"/>
      <c r="B5005" s="18"/>
      <c r="C5005" s="18"/>
      <c r="D5005" s="18"/>
      <c r="E5005" s="10" t="str">
        <f>IF(B5005="","",IFERROR(INDEX(Harytlar!$C$5:$C$44,MATCH(B5005,Harytlar!$A$5:$A$44,0)),""))</f>
        <v/>
      </c>
      <c r="F5005" s="10" t="str">
        <f t="shared" si="78"/>
        <v/>
      </c>
      <c r="G5005" s="10" t="str">
        <f>IF(OR(C5005="",B5005=""),"",IFERROR(C5005*INDEX(Harytlar!$D$5:$D$44,MATCH(B5005,Harytlar!$A$5:$A$44,0)),""))</f>
        <v/>
      </c>
    </row>
  </sheetData>
  <autoFilter ref="A5:G5005" xr:uid="{00000000-0009-0000-0000-000003000000}"/>
  <dataValidations count="3">
    <dataValidation type="list" allowBlank="1" sqref="D6:D5005" xr:uid="{00000000-0002-0000-0300-000001000000}">
      <formula1>"Nagt,Kart"</formula1>
      <formula2>0</formula2>
    </dataValidation>
    <dataValidation type="date" operator="greaterThan" allowBlank="1" error="Dogry sene giriziň (gg.aa.ýyl)." sqref="A6:A5005" xr:uid="{00000000-0002-0000-0300-000002000000}">
      <formula1>36526</formula1>
      <formula2>0</formula2>
    </dataValidation>
    <dataValidation type="decimal" operator="greaterThan" allowBlank="1" error="Sany 0-dan uly bolmaly." sqref="C6:C5005" xr:uid="{00000000-0002-0000-03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Sanawdan haryt saýlaň (täze harytlary ilki 'Harytlar' sahypasyna goşuň)." xr:uid="{00000000-0002-0000-0300-000000000000}">
          <x14:formula1>
            <xm:f>Harytlar!$A$5:$A$44</xm:f>
          </x14:formula1>
          <x14:formula2>
            <xm:f>0</xm:f>
          </x14:formula2>
          <xm:sqref>B6:B5005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5"/>
  <sheetViews>
    <sheetView showGridLines="0" zoomScaleNormal="100" workbookViewId="0">
      <pane ySplit="5" topLeftCell="A6" activePane="bottomLeft" state="frozen"/>
      <selection pane="bottomLeft" activeCell="B6" sqref="B6"/>
    </sheetView>
  </sheetViews>
  <sheetFormatPr defaultColWidth="8.6640625" defaultRowHeight="14.4" x14ac:dyDescent="0.3"/>
  <cols>
    <col min="1" max="1" width="14" customWidth="1"/>
    <col min="2" max="2" width="24" customWidth="1"/>
    <col min="3" max="3" width="42" customWidth="1"/>
    <col min="4" max="4" width="18" customWidth="1"/>
    <col min="5" max="5" width="3" customWidth="1"/>
    <col min="6" max="6" width="40" customWidth="1"/>
  </cols>
  <sheetData>
    <row r="1" spans="1:6" ht="17.399999999999999" x14ac:dyDescent="0.3">
      <c r="A1" s="1" t="s">
        <v>65</v>
      </c>
    </row>
    <row r="2" spans="1:6" x14ac:dyDescent="0.3">
      <c r="A2" s="2" t="s">
        <v>66</v>
      </c>
    </row>
    <row r="5" spans="1:6" x14ac:dyDescent="0.3">
      <c r="A5" s="14" t="s">
        <v>57</v>
      </c>
      <c r="B5" s="14" t="s">
        <v>67</v>
      </c>
      <c r="C5" s="14" t="s">
        <v>68</v>
      </c>
      <c r="D5" s="14" t="s">
        <v>29</v>
      </c>
      <c r="F5" s="16" t="s">
        <v>69</v>
      </c>
    </row>
    <row r="6" spans="1:6" x14ac:dyDescent="0.3">
      <c r="A6" s="17">
        <v>46296</v>
      </c>
      <c r="B6" s="18" t="s">
        <v>70</v>
      </c>
      <c r="C6" s="18" t="s">
        <v>71</v>
      </c>
      <c r="D6" s="19">
        <v>350</v>
      </c>
    </row>
    <row r="7" spans="1:6" x14ac:dyDescent="0.3">
      <c r="A7" s="17"/>
      <c r="B7" s="18"/>
      <c r="C7" s="18"/>
      <c r="D7" s="19"/>
    </row>
    <row r="8" spans="1:6" x14ac:dyDescent="0.3">
      <c r="A8" s="17"/>
      <c r="B8" s="18"/>
      <c r="C8" s="18"/>
      <c r="D8" s="19"/>
    </row>
    <row r="9" spans="1:6" x14ac:dyDescent="0.3">
      <c r="A9" s="17"/>
      <c r="B9" s="18"/>
      <c r="C9" s="18"/>
      <c r="D9" s="19"/>
    </row>
    <row r="10" spans="1:6" x14ac:dyDescent="0.3">
      <c r="A10" s="17"/>
      <c r="B10" s="18"/>
      <c r="C10" s="18"/>
      <c r="D10" s="19"/>
    </row>
    <row r="11" spans="1:6" x14ac:dyDescent="0.3">
      <c r="A11" s="17"/>
      <c r="B11" s="18"/>
      <c r="C11" s="18"/>
      <c r="D11" s="19"/>
    </row>
    <row r="12" spans="1:6" x14ac:dyDescent="0.3">
      <c r="A12" s="17"/>
      <c r="B12" s="18"/>
      <c r="C12" s="18"/>
      <c r="D12" s="19"/>
    </row>
    <row r="13" spans="1:6" x14ac:dyDescent="0.3">
      <c r="A13" s="17"/>
      <c r="B13" s="18"/>
      <c r="C13" s="18"/>
      <c r="D13" s="19"/>
    </row>
    <row r="14" spans="1:6" x14ac:dyDescent="0.3">
      <c r="A14" s="17"/>
      <c r="B14" s="18"/>
      <c r="C14" s="18"/>
      <c r="D14" s="19"/>
    </row>
    <row r="15" spans="1:6" x14ac:dyDescent="0.3">
      <c r="A15" s="17"/>
      <c r="B15" s="18"/>
      <c r="C15" s="18"/>
      <c r="D15" s="19"/>
    </row>
    <row r="16" spans="1:6" x14ac:dyDescent="0.3">
      <c r="A16" s="17"/>
      <c r="B16" s="18"/>
      <c r="C16" s="18"/>
      <c r="D16" s="19"/>
    </row>
    <row r="17" spans="1:4" x14ac:dyDescent="0.3">
      <c r="A17" s="17"/>
      <c r="B17" s="18"/>
      <c r="C17" s="18"/>
      <c r="D17" s="19"/>
    </row>
    <row r="18" spans="1:4" x14ac:dyDescent="0.3">
      <c r="A18" s="17"/>
      <c r="B18" s="18"/>
      <c r="C18" s="18"/>
      <c r="D18" s="19"/>
    </row>
    <row r="19" spans="1:4" x14ac:dyDescent="0.3">
      <c r="A19" s="17"/>
      <c r="B19" s="18"/>
      <c r="C19" s="18"/>
      <c r="D19" s="19"/>
    </row>
    <row r="20" spans="1:4" x14ac:dyDescent="0.3">
      <c r="A20" s="17"/>
      <c r="B20" s="18"/>
      <c r="C20" s="18"/>
      <c r="D20" s="19"/>
    </row>
    <row r="21" spans="1:4" x14ac:dyDescent="0.3">
      <c r="A21" s="17"/>
      <c r="B21" s="18"/>
      <c r="C21" s="18"/>
      <c r="D21" s="19"/>
    </row>
    <row r="22" spans="1:4" x14ac:dyDescent="0.3">
      <c r="A22" s="17"/>
      <c r="B22" s="18"/>
      <c r="C22" s="18"/>
      <c r="D22" s="19"/>
    </row>
    <row r="23" spans="1:4" x14ac:dyDescent="0.3">
      <c r="A23" s="17"/>
      <c r="B23" s="18"/>
      <c r="C23" s="18"/>
      <c r="D23" s="19"/>
    </row>
    <row r="24" spans="1:4" x14ac:dyDescent="0.3">
      <c r="A24" s="17"/>
      <c r="B24" s="18"/>
      <c r="C24" s="18"/>
      <c r="D24" s="19"/>
    </row>
    <row r="25" spans="1:4" x14ac:dyDescent="0.3">
      <c r="A25" s="17"/>
      <c r="B25" s="18"/>
      <c r="C25" s="18"/>
      <c r="D25" s="19"/>
    </row>
    <row r="26" spans="1:4" x14ac:dyDescent="0.3">
      <c r="A26" s="17"/>
      <c r="B26" s="18"/>
      <c r="C26" s="18"/>
      <c r="D26" s="19"/>
    </row>
    <row r="27" spans="1:4" x14ac:dyDescent="0.3">
      <c r="A27" s="17"/>
      <c r="B27" s="18"/>
      <c r="C27" s="18"/>
      <c r="D27" s="19"/>
    </row>
    <row r="28" spans="1:4" x14ac:dyDescent="0.3">
      <c r="A28" s="17"/>
      <c r="B28" s="18"/>
      <c r="C28" s="18"/>
      <c r="D28" s="19"/>
    </row>
    <row r="29" spans="1:4" x14ac:dyDescent="0.3">
      <c r="A29" s="17"/>
      <c r="B29" s="18"/>
      <c r="C29" s="18"/>
      <c r="D29" s="19"/>
    </row>
    <row r="30" spans="1:4" x14ac:dyDescent="0.3">
      <c r="A30" s="17"/>
      <c r="B30" s="18"/>
      <c r="C30" s="18"/>
      <c r="D30" s="19"/>
    </row>
    <row r="31" spans="1:4" x14ac:dyDescent="0.3">
      <c r="A31" s="17"/>
      <c r="B31" s="18"/>
      <c r="C31" s="18"/>
      <c r="D31" s="19"/>
    </row>
    <row r="32" spans="1:4" x14ac:dyDescent="0.3">
      <c r="A32" s="17"/>
      <c r="B32" s="18"/>
      <c r="C32" s="18"/>
      <c r="D32" s="19"/>
    </row>
    <row r="33" spans="1:4" x14ac:dyDescent="0.3">
      <c r="A33" s="17"/>
      <c r="B33" s="18"/>
      <c r="C33" s="18"/>
      <c r="D33" s="19"/>
    </row>
    <row r="34" spans="1:4" x14ac:dyDescent="0.3">
      <c r="A34" s="17"/>
      <c r="B34" s="18"/>
      <c r="C34" s="18"/>
      <c r="D34" s="19"/>
    </row>
    <row r="35" spans="1:4" x14ac:dyDescent="0.3">
      <c r="A35" s="17"/>
      <c r="B35" s="18"/>
      <c r="C35" s="18"/>
      <c r="D35" s="19"/>
    </row>
    <row r="36" spans="1:4" x14ac:dyDescent="0.3">
      <c r="A36" s="17"/>
      <c r="B36" s="18"/>
      <c r="C36" s="18"/>
      <c r="D36" s="19"/>
    </row>
    <row r="37" spans="1:4" x14ac:dyDescent="0.3">
      <c r="A37" s="17"/>
      <c r="B37" s="18"/>
      <c r="C37" s="18"/>
      <c r="D37" s="19"/>
    </row>
    <row r="38" spans="1:4" x14ac:dyDescent="0.3">
      <c r="A38" s="17"/>
      <c r="B38" s="18"/>
      <c r="C38" s="18"/>
      <c r="D38" s="19"/>
    </row>
    <row r="39" spans="1:4" x14ac:dyDescent="0.3">
      <c r="A39" s="17"/>
      <c r="B39" s="18"/>
      <c r="C39" s="18"/>
      <c r="D39" s="19"/>
    </row>
    <row r="40" spans="1:4" x14ac:dyDescent="0.3">
      <c r="A40" s="17"/>
      <c r="B40" s="18"/>
      <c r="C40" s="18"/>
      <c r="D40" s="19"/>
    </row>
    <row r="41" spans="1:4" x14ac:dyDescent="0.3">
      <c r="A41" s="17"/>
      <c r="B41" s="18"/>
      <c r="C41" s="18"/>
      <c r="D41" s="19"/>
    </row>
    <row r="42" spans="1:4" x14ac:dyDescent="0.3">
      <c r="A42" s="17"/>
      <c r="B42" s="18"/>
      <c r="C42" s="18"/>
      <c r="D42" s="19"/>
    </row>
    <row r="43" spans="1:4" x14ac:dyDescent="0.3">
      <c r="A43" s="17"/>
      <c r="B43" s="18"/>
      <c r="C43" s="18"/>
      <c r="D43" s="19"/>
    </row>
    <row r="44" spans="1:4" x14ac:dyDescent="0.3">
      <c r="A44" s="17"/>
      <c r="B44" s="18"/>
      <c r="C44" s="18"/>
      <c r="D44" s="19"/>
    </row>
    <row r="45" spans="1:4" x14ac:dyDescent="0.3">
      <c r="A45" s="17"/>
      <c r="B45" s="18"/>
      <c r="C45" s="18"/>
      <c r="D45" s="19"/>
    </row>
    <row r="46" spans="1:4" x14ac:dyDescent="0.3">
      <c r="A46" s="17"/>
      <c r="B46" s="18"/>
      <c r="C46" s="18"/>
      <c r="D46" s="19"/>
    </row>
    <row r="47" spans="1:4" x14ac:dyDescent="0.3">
      <c r="A47" s="17"/>
      <c r="B47" s="18"/>
      <c r="C47" s="18"/>
      <c r="D47" s="19"/>
    </row>
    <row r="48" spans="1:4" x14ac:dyDescent="0.3">
      <c r="A48" s="17"/>
      <c r="B48" s="18"/>
      <c r="C48" s="18"/>
      <c r="D48" s="19"/>
    </row>
    <row r="49" spans="1:4" x14ac:dyDescent="0.3">
      <c r="A49" s="17"/>
      <c r="B49" s="18"/>
      <c r="C49" s="18"/>
      <c r="D49" s="19"/>
    </row>
    <row r="50" spans="1:4" x14ac:dyDescent="0.3">
      <c r="A50" s="17"/>
      <c r="B50" s="18"/>
      <c r="C50" s="18"/>
      <c r="D50" s="19"/>
    </row>
    <row r="51" spans="1:4" x14ac:dyDescent="0.3">
      <c r="A51" s="17"/>
      <c r="B51" s="18"/>
      <c r="C51" s="18"/>
      <c r="D51" s="19"/>
    </row>
    <row r="52" spans="1:4" x14ac:dyDescent="0.3">
      <c r="A52" s="17"/>
      <c r="B52" s="18"/>
      <c r="C52" s="18"/>
      <c r="D52" s="19"/>
    </row>
    <row r="53" spans="1:4" x14ac:dyDescent="0.3">
      <c r="A53" s="17"/>
      <c r="B53" s="18"/>
      <c r="C53" s="18"/>
      <c r="D53" s="19"/>
    </row>
    <row r="54" spans="1:4" x14ac:dyDescent="0.3">
      <c r="A54" s="17"/>
      <c r="B54" s="18"/>
      <c r="C54" s="18"/>
      <c r="D54" s="19"/>
    </row>
    <row r="55" spans="1:4" x14ac:dyDescent="0.3">
      <c r="A55" s="17"/>
      <c r="B55" s="18"/>
      <c r="C55" s="18"/>
      <c r="D55" s="19"/>
    </row>
    <row r="56" spans="1:4" x14ac:dyDescent="0.3">
      <c r="A56" s="17"/>
      <c r="B56" s="18"/>
      <c r="C56" s="18"/>
      <c r="D56" s="19"/>
    </row>
    <row r="57" spans="1:4" x14ac:dyDescent="0.3">
      <c r="A57" s="17"/>
      <c r="B57" s="18"/>
      <c r="C57" s="18"/>
      <c r="D57" s="19"/>
    </row>
    <row r="58" spans="1:4" x14ac:dyDescent="0.3">
      <c r="A58" s="17"/>
      <c r="B58" s="18"/>
      <c r="C58" s="18"/>
      <c r="D58" s="19"/>
    </row>
    <row r="59" spans="1:4" x14ac:dyDescent="0.3">
      <c r="A59" s="17"/>
      <c r="B59" s="18"/>
      <c r="C59" s="18"/>
      <c r="D59" s="19"/>
    </row>
    <row r="60" spans="1:4" x14ac:dyDescent="0.3">
      <c r="A60" s="17"/>
      <c r="B60" s="18"/>
      <c r="C60" s="18"/>
      <c r="D60" s="19"/>
    </row>
    <row r="61" spans="1:4" x14ac:dyDescent="0.3">
      <c r="A61" s="17"/>
      <c r="B61" s="18"/>
      <c r="C61" s="18"/>
      <c r="D61" s="19"/>
    </row>
    <row r="62" spans="1:4" x14ac:dyDescent="0.3">
      <c r="A62" s="17"/>
      <c r="B62" s="18"/>
      <c r="C62" s="18"/>
      <c r="D62" s="19"/>
    </row>
    <row r="63" spans="1:4" x14ac:dyDescent="0.3">
      <c r="A63" s="17"/>
      <c r="B63" s="18"/>
      <c r="C63" s="18"/>
      <c r="D63" s="19"/>
    </row>
    <row r="64" spans="1:4" x14ac:dyDescent="0.3">
      <c r="A64" s="17"/>
      <c r="B64" s="18"/>
      <c r="C64" s="18"/>
      <c r="D64" s="19"/>
    </row>
    <row r="65" spans="1:4" x14ac:dyDescent="0.3">
      <c r="A65" s="17"/>
      <c r="B65" s="18"/>
      <c r="C65" s="18"/>
      <c r="D65" s="19"/>
    </row>
    <row r="66" spans="1:4" x14ac:dyDescent="0.3">
      <c r="A66" s="17"/>
      <c r="B66" s="18"/>
      <c r="C66" s="18"/>
      <c r="D66" s="19"/>
    </row>
    <row r="67" spans="1:4" x14ac:dyDescent="0.3">
      <c r="A67" s="17"/>
      <c r="B67" s="18"/>
      <c r="C67" s="18"/>
      <c r="D67" s="19"/>
    </row>
    <row r="68" spans="1:4" x14ac:dyDescent="0.3">
      <c r="A68" s="17"/>
      <c r="B68" s="18"/>
      <c r="C68" s="18"/>
      <c r="D68" s="19"/>
    </row>
    <row r="69" spans="1:4" x14ac:dyDescent="0.3">
      <c r="A69" s="17"/>
      <c r="B69" s="18"/>
      <c r="C69" s="18"/>
      <c r="D69" s="19"/>
    </row>
    <row r="70" spans="1:4" x14ac:dyDescent="0.3">
      <c r="A70" s="17"/>
      <c r="B70" s="18"/>
      <c r="C70" s="18"/>
      <c r="D70" s="19"/>
    </row>
    <row r="71" spans="1:4" x14ac:dyDescent="0.3">
      <c r="A71" s="17"/>
      <c r="B71" s="18"/>
      <c r="C71" s="18"/>
      <c r="D71" s="19"/>
    </row>
    <row r="72" spans="1:4" x14ac:dyDescent="0.3">
      <c r="A72" s="17"/>
      <c r="B72" s="18"/>
      <c r="C72" s="18"/>
      <c r="D72" s="19"/>
    </row>
    <row r="73" spans="1:4" x14ac:dyDescent="0.3">
      <c r="A73" s="17"/>
      <c r="B73" s="18"/>
      <c r="C73" s="18"/>
      <c r="D73" s="19"/>
    </row>
    <row r="74" spans="1:4" x14ac:dyDescent="0.3">
      <c r="A74" s="17"/>
      <c r="B74" s="18"/>
      <c r="C74" s="18"/>
      <c r="D74" s="19"/>
    </row>
    <row r="75" spans="1:4" x14ac:dyDescent="0.3">
      <c r="A75" s="17"/>
      <c r="B75" s="18"/>
      <c r="C75" s="18"/>
      <c r="D75" s="19"/>
    </row>
    <row r="76" spans="1:4" x14ac:dyDescent="0.3">
      <c r="A76" s="17"/>
      <c r="B76" s="18"/>
      <c r="C76" s="18"/>
      <c r="D76" s="19"/>
    </row>
    <row r="77" spans="1:4" x14ac:dyDescent="0.3">
      <c r="A77" s="17"/>
      <c r="B77" s="18"/>
      <c r="C77" s="18"/>
      <c r="D77" s="19"/>
    </row>
    <row r="78" spans="1:4" x14ac:dyDescent="0.3">
      <c r="A78" s="17"/>
      <c r="B78" s="18"/>
      <c r="C78" s="18"/>
      <c r="D78" s="19"/>
    </row>
    <row r="79" spans="1:4" x14ac:dyDescent="0.3">
      <c r="A79" s="17"/>
      <c r="B79" s="18"/>
      <c r="C79" s="18"/>
      <c r="D79" s="19"/>
    </row>
    <row r="80" spans="1:4" x14ac:dyDescent="0.3">
      <c r="A80" s="17"/>
      <c r="B80" s="18"/>
      <c r="C80" s="18"/>
      <c r="D80" s="19"/>
    </row>
    <row r="81" spans="1:4" x14ac:dyDescent="0.3">
      <c r="A81" s="17"/>
      <c r="B81" s="18"/>
      <c r="C81" s="18"/>
      <c r="D81" s="19"/>
    </row>
    <row r="82" spans="1:4" x14ac:dyDescent="0.3">
      <c r="A82" s="17"/>
      <c r="B82" s="18"/>
      <c r="C82" s="18"/>
      <c r="D82" s="19"/>
    </row>
    <row r="83" spans="1:4" x14ac:dyDescent="0.3">
      <c r="A83" s="17"/>
      <c r="B83" s="18"/>
      <c r="C83" s="18"/>
      <c r="D83" s="19"/>
    </row>
    <row r="84" spans="1:4" x14ac:dyDescent="0.3">
      <c r="A84" s="17"/>
      <c r="B84" s="18"/>
      <c r="C84" s="18"/>
      <c r="D84" s="19"/>
    </row>
    <row r="85" spans="1:4" x14ac:dyDescent="0.3">
      <c r="A85" s="17"/>
      <c r="B85" s="18"/>
      <c r="C85" s="18"/>
      <c r="D85" s="19"/>
    </row>
    <row r="86" spans="1:4" x14ac:dyDescent="0.3">
      <c r="A86" s="17"/>
      <c r="B86" s="18"/>
      <c r="C86" s="18"/>
      <c r="D86" s="19"/>
    </row>
    <row r="87" spans="1:4" x14ac:dyDescent="0.3">
      <c r="A87" s="17"/>
      <c r="B87" s="18"/>
      <c r="C87" s="18"/>
      <c r="D87" s="19"/>
    </row>
    <row r="88" spans="1:4" x14ac:dyDescent="0.3">
      <c r="A88" s="17"/>
      <c r="B88" s="18"/>
      <c r="C88" s="18"/>
      <c r="D88" s="19"/>
    </row>
    <row r="89" spans="1:4" x14ac:dyDescent="0.3">
      <c r="A89" s="17"/>
      <c r="B89" s="18"/>
      <c r="C89" s="18"/>
      <c r="D89" s="19"/>
    </row>
    <row r="90" spans="1:4" x14ac:dyDescent="0.3">
      <c r="A90" s="17"/>
      <c r="B90" s="18"/>
      <c r="C90" s="18"/>
      <c r="D90" s="19"/>
    </row>
    <row r="91" spans="1:4" x14ac:dyDescent="0.3">
      <c r="A91" s="17"/>
      <c r="B91" s="18"/>
      <c r="C91" s="18"/>
      <c r="D91" s="19"/>
    </row>
    <row r="92" spans="1:4" x14ac:dyDescent="0.3">
      <c r="A92" s="17"/>
      <c r="B92" s="18"/>
      <c r="C92" s="18"/>
      <c r="D92" s="19"/>
    </row>
    <row r="93" spans="1:4" x14ac:dyDescent="0.3">
      <c r="A93" s="17"/>
      <c r="B93" s="18"/>
      <c r="C93" s="18"/>
      <c r="D93" s="19"/>
    </row>
    <row r="94" spans="1:4" x14ac:dyDescent="0.3">
      <c r="A94" s="17"/>
      <c r="B94" s="18"/>
      <c r="C94" s="18"/>
      <c r="D94" s="19"/>
    </row>
    <row r="95" spans="1:4" x14ac:dyDescent="0.3">
      <c r="A95" s="17"/>
      <c r="B95" s="18"/>
      <c r="C95" s="18"/>
      <c r="D95" s="19"/>
    </row>
    <row r="96" spans="1:4" x14ac:dyDescent="0.3">
      <c r="A96" s="17"/>
      <c r="B96" s="18"/>
      <c r="C96" s="18"/>
      <c r="D96" s="19"/>
    </row>
    <row r="97" spans="1:4" x14ac:dyDescent="0.3">
      <c r="A97" s="17"/>
      <c r="B97" s="18"/>
      <c r="C97" s="18"/>
      <c r="D97" s="19"/>
    </row>
    <row r="98" spans="1:4" x14ac:dyDescent="0.3">
      <c r="A98" s="17"/>
      <c r="B98" s="18"/>
      <c r="C98" s="18"/>
      <c r="D98" s="19"/>
    </row>
    <row r="99" spans="1:4" x14ac:dyDescent="0.3">
      <c r="A99" s="17"/>
      <c r="B99" s="18"/>
      <c r="C99" s="18"/>
      <c r="D99" s="19"/>
    </row>
    <row r="100" spans="1:4" x14ac:dyDescent="0.3">
      <c r="A100" s="17"/>
      <c r="B100" s="18"/>
      <c r="C100" s="18"/>
      <c r="D100" s="19"/>
    </row>
    <row r="101" spans="1:4" x14ac:dyDescent="0.3">
      <c r="A101" s="17"/>
      <c r="B101" s="18"/>
      <c r="C101" s="18"/>
      <c r="D101" s="19"/>
    </row>
    <row r="102" spans="1:4" x14ac:dyDescent="0.3">
      <c r="A102" s="17"/>
      <c r="B102" s="18"/>
      <c r="C102" s="18"/>
      <c r="D102" s="19"/>
    </row>
    <row r="103" spans="1:4" x14ac:dyDescent="0.3">
      <c r="A103" s="17"/>
      <c r="B103" s="18"/>
      <c r="C103" s="18"/>
      <c r="D103" s="19"/>
    </row>
    <row r="104" spans="1:4" x14ac:dyDescent="0.3">
      <c r="A104" s="17"/>
      <c r="B104" s="18"/>
      <c r="C104" s="18"/>
      <c r="D104" s="19"/>
    </row>
    <row r="105" spans="1:4" x14ac:dyDescent="0.3">
      <c r="A105" s="17"/>
      <c r="B105" s="18"/>
      <c r="C105" s="18"/>
      <c r="D105" s="19"/>
    </row>
    <row r="106" spans="1:4" x14ac:dyDescent="0.3">
      <c r="A106" s="17"/>
      <c r="B106" s="18"/>
      <c r="C106" s="18"/>
      <c r="D106" s="19"/>
    </row>
    <row r="107" spans="1:4" x14ac:dyDescent="0.3">
      <c r="A107" s="17"/>
      <c r="B107" s="18"/>
      <c r="C107" s="18"/>
      <c r="D107" s="19"/>
    </row>
    <row r="108" spans="1:4" x14ac:dyDescent="0.3">
      <c r="A108" s="17"/>
      <c r="B108" s="18"/>
      <c r="C108" s="18"/>
      <c r="D108" s="19"/>
    </row>
    <row r="109" spans="1:4" x14ac:dyDescent="0.3">
      <c r="A109" s="17"/>
      <c r="B109" s="18"/>
      <c r="C109" s="18"/>
      <c r="D109" s="19"/>
    </row>
    <row r="110" spans="1:4" x14ac:dyDescent="0.3">
      <c r="A110" s="17"/>
      <c r="B110" s="18"/>
      <c r="C110" s="18"/>
      <c r="D110" s="19"/>
    </row>
    <row r="111" spans="1:4" x14ac:dyDescent="0.3">
      <c r="A111" s="17"/>
      <c r="B111" s="18"/>
      <c r="C111" s="18"/>
      <c r="D111" s="19"/>
    </row>
    <row r="112" spans="1:4" x14ac:dyDescent="0.3">
      <c r="A112" s="17"/>
      <c r="B112" s="18"/>
      <c r="C112" s="18"/>
      <c r="D112" s="19"/>
    </row>
    <row r="113" spans="1:4" x14ac:dyDescent="0.3">
      <c r="A113" s="17"/>
      <c r="B113" s="18"/>
      <c r="C113" s="18"/>
      <c r="D113" s="19"/>
    </row>
    <row r="114" spans="1:4" x14ac:dyDescent="0.3">
      <c r="A114" s="17"/>
      <c r="B114" s="18"/>
      <c r="C114" s="18"/>
      <c r="D114" s="19"/>
    </row>
    <row r="115" spans="1:4" x14ac:dyDescent="0.3">
      <c r="A115" s="17"/>
      <c r="B115" s="18"/>
      <c r="C115" s="18"/>
      <c r="D115" s="19"/>
    </row>
    <row r="116" spans="1:4" x14ac:dyDescent="0.3">
      <c r="A116" s="17"/>
      <c r="B116" s="18"/>
      <c r="C116" s="18"/>
      <c r="D116" s="19"/>
    </row>
    <row r="117" spans="1:4" x14ac:dyDescent="0.3">
      <c r="A117" s="17"/>
      <c r="B117" s="18"/>
      <c r="C117" s="18"/>
      <c r="D117" s="19"/>
    </row>
    <row r="118" spans="1:4" x14ac:dyDescent="0.3">
      <c r="A118" s="17"/>
      <c r="B118" s="18"/>
      <c r="C118" s="18"/>
      <c r="D118" s="19"/>
    </row>
    <row r="119" spans="1:4" x14ac:dyDescent="0.3">
      <c r="A119" s="17"/>
      <c r="B119" s="18"/>
      <c r="C119" s="18"/>
      <c r="D119" s="19"/>
    </row>
    <row r="120" spans="1:4" x14ac:dyDescent="0.3">
      <c r="A120" s="17"/>
      <c r="B120" s="18"/>
      <c r="C120" s="18"/>
      <c r="D120" s="19"/>
    </row>
    <row r="121" spans="1:4" x14ac:dyDescent="0.3">
      <c r="A121" s="17"/>
      <c r="B121" s="18"/>
      <c r="C121" s="18"/>
      <c r="D121" s="19"/>
    </row>
    <row r="122" spans="1:4" x14ac:dyDescent="0.3">
      <c r="A122" s="17"/>
      <c r="B122" s="18"/>
      <c r="C122" s="18"/>
      <c r="D122" s="19"/>
    </row>
    <row r="123" spans="1:4" x14ac:dyDescent="0.3">
      <c r="A123" s="17"/>
      <c r="B123" s="18"/>
      <c r="C123" s="18"/>
      <c r="D123" s="19"/>
    </row>
    <row r="124" spans="1:4" x14ac:dyDescent="0.3">
      <c r="A124" s="17"/>
      <c r="B124" s="18"/>
      <c r="C124" s="18"/>
      <c r="D124" s="19"/>
    </row>
    <row r="125" spans="1:4" x14ac:dyDescent="0.3">
      <c r="A125" s="17"/>
      <c r="B125" s="18"/>
      <c r="C125" s="18"/>
      <c r="D125" s="19"/>
    </row>
    <row r="126" spans="1:4" x14ac:dyDescent="0.3">
      <c r="A126" s="17"/>
      <c r="B126" s="18"/>
      <c r="C126" s="18"/>
      <c r="D126" s="19"/>
    </row>
    <row r="127" spans="1:4" x14ac:dyDescent="0.3">
      <c r="A127" s="17"/>
      <c r="B127" s="18"/>
      <c r="C127" s="18"/>
      <c r="D127" s="19"/>
    </row>
    <row r="128" spans="1:4" x14ac:dyDescent="0.3">
      <c r="A128" s="17"/>
      <c r="B128" s="18"/>
      <c r="C128" s="18"/>
      <c r="D128" s="19"/>
    </row>
    <row r="129" spans="1:4" x14ac:dyDescent="0.3">
      <c r="A129" s="17"/>
      <c r="B129" s="18"/>
      <c r="C129" s="18"/>
      <c r="D129" s="19"/>
    </row>
    <row r="130" spans="1:4" x14ac:dyDescent="0.3">
      <c r="A130" s="17"/>
      <c r="B130" s="18"/>
      <c r="C130" s="18"/>
      <c r="D130" s="19"/>
    </row>
    <row r="131" spans="1:4" x14ac:dyDescent="0.3">
      <c r="A131" s="17"/>
      <c r="B131" s="18"/>
      <c r="C131" s="18"/>
      <c r="D131" s="19"/>
    </row>
    <row r="132" spans="1:4" x14ac:dyDescent="0.3">
      <c r="A132" s="17"/>
      <c r="B132" s="18"/>
      <c r="C132" s="18"/>
      <c r="D132" s="19"/>
    </row>
    <row r="133" spans="1:4" x14ac:dyDescent="0.3">
      <c r="A133" s="17"/>
      <c r="B133" s="18"/>
      <c r="C133" s="18"/>
      <c r="D133" s="19"/>
    </row>
    <row r="134" spans="1:4" x14ac:dyDescent="0.3">
      <c r="A134" s="17"/>
      <c r="B134" s="18"/>
      <c r="C134" s="18"/>
      <c r="D134" s="19"/>
    </row>
    <row r="135" spans="1:4" x14ac:dyDescent="0.3">
      <c r="A135" s="17"/>
      <c r="B135" s="18"/>
      <c r="C135" s="18"/>
      <c r="D135" s="19"/>
    </row>
    <row r="136" spans="1:4" x14ac:dyDescent="0.3">
      <c r="A136" s="17"/>
      <c r="B136" s="18"/>
      <c r="C136" s="18"/>
      <c r="D136" s="19"/>
    </row>
    <row r="137" spans="1:4" x14ac:dyDescent="0.3">
      <c r="A137" s="17"/>
      <c r="B137" s="18"/>
      <c r="C137" s="18"/>
      <c r="D137" s="19"/>
    </row>
    <row r="138" spans="1:4" x14ac:dyDescent="0.3">
      <c r="A138" s="17"/>
      <c r="B138" s="18"/>
      <c r="C138" s="18"/>
      <c r="D138" s="19"/>
    </row>
    <row r="139" spans="1:4" x14ac:dyDescent="0.3">
      <c r="A139" s="17"/>
      <c r="B139" s="18"/>
      <c r="C139" s="18"/>
      <c r="D139" s="19"/>
    </row>
    <row r="140" spans="1:4" x14ac:dyDescent="0.3">
      <c r="A140" s="17"/>
      <c r="B140" s="18"/>
      <c r="C140" s="18"/>
      <c r="D140" s="19"/>
    </row>
    <row r="141" spans="1:4" x14ac:dyDescent="0.3">
      <c r="A141" s="17"/>
      <c r="B141" s="18"/>
      <c r="C141" s="18"/>
      <c r="D141" s="19"/>
    </row>
    <row r="142" spans="1:4" x14ac:dyDescent="0.3">
      <c r="A142" s="17"/>
      <c r="B142" s="18"/>
      <c r="C142" s="18"/>
      <c r="D142" s="19"/>
    </row>
    <row r="143" spans="1:4" x14ac:dyDescent="0.3">
      <c r="A143" s="17"/>
      <c r="B143" s="18"/>
      <c r="C143" s="18"/>
      <c r="D143" s="19"/>
    </row>
    <row r="144" spans="1:4" x14ac:dyDescent="0.3">
      <c r="A144" s="17"/>
      <c r="B144" s="18"/>
      <c r="C144" s="18"/>
      <c r="D144" s="19"/>
    </row>
    <row r="145" spans="1:4" x14ac:dyDescent="0.3">
      <c r="A145" s="17"/>
      <c r="B145" s="18"/>
      <c r="C145" s="18"/>
      <c r="D145" s="19"/>
    </row>
    <row r="146" spans="1:4" x14ac:dyDescent="0.3">
      <c r="A146" s="17"/>
      <c r="B146" s="18"/>
      <c r="C146" s="18"/>
      <c r="D146" s="19"/>
    </row>
    <row r="147" spans="1:4" x14ac:dyDescent="0.3">
      <c r="A147" s="17"/>
      <c r="B147" s="18"/>
      <c r="C147" s="18"/>
      <c r="D147" s="19"/>
    </row>
    <row r="148" spans="1:4" x14ac:dyDescent="0.3">
      <c r="A148" s="17"/>
      <c r="B148" s="18"/>
      <c r="C148" s="18"/>
      <c r="D148" s="19"/>
    </row>
    <row r="149" spans="1:4" x14ac:dyDescent="0.3">
      <c r="A149" s="17"/>
      <c r="B149" s="18"/>
      <c r="C149" s="18"/>
      <c r="D149" s="19"/>
    </row>
    <row r="150" spans="1:4" x14ac:dyDescent="0.3">
      <c r="A150" s="17"/>
      <c r="B150" s="18"/>
      <c r="C150" s="18"/>
      <c r="D150" s="19"/>
    </row>
    <row r="151" spans="1:4" x14ac:dyDescent="0.3">
      <c r="A151" s="17"/>
      <c r="B151" s="18"/>
      <c r="C151" s="18"/>
      <c r="D151" s="19"/>
    </row>
    <row r="152" spans="1:4" x14ac:dyDescent="0.3">
      <c r="A152" s="17"/>
      <c r="B152" s="18"/>
      <c r="C152" s="18"/>
      <c r="D152" s="19"/>
    </row>
    <row r="153" spans="1:4" x14ac:dyDescent="0.3">
      <c r="A153" s="17"/>
      <c r="B153" s="18"/>
      <c r="C153" s="18"/>
      <c r="D153" s="19"/>
    </row>
    <row r="154" spans="1:4" x14ac:dyDescent="0.3">
      <c r="A154" s="17"/>
      <c r="B154" s="18"/>
      <c r="C154" s="18"/>
      <c r="D154" s="19"/>
    </row>
    <row r="155" spans="1:4" x14ac:dyDescent="0.3">
      <c r="A155" s="17"/>
      <c r="B155" s="18"/>
      <c r="C155" s="18"/>
      <c r="D155" s="19"/>
    </row>
    <row r="156" spans="1:4" x14ac:dyDescent="0.3">
      <c r="A156" s="17"/>
      <c r="B156" s="18"/>
      <c r="C156" s="18"/>
      <c r="D156" s="19"/>
    </row>
    <row r="157" spans="1:4" x14ac:dyDescent="0.3">
      <c r="A157" s="17"/>
      <c r="B157" s="18"/>
      <c r="C157" s="18"/>
      <c r="D157" s="19"/>
    </row>
    <row r="158" spans="1:4" x14ac:dyDescent="0.3">
      <c r="A158" s="17"/>
      <c r="B158" s="18"/>
      <c r="C158" s="18"/>
      <c r="D158" s="19"/>
    </row>
    <row r="159" spans="1:4" x14ac:dyDescent="0.3">
      <c r="A159" s="17"/>
      <c r="B159" s="18"/>
      <c r="C159" s="18"/>
      <c r="D159" s="19"/>
    </row>
    <row r="160" spans="1:4" x14ac:dyDescent="0.3">
      <c r="A160" s="17"/>
      <c r="B160" s="18"/>
      <c r="C160" s="18"/>
      <c r="D160" s="19"/>
    </row>
    <row r="161" spans="1:4" x14ac:dyDescent="0.3">
      <c r="A161" s="17"/>
      <c r="B161" s="18"/>
      <c r="C161" s="18"/>
      <c r="D161" s="19"/>
    </row>
    <row r="162" spans="1:4" x14ac:dyDescent="0.3">
      <c r="A162" s="17"/>
      <c r="B162" s="18"/>
      <c r="C162" s="18"/>
      <c r="D162" s="19"/>
    </row>
    <row r="163" spans="1:4" x14ac:dyDescent="0.3">
      <c r="A163" s="17"/>
      <c r="B163" s="18"/>
      <c r="C163" s="18"/>
      <c r="D163" s="19"/>
    </row>
    <row r="164" spans="1:4" x14ac:dyDescent="0.3">
      <c r="A164" s="17"/>
      <c r="B164" s="18"/>
      <c r="C164" s="18"/>
      <c r="D164" s="19"/>
    </row>
    <row r="165" spans="1:4" x14ac:dyDescent="0.3">
      <c r="A165" s="17"/>
      <c r="B165" s="18"/>
      <c r="C165" s="18"/>
      <c r="D165" s="19"/>
    </row>
    <row r="166" spans="1:4" x14ac:dyDescent="0.3">
      <c r="A166" s="17"/>
      <c r="B166" s="18"/>
      <c r="C166" s="18"/>
      <c r="D166" s="19"/>
    </row>
    <row r="167" spans="1:4" x14ac:dyDescent="0.3">
      <c r="A167" s="17"/>
      <c r="B167" s="18"/>
      <c r="C167" s="18"/>
      <c r="D167" s="19"/>
    </row>
    <row r="168" spans="1:4" x14ac:dyDescent="0.3">
      <c r="A168" s="17"/>
      <c r="B168" s="18"/>
      <c r="C168" s="18"/>
      <c r="D168" s="19"/>
    </row>
    <row r="169" spans="1:4" x14ac:dyDescent="0.3">
      <c r="A169" s="17"/>
      <c r="B169" s="18"/>
      <c r="C169" s="18"/>
      <c r="D169" s="19"/>
    </row>
    <row r="170" spans="1:4" x14ac:dyDescent="0.3">
      <c r="A170" s="17"/>
      <c r="B170" s="18"/>
      <c r="C170" s="18"/>
      <c r="D170" s="19"/>
    </row>
    <row r="171" spans="1:4" x14ac:dyDescent="0.3">
      <c r="A171" s="17"/>
      <c r="B171" s="18"/>
      <c r="C171" s="18"/>
      <c r="D171" s="19"/>
    </row>
    <row r="172" spans="1:4" x14ac:dyDescent="0.3">
      <c r="A172" s="17"/>
      <c r="B172" s="18"/>
      <c r="C172" s="18"/>
      <c r="D172" s="19"/>
    </row>
    <row r="173" spans="1:4" x14ac:dyDescent="0.3">
      <c r="A173" s="17"/>
      <c r="B173" s="18"/>
      <c r="C173" s="18"/>
      <c r="D173" s="19"/>
    </row>
    <row r="174" spans="1:4" x14ac:dyDescent="0.3">
      <c r="A174" s="17"/>
      <c r="B174" s="18"/>
      <c r="C174" s="18"/>
      <c r="D174" s="19"/>
    </row>
    <row r="175" spans="1:4" x14ac:dyDescent="0.3">
      <c r="A175" s="17"/>
      <c r="B175" s="18"/>
      <c r="C175" s="18"/>
      <c r="D175" s="19"/>
    </row>
    <row r="176" spans="1:4" x14ac:dyDescent="0.3">
      <c r="A176" s="17"/>
      <c r="B176" s="18"/>
      <c r="C176" s="18"/>
      <c r="D176" s="19"/>
    </row>
    <row r="177" spans="1:4" x14ac:dyDescent="0.3">
      <c r="A177" s="17"/>
      <c r="B177" s="18"/>
      <c r="C177" s="18"/>
      <c r="D177" s="19"/>
    </row>
    <row r="178" spans="1:4" x14ac:dyDescent="0.3">
      <c r="A178" s="17"/>
      <c r="B178" s="18"/>
      <c r="C178" s="18"/>
      <c r="D178" s="19"/>
    </row>
    <row r="179" spans="1:4" x14ac:dyDescent="0.3">
      <c r="A179" s="17"/>
      <c r="B179" s="18"/>
      <c r="C179" s="18"/>
      <c r="D179" s="19"/>
    </row>
    <row r="180" spans="1:4" x14ac:dyDescent="0.3">
      <c r="A180" s="17"/>
      <c r="B180" s="18"/>
      <c r="C180" s="18"/>
      <c r="D180" s="19"/>
    </row>
    <row r="181" spans="1:4" x14ac:dyDescent="0.3">
      <c r="A181" s="17"/>
      <c r="B181" s="18"/>
      <c r="C181" s="18"/>
      <c r="D181" s="19"/>
    </row>
    <row r="182" spans="1:4" x14ac:dyDescent="0.3">
      <c r="A182" s="17"/>
      <c r="B182" s="18"/>
      <c r="C182" s="18"/>
      <c r="D182" s="19"/>
    </row>
    <row r="183" spans="1:4" x14ac:dyDescent="0.3">
      <c r="A183" s="17"/>
      <c r="B183" s="18"/>
      <c r="C183" s="18"/>
      <c r="D183" s="19"/>
    </row>
    <row r="184" spans="1:4" x14ac:dyDescent="0.3">
      <c r="A184" s="17"/>
      <c r="B184" s="18"/>
      <c r="C184" s="18"/>
      <c r="D184" s="19"/>
    </row>
    <row r="185" spans="1:4" x14ac:dyDescent="0.3">
      <c r="A185" s="17"/>
      <c r="B185" s="18"/>
      <c r="C185" s="18"/>
      <c r="D185" s="19"/>
    </row>
    <row r="186" spans="1:4" x14ac:dyDescent="0.3">
      <c r="A186" s="17"/>
      <c r="B186" s="18"/>
      <c r="C186" s="18"/>
      <c r="D186" s="19"/>
    </row>
    <row r="187" spans="1:4" x14ac:dyDescent="0.3">
      <c r="A187" s="17"/>
      <c r="B187" s="18"/>
      <c r="C187" s="18"/>
      <c r="D187" s="19"/>
    </row>
    <row r="188" spans="1:4" x14ac:dyDescent="0.3">
      <c r="A188" s="17"/>
      <c r="B188" s="18"/>
      <c r="C188" s="18"/>
      <c r="D188" s="19"/>
    </row>
    <row r="189" spans="1:4" x14ac:dyDescent="0.3">
      <c r="A189" s="17"/>
      <c r="B189" s="18"/>
      <c r="C189" s="18"/>
      <c r="D189" s="19"/>
    </row>
    <row r="190" spans="1:4" x14ac:dyDescent="0.3">
      <c r="A190" s="17"/>
      <c r="B190" s="18"/>
      <c r="C190" s="18"/>
      <c r="D190" s="19"/>
    </row>
    <row r="191" spans="1:4" x14ac:dyDescent="0.3">
      <c r="A191" s="17"/>
      <c r="B191" s="18"/>
      <c r="C191" s="18"/>
      <c r="D191" s="19"/>
    </row>
    <row r="192" spans="1:4" x14ac:dyDescent="0.3">
      <c r="A192" s="17"/>
      <c r="B192" s="18"/>
      <c r="C192" s="18"/>
      <c r="D192" s="19"/>
    </row>
    <row r="193" spans="1:4" x14ac:dyDescent="0.3">
      <c r="A193" s="17"/>
      <c r="B193" s="18"/>
      <c r="C193" s="18"/>
      <c r="D193" s="19"/>
    </row>
    <row r="194" spans="1:4" x14ac:dyDescent="0.3">
      <c r="A194" s="17"/>
      <c r="B194" s="18"/>
      <c r="C194" s="18"/>
      <c r="D194" s="19"/>
    </row>
    <row r="195" spans="1:4" x14ac:dyDescent="0.3">
      <c r="A195" s="17"/>
      <c r="B195" s="18"/>
      <c r="C195" s="18"/>
      <c r="D195" s="19"/>
    </row>
    <row r="196" spans="1:4" x14ac:dyDescent="0.3">
      <c r="A196" s="17"/>
      <c r="B196" s="18"/>
      <c r="C196" s="18"/>
      <c r="D196" s="19"/>
    </row>
    <row r="197" spans="1:4" x14ac:dyDescent="0.3">
      <c r="A197" s="17"/>
      <c r="B197" s="18"/>
      <c r="C197" s="18"/>
      <c r="D197" s="19"/>
    </row>
    <row r="198" spans="1:4" x14ac:dyDescent="0.3">
      <c r="A198" s="17"/>
      <c r="B198" s="18"/>
      <c r="C198" s="18"/>
      <c r="D198" s="19"/>
    </row>
    <row r="199" spans="1:4" x14ac:dyDescent="0.3">
      <c r="A199" s="17"/>
      <c r="B199" s="18"/>
      <c r="C199" s="18"/>
      <c r="D199" s="19"/>
    </row>
    <row r="200" spans="1:4" x14ac:dyDescent="0.3">
      <c r="A200" s="17"/>
      <c r="B200" s="18"/>
      <c r="C200" s="18"/>
      <c r="D200" s="19"/>
    </row>
    <row r="201" spans="1:4" x14ac:dyDescent="0.3">
      <c r="A201" s="17"/>
      <c r="B201" s="18"/>
      <c r="C201" s="18"/>
      <c r="D201" s="19"/>
    </row>
    <row r="202" spans="1:4" x14ac:dyDescent="0.3">
      <c r="A202" s="17"/>
      <c r="B202" s="18"/>
      <c r="C202" s="18"/>
      <c r="D202" s="19"/>
    </row>
    <row r="203" spans="1:4" x14ac:dyDescent="0.3">
      <c r="A203" s="17"/>
      <c r="B203" s="18"/>
      <c r="C203" s="18"/>
      <c r="D203" s="19"/>
    </row>
    <row r="204" spans="1:4" x14ac:dyDescent="0.3">
      <c r="A204" s="17"/>
      <c r="B204" s="18"/>
      <c r="C204" s="18"/>
      <c r="D204" s="19"/>
    </row>
    <row r="205" spans="1:4" x14ac:dyDescent="0.3">
      <c r="A205" s="17"/>
      <c r="B205" s="18"/>
      <c r="C205" s="18"/>
      <c r="D205" s="19"/>
    </row>
    <row r="206" spans="1:4" x14ac:dyDescent="0.3">
      <c r="A206" s="17"/>
      <c r="B206" s="18"/>
      <c r="C206" s="18"/>
      <c r="D206" s="19"/>
    </row>
    <row r="207" spans="1:4" x14ac:dyDescent="0.3">
      <c r="A207" s="17"/>
      <c r="B207" s="18"/>
      <c r="C207" s="18"/>
      <c r="D207" s="19"/>
    </row>
    <row r="208" spans="1:4" x14ac:dyDescent="0.3">
      <c r="A208" s="17"/>
      <c r="B208" s="18"/>
      <c r="C208" s="18"/>
      <c r="D208" s="19"/>
    </row>
    <row r="209" spans="1:4" x14ac:dyDescent="0.3">
      <c r="A209" s="17"/>
      <c r="B209" s="18"/>
      <c r="C209" s="18"/>
      <c r="D209" s="19"/>
    </row>
    <row r="210" spans="1:4" x14ac:dyDescent="0.3">
      <c r="A210" s="17"/>
      <c r="B210" s="18"/>
      <c r="C210" s="18"/>
      <c r="D210" s="19"/>
    </row>
    <row r="211" spans="1:4" x14ac:dyDescent="0.3">
      <c r="A211" s="17"/>
      <c r="B211" s="18"/>
      <c r="C211" s="18"/>
      <c r="D211" s="19"/>
    </row>
    <row r="212" spans="1:4" x14ac:dyDescent="0.3">
      <c r="A212" s="17"/>
      <c r="B212" s="18"/>
      <c r="C212" s="18"/>
      <c r="D212" s="19"/>
    </row>
    <row r="213" spans="1:4" x14ac:dyDescent="0.3">
      <c r="A213" s="17"/>
      <c r="B213" s="18"/>
      <c r="C213" s="18"/>
      <c r="D213" s="19"/>
    </row>
    <row r="214" spans="1:4" x14ac:dyDescent="0.3">
      <c r="A214" s="17"/>
      <c r="B214" s="18"/>
      <c r="C214" s="18"/>
      <c r="D214" s="19"/>
    </row>
    <row r="215" spans="1:4" x14ac:dyDescent="0.3">
      <c r="A215" s="17"/>
      <c r="B215" s="18"/>
      <c r="C215" s="18"/>
      <c r="D215" s="19"/>
    </row>
    <row r="216" spans="1:4" x14ac:dyDescent="0.3">
      <c r="A216" s="17"/>
      <c r="B216" s="18"/>
      <c r="C216" s="18"/>
      <c r="D216" s="19"/>
    </row>
    <row r="217" spans="1:4" x14ac:dyDescent="0.3">
      <c r="A217" s="17"/>
      <c r="B217" s="18"/>
      <c r="C217" s="18"/>
      <c r="D217" s="19"/>
    </row>
    <row r="218" spans="1:4" x14ac:dyDescent="0.3">
      <c r="A218" s="17"/>
      <c r="B218" s="18"/>
      <c r="C218" s="18"/>
      <c r="D218" s="19"/>
    </row>
    <row r="219" spans="1:4" x14ac:dyDescent="0.3">
      <c r="A219" s="17"/>
      <c r="B219" s="18"/>
      <c r="C219" s="18"/>
      <c r="D219" s="19"/>
    </row>
    <row r="220" spans="1:4" x14ac:dyDescent="0.3">
      <c r="A220" s="17"/>
      <c r="B220" s="18"/>
      <c r="C220" s="18"/>
      <c r="D220" s="19"/>
    </row>
    <row r="221" spans="1:4" x14ac:dyDescent="0.3">
      <c r="A221" s="17"/>
      <c r="B221" s="18"/>
      <c r="C221" s="18"/>
      <c r="D221" s="19"/>
    </row>
    <row r="222" spans="1:4" x14ac:dyDescent="0.3">
      <c r="A222" s="17"/>
      <c r="B222" s="18"/>
      <c r="C222" s="18"/>
      <c r="D222" s="19"/>
    </row>
    <row r="223" spans="1:4" x14ac:dyDescent="0.3">
      <c r="A223" s="17"/>
      <c r="B223" s="18"/>
      <c r="C223" s="18"/>
      <c r="D223" s="19"/>
    </row>
    <row r="224" spans="1:4" x14ac:dyDescent="0.3">
      <c r="A224" s="17"/>
      <c r="B224" s="18"/>
      <c r="C224" s="18"/>
      <c r="D224" s="19"/>
    </row>
    <row r="225" spans="1:4" x14ac:dyDescent="0.3">
      <c r="A225" s="17"/>
      <c r="B225" s="18"/>
      <c r="C225" s="18"/>
      <c r="D225" s="19"/>
    </row>
    <row r="226" spans="1:4" x14ac:dyDescent="0.3">
      <c r="A226" s="17"/>
      <c r="B226" s="18"/>
      <c r="C226" s="18"/>
      <c r="D226" s="19"/>
    </row>
    <row r="227" spans="1:4" x14ac:dyDescent="0.3">
      <c r="A227" s="17"/>
      <c r="B227" s="18"/>
      <c r="C227" s="18"/>
      <c r="D227" s="19"/>
    </row>
    <row r="228" spans="1:4" x14ac:dyDescent="0.3">
      <c r="A228" s="17"/>
      <c r="B228" s="18"/>
      <c r="C228" s="18"/>
      <c r="D228" s="19"/>
    </row>
    <row r="229" spans="1:4" x14ac:dyDescent="0.3">
      <c r="A229" s="17"/>
      <c r="B229" s="18"/>
      <c r="C229" s="18"/>
      <c r="D229" s="19"/>
    </row>
    <row r="230" spans="1:4" x14ac:dyDescent="0.3">
      <c r="A230" s="17"/>
      <c r="B230" s="18"/>
      <c r="C230" s="18"/>
      <c r="D230" s="19"/>
    </row>
    <row r="231" spans="1:4" x14ac:dyDescent="0.3">
      <c r="A231" s="17"/>
      <c r="B231" s="18"/>
      <c r="C231" s="18"/>
      <c r="D231" s="19"/>
    </row>
    <row r="232" spans="1:4" x14ac:dyDescent="0.3">
      <c r="A232" s="17"/>
      <c r="B232" s="18"/>
      <c r="C232" s="18"/>
      <c r="D232" s="19"/>
    </row>
    <row r="233" spans="1:4" x14ac:dyDescent="0.3">
      <c r="A233" s="17"/>
      <c r="B233" s="18"/>
      <c r="C233" s="18"/>
      <c r="D233" s="19"/>
    </row>
    <row r="234" spans="1:4" x14ac:dyDescent="0.3">
      <c r="A234" s="17"/>
      <c r="B234" s="18"/>
      <c r="C234" s="18"/>
      <c r="D234" s="19"/>
    </row>
    <row r="235" spans="1:4" x14ac:dyDescent="0.3">
      <c r="A235" s="17"/>
      <c r="B235" s="18"/>
      <c r="C235" s="18"/>
      <c r="D235" s="19"/>
    </row>
    <row r="236" spans="1:4" x14ac:dyDescent="0.3">
      <c r="A236" s="17"/>
      <c r="B236" s="18"/>
      <c r="C236" s="18"/>
      <c r="D236" s="19"/>
    </row>
    <row r="237" spans="1:4" x14ac:dyDescent="0.3">
      <c r="A237" s="17"/>
      <c r="B237" s="18"/>
      <c r="C237" s="18"/>
      <c r="D237" s="19"/>
    </row>
    <row r="238" spans="1:4" x14ac:dyDescent="0.3">
      <c r="A238" s="17"/>
      <c r="B238" s="18"/>
      <c r="C238" s="18"/>
      <c r="D238" s="19"/>
    </row>
    <row r="239" spans="1:4" x14ac:dyDescent="0.3">
      <c r="A239" s="17"/>
      <c r="B239" s="18"/>
      <c r="C239" s="18"/>
      <c r="D239" s="19"/>
    </row>
    <row r="240" spans="1:4" x14ac:dyDescent="0.3">
      <c r="A240" s="17"/>
      <c r="B240" s="18"/>
      <c r="C240" s="18"/>
      <c r="D240" s="19"/>
    </row>
    <row r="241" spans="1:4" x14ac:dyDescent="0.3">
      <c r="A241" s="17"/>
      <c r="B241" s="18"/>
      <c r="C241" s="18"/>
      <c r="D241" s="19"/>
    </row>
    <row r="242" spans="1:4" x14ac:dyDescent="0.3">
      <c r="A242" s="17"/>
      <c r="B242" s="18"/>
      <c r="C242" s="18"/>
      <c r="D242" s="19"/>
    </row>
    <row r="243" spans="1:4" x14ac:dyDescent="0.3">
      <c r="A243" s="17"/>
      <c r="B243" s="18"/>
      <c r="C243" s="18"/>
      <c r="D243" s="19"/>
    </row>
    <row r="244" spans="1:4" x14ac:dyDescent="0.3">
      <c r="A244" s="17"/>
      <c r="B244" s="18"/>
      <c r="C244" s="18"/>
      <c r="D244" s="19"/>
    </row>
    <row r="245" spans="1:4" x14ac:dyDescent="0.3">
      <c r="A245" s="17"/>
      <c r="B245" s="18"/>
      <c r="C245" s="18"/>
      <c r="D245" s="19"/>
    </row>
    <row r="246" spans="1:4" x14ac:dyDescent="0.3">
      <c r="A246" s="17"/>
      <c r="B246" s="18"/>
      <c r="C246" s="18"/>
      <c r="D246" s="19"/>
    </row>
    <row r="247" spans="1:4" x14ac:dyDescent="0.3">
      <c r="A247" s="17"/>
      <c r="B247" s="18"/>
      <c r="C247" s="18"/>
      <c r="D247" s="19"/>
    </row>
    <row r="248" spans="1:4" x14ac:dyDescent="0.3">
      <c r="A248" s="17"/>
      <c r="B248" s="18"/>
      <c r="C248" s="18"/>
      <c r="D248" s="19"/>
    </row>
    <row r="249" spans="1:4" x14ac:dyDescent="0.3">
      <c r="A249" s="17"/>
      <c r="B249" s="18"/>
      <c r="C249" s="18"/>
      <c r="D249" s="19"/>
    </row>
    <row r="250" spans="1:4" x14ac:dyDescent="0.3">
      <c r="A250" s="17"/>
      <c r="B250" s="18"/>
      <c r="C250" s="18"/>
      <c r="D250" s="19"/>
    </row>
    <row r="251" spans="1:4" x14ac:dyDescent="0.3">
      <c r="A251" s="17"/>
      <c r="B251" s="18"/>
      <c r="C251" s="18"/>
      <c r="D251" s="19"/>
    </row>
    <row r="252" spans="1:4" x14ac:dyDescent="0.3">
      <c r="A252" s="17"/>
      <c r="B252" s="18"/>
      <c r="C252" s="18"/>
      <c r="D252" s="19"/>
    </row>
    <row r="253" spans="1:4" x14ac:dyDescent="0.3">
      <c r="A253" s="17"/>
      <c r="B253" s="18"/>
      <c r="C253" s="18"/>
      <c r="D253" s="19"/>
    </row>
    <row r="254" spans="1:4" x14ac:dyDescent="0.3">
      <c r="A254" s="17"/>
      <c r="B254" s="18"/>
      <c r="C254" s="18"/>
      <c r="D254" s="19"/>
    </row>
    <row r="255" spans="1:4" x14ac:dyDescent="0.3">
      <c r="A255" s="17"/>
      <c r="B255" s="18"/>
      <c r="C255" s="18"/>
      <c r="D255" s="19"/>
    </row>
    <row r="256" spans="1:4" x14ac:dyDescent="0.3">
      <c r="A256" s="17"/>
      <c r="B256" s="18"/>
      <c r="C256" s="18"/>
      <c r="D256" s="19"/>
    </row>
    <row r="257" spans="1:4" x14ac:dyDescent="0.3">
      <c r="A257" s="17"/>
      <c r="B257" s="18"/>
      <c r="C257" s="18"/>
      <c r="D257" s="19"/>
    </row>
    <row r="258" spans="1:4" x14ac:dyDescent="0.3">
      <c r="A258" s="17"/>
      <c r="B258" s="18"/>
      <c r="C258" s="18"/>
      <c r="D258" s="19"/>
    </row>
    <row r="259" spans="1:4" x14ac:dyDescent="0.3">
      <c r="A259" s="17"/>
      <c r="B259" s="18"/>
      <c r="C259" s="18"/>
      <c r="D259" s="19"/>
    </row>
    <row r="260" spans="1:4" x14ac:dyDescent="0.3">
      <c r="A260" s="17"/>
      <c r="B260" s="18"/>
      <c r="C260" s="18"/>
      <c r="D260" s="19"/>
    </row>
    <row r="261" spans="1:4" x14ac:dyDescent="0.3">
      <c r="A261" s="17"/>
      <c r="B261" s="18"/>
      <c r="C261" s="18"/>
      <c r="D261" s="19"/>
    </row>
    <row r="262" spans="1:4" x14ac:dyDescent="0.3">
      <c r="A262" s="17"/>
      <c r="B262" s="18"/>
      <c r="C262" s="18"/>
      <c r="D262" s="19"/>
    </row>
    <row r="263" spans="1:4" x14ac:dyDescent="0.3">
      <c r="A263" s="17"/>
      <c r="B263" s="18"/>
      <c r="C263" s="18"/>
      <c r="D263" s="19"/>
    </row>
    <row r="264" spans="1:4" x14ac:dyDescent="0.3">
      <c r="A264" s="17"/>
      <c r="B264" s="18"/>
      <c r="C264" s="18"/>
      <c r="D264" s="19"/>
    </row>
    <row r="265" spans="1:4" x14ac:dyDescent="0.3">
      <c r="A265" s="17"/>
      <c r="B265" s="18"/>
      <c r="C265" s="18"/>
      <c r="D265" s="19"/>
    </row>
    <row r="266" spans="1:4" x14ac:dyDescent="0.3">
      <c r="A266" s="17"/>
      <c r="B266" s="18"/>
      <c r="C266" s="18"/>
      <c r="D266" s="19"/>
    </row>
    <row r="267" spans="1:4" x14ac:dyDescent="0.3">
      <c r="A267" s="17"/>
      <c r="B267" s="18"/>
      <c r="C267" s="18"/>
      <c r="D267" s="19"/>
    </row>
    <row r="268" spans="1:4" x14ac:dyDescent="0.3">
      <c r="A268" s="17"/>
      <c r="B268" s="18"/>
      <c r="C268" s="18"/>
      <c r="D268" s="19"/>
    </row>
    <row r="269" spans="1:4" x14ac:dyDescent="0.3">
      <c r="A269" s="17"/>
      <c r="B269" s="18"/>
      <c r="C269" s="18"/>
      <c r="D269" s="19"/>
    </row>
    <row r="270" spans="1:4" x14ac:dyDescent="0.3">
      <c r="A270" s="17"/>
      <c r="B270" s="18"/>
      <c r="C270" s="18"/>
      <c r="D270" s="19"/>
    </row>
    <row r="271" spans="1:4" x14ac:dyDescent="0.3">
      <c r="A271" s="17"/>
      <c r="B271" s="18"/>
      <c r="C271" s="18"/>
      <c r="D271" s="19"/>
    </row>
    <row r="272" spans="1:4" x14ac:dyDescent="0.3">
      <c r="A272" s="17"/>
      <c r="B272" s="18"/>
      <c r="C272" s="18"/>
      <c r="D272" s="19"/>
    </row>
    <row r="273" spans="1:4" x14ac:dyDescent="0.3">
      <c r="A273" s="17"/>
      <c r="B273" s="18"/>
      <c r="C273" s="18"/>
      <c r="D273" s="19"/>
    </row>
    <row r="274" spans="1:4" x14ac:dyDescent="0.3">
      <c r="A274" s="17"/>
      <c r="B274" s="18"/>
      <c r="C274" s="18"/>
      <c r="D274" s="19"/>
    </row>
    <row r="275" spans="1:4" x14ac:dyDescent="0.3">
      <c r="A275" s="17"/>
      <c r="B275" s="18"/>
      <c r="C275" s="18"/>
      <c r="D275" s="19"/>
    </row>
    <row r="276" spans="1:4" x14ac:dyDescent="0.3">
      <c r="A276" s="17"/>
      <c r="B276" s="18"/>
      <c r="C276" s="18"/>
      <c r="D276" s="19"/>
    </row>
    <row r="277" spans="1:4" x14ac:dyDescent="0.3">
      <c r="A277" s="17"/>
      <c r="B277" s="18"/>
      <c r="C277" s="18"/>
      <c r="D277" s="19"/>
    </row>
    <row r="278" spans="1:4" x14ac:dyDescent="0.3">
      <c r="A278" s="17"/>
      <c r="B278" s="18"/>
      <c r="C278" s="18"/>
      <c r="D278" s="19"/>
    </row>
    <row r="279" spans="1:4" x14ac:dyDescent="0.3">
      <c r="A279" s="17"/>
      <c r="B279" s="18"/>
      <c r="C279" s="18"/>
      <c r="D279" s="19"/>
    </row>
    <row r="280" spans="1:4" x14ac:dyDescent="0.3">
      <c r="A280" s="17"/>
      <c r="B280" s="18"/>
      <c r="C280" s="18"/>
      <c r="D280" s="19"/>
    </row>
    <row r="281" spans="1:4" x14ac:dyDescent="0.3">
      <c r="A281" s="17"/>
      <c r="B281" s="18"/>
      <c r="C281" s="18"/>
      <c r="D281" s="19"/>
    </row>
    <row r="282" spans="1:4" x14ac:dyDescent="0.3">
      <c r="A282" s="17"/>
      <c r="B282" s="18"/>
      <c r="C282" s="18"/>
      <c r="D282" s="19"/>
    </row>
    <row r="283" spans="1:4" x14ac:dyDescent="0.3">
      <c r="A283" s="17"/>
      <c r="B283" s="18"/>
      <c r="C283" s="18"/>
      <c r="D283" s="19"/>
    </row>
    <row r="284" spans="1:4" x14ac:dyDescent="0.3">
      <c r="A284" s="17"/>
      <c r="B284" s="18"/>
      <c r="C284" s="18"/>
      <c r="D284" s="19"/>
    </row>
    <row r="285" spans="1:4" x14ac:dyDescent="0.3">
      <c r="A285" s="17"/>
      <c r="B285" s="18"/>
      <c r="C285" s="18"/>
      <c r="D285" s="19"/>
    </row>
    <row r="286" spans="1:4" x14ac:dyDescent="0.3">
      <c r="A286" s="17"/>
      <c r="B286" s="18"/>
      <c r="C286" s="18"/>
      <c r="D286" s="19"/>
    </row>
    <row r="287" spans="1:4" x14ac:dyDescent="0.3">
      <c r="A287" s="17"/>
      <c r="B287" s="18"/>
      <c r="C287" s="18"/>
      <c r="D287" s="19"/>
    </row>
    <row r="288" spans="1:4" x14ac:dyDescent="0.3">
      <c r="A288" s="17"/>
      <c r="B288" s="18"/>
      <c r="C288" s="18"/>
      <c r="D288" s="19"/>
    </row>
    <row r="289" spans="1:4" x14ac:dyDescent="0.3">
      <c r="A289" s="17"/>
      <c r="B289" s="18"/>
      <c r="C289" s="18"/>
      <c r="D289" s="19"/>
    </row>
    <row r="290" spans="1:4" x14ac:dyDescent="0.3">
      <c r="A290" s="17"/>
      <c r="B290" s="18"/>
      <c r="C290" s="18"/>
      <c r="D290" s="19"/>
    </row>
    <row r="291" spans="1:4" x14ac:dyDescent="0.3">
      <c r="A291" s="17"/>
      <c r="B291" s="18"/>
      <c r="C291" s="18"/>
      <c r="D291" s="19"/>
    </row>
    <row r="292" spans="1:4" x14ac:dyDescent="0.3">
      <c r="A292" s="17"/>
      <c r="B292" s="18"/>
      <c r="C292" s="18"/>
      <c r="D292" s="19"/>
    </row>
    <row r="293" spans="1:4" x14ac:dyDescent="0.3">
      <c r="A293" s="17"/>
      <c r="B293" s="18"/>
      <c r="C293" s="18"/>
      <c r="D293" s="19"/>
    </row>
    <row r="294" spans="1:4" x14ac:dyDescent="0.3">
      <c r="A294" s="17"/>
      <c r="B294" s="18"/>
      <c r="C294" s="18"/>
      <c r="D294" s="19"/>
    </row>
    <row r="295" spans="1:4" x14ac:dyDescent="0.3">
      <c r="A295" s="17"/>
      <c r="B295" s="18"/>
      <c r="C295" s="18"/>
      <c r="D295" s="19"/>
    </row>
    <row r="296" spans="1:4" x14ac:dyDescent="0.3">
      <c r="A296" s="17"/>
      <c r="B296" s="18"/>
      <c r="C296" s="18"/>
      <c r="D296" s="19"/>
    </row>
    <row r="297" spans="1:4" x14ac:dyDescent="0.3">
      <c r="A297" s="17"/>
      <c r="B297" s="18"/>
      <c r="C297" s="18"/>
      <c r="D297" s="19"/>
    </row>
    <row r="298" spans="1:4" x14ac:dyDescent="0.3">
      <c r="A298" s="17"/>
      <c r="B298" s="18"/>
      <c r="C298" s="18"/>
      <c r="D298" s="19"/>
    </row>
    <row r="299" spans="1:4" x14ac:dyDescent="0.3">
      <c r="A299" s="17"/>
      <c r="B299" s="18"/>
      <c r="C299" s="18"/>
      <c r="D299" s="19"/>
    </row>
    <row r="300" spans="1:4" x14ac:dyDescent="0.3">
      <c r="A300" s="17"/>
      <c r="B300" s="18"/>
      <c r="C300" s="18"/>
      <c r="D300" s="19"/>
    </row>
    <row r="301" spans="1:4" x14ac:dyDescent="0.3">
      <c r="A301" s="17"/>
      <c r="B301" s="18"/>
      <c r="C301" s="18"/>
      <c r="D301" s="19"/>
    </row>
    <row r="302" spans="1:4" x14ac:dyDescent="0.3">
      <c r="A302" s="17"/>
      <c r="B302" s="18"/>
      <c r="C302" s="18"/>
      <c r="D302" s="19"/>
    </row>
    <row r="303" spans="1:4" x14ac:dyDescent="0.3">
      <c r="A303" s="17"/>
      <c r="B303" s="18"/>
      <c r="C303" s="18"/>
      <c r="D303" s="19"/>
    </row>
    <row r="304" spans="1:4" x14ac:dyDescent="0.3">
      <c r="A304" s="17"/>
      <c r="B304" s="18"/>
      <c r="C304" s="18"/>
      <c r="D304" s="19"/>
    </row>
    <row r="305" spans="1:4" x14ac:dyDescent="0.3">
      <c r="A305" s="17"/>
      <c r="B305" s="18"/>
      <c r="C305" s="18"/>
      <c r="D305" s="19"/>
    </row>
    <row r="306" spans="1:4" x14ac:dyDescent="0.3">
      <c r="A306" s="17"/>
      <c r="B306" s="18"/>
      <c r="C306" s="18"/>
      <c r="D306" s="19"/>
    </row>
    <row r="307" spans="1:4" x14ac:dyDescent="0.3">
      <c r="A307" s="17"/>
      <c r="B307" s="18"/>
      <c r="C307" s="18"/>
      <c r="D307" s="19"/>
    </row>
    <row r="308" spans="1:4" x14ac:dyDescent="0.3">
      <c r="A308" s="17"/>
      <c r="B308" s="18"/>
      <c r="C308" s="18"/>
      <c r="D308" s="19"/>
    </row>
    <row r="309" spans="1:4" x14ac:dyDescent="0.3">
      <c r="A309" s="17"/>
      <c r="B309" s="18"/>
      <c r="C309" s="18"/>
      <c r="D309" s="19"/>
    </row>
    <row r="310" spans="1:4" x14ac:dyDescent="0.3">
      <c r="A310" s="17"/>
      <c r="B310" s="18"/>
      <c r="C310" s="18"/>
      <c r="D310" s="19"/>
    </row>
    <row r="311" spans="1:4" x14ac:dyDescent="0.3">
      <c r="A311" s="17"/>
      <c r="B311" s="18"/>
      <c r="C311" s="18"/>
      <c r="D311" s="19"/>
    </row>
    <row r="312" spans="1:4" x14ac:dyDescent="0.3">
      <c r="A312" s="17"/>
      <c r="B312" s="18"/>
      <c r="C312" s="18"/>
      <c r="D312" s="19"/>
    </row>
    <row r="313" spans="1:4" x14ac:dyDescent="0.3">
      <c r="A313" s="17"/>
      <c r="B313" s="18"/>
      <c r="C313" s="18"/>
      <c r="D313" s="19"/>
    </row>
    <row r="314" spans="1:4" x14ac:dyDescent="0.3">
      <c r="A314" s="17"/>
      <c r="B314" s="18"/>
      <c r="C314" s="18"/>
      <c r="D314" s="19"/>
    </row>
    <row r="315" spans="1:4" x14ac:dyDescent="0.3">
      <c r="A315" s="17"/>
      <c r="B315" s="18"/>
      <c r="C315" s="18"/>
      <c r="D315" s="19"/>
    </row>
    <row r="316" spans="1:4" x14ac:dyDescent="0.3">
      <c r="A316" s="17"/>
      <c r="B316" s="18"/>
      <c r="C316" s="18"/>
      <c r="D316" s="19"/>
    </row>
    <row r="317" spans="1:4" x14ac:dyDescent="0.3">
      <c r="A317" s="17"/>
      <c r="B317" s="18"/>
      <c r="C317" s="18"/>
      <c r="D317" s="19"/>
    </row>
    <row r="318" spans="1:4" x14ac:dyDescent="0.3">
      <c r="A318" s="17"/>
      <c r="B318" s="18"/>
      <c r="C318" s="18"/>
      <c r="D318" s="19"/>
    </row>
    <row r="319" spans="1:4" x14ac:dyDescent="0.3">
      <c r="A319" s="17"/>
      <c r="B319" s="18"/>
      <c r="C319" s="18"/>
      <c r="D319" s="19"/>
    </row>
    <row r="320" spans="1:4" x14ac:dyDescent="0.3">
      <c r="A320" s="17"/>
      <c r="B320" s="18"/>
      <c r="C320" s="18"/>
      <c r="D320" s="19"/>
    </row>
    <row r="321" spans="1:4" x14ac:dyDescent="0.3">
      <c r="A321" s="17"/>
      <c r="B321" s="18"/>
      <c r="C321" s="18"/>
      <c r="D321" s="19"/>
    </row>
    <row r="322" spans="1:4" x14ac:dyDescent="0.3">
      <c r="A322" s="17"/>
      <c r="B322" s="18"/>
      <c r="C322" s="18"/>
      <c r="D322" s="19"/>
    </row>
    <row r="323" spans="1:4" x14ac:dyDescent="0.3">
      <c r="A323" s="17"/>
      <c r="B323" s="18"/>
      <c r="C323" s="18"/>
      <c r="D323" s="19"/>
    </row>
    <row r="324" spans="1:4" x14ac:dyDescent="0.3">
      <c r="A324" s="17"/>
      <c r="B324" s="18"/>
      <c r="C324" s="18"/>
      <c r="D324" s="19"/>
    </row>
    <row r="325" spans="1:4" x14ac:dyDescent="0.3">
      <c r="A325" s="17"/>
      <c r="B325" s="18"/>
      <c r="C325" s="18"/>
      <c r="D325" s="19"/>
    </row>
    <row r="326" spans="1:4" x14ac:dyDescent="0.3">
      <c r="A326" s="17"/>
      <c r="B326" s="18"/>
      <c r="C326" s="18"/>
      <c r="D326" s="19"/>
    </row>
    <row r="327" spans="1:4" x14ac:dyDescent="0.3">
      <c r="A327" s="17"/>
      <c r="B327" s="18"/>
      <c r="C327" s="18"/>
      <c r="D327" s="19"/>
    </row>
    <row r="328" spans="1:4" x14ac:dyDescent="0.3">
      <c r="A328" s="17"/>
      <c r="B328" s="18"/>
      <c r="C328" s="18"/>
      <c r="D328" s="19"/>
    </row>
    <row r="329" spans="1:4" x14ac:dyDescent="0.3">
      <c r="A329" s="17"/>
      <c r="B329" s="18"/>
      <c r="C329" s="18"/>
      <c r="D329" s="19"/>
    </row>
    <row r="330" spans="1:4" x14ac:dyDescent="0.3">
      <c r="A330" s="17"/>
      <c r="B330" s="18"/>
      <c r="C330" s="18"/>
      <c r="D330" s="19"/>
    </row>
    <row r="331" spans="1:4" x14ac:dyDescent="0.3">
      <c r="A331" s="17"/>
      <c r="B331" s="18"/>
      <c r="C331" s="18"/>
      <c r="D331" s="19"/>
    </row>
    <row r="332" spans="1:4" x14ac:dyDescent="0.3">
      <c r="A332" s="17"/>
      <c r="B332" s="18"/>
      <c r="C332" s="18"/>
      <c r="D332" s="19"/>
    </row>
    <row r="333" spans="1:4" x14ac:dyDescent="0.3">
      <c r="A333" s="17"/>
      <c r="B333" s="18"/>
      <c r="C333" s="18"/>
      <c r="D333" s="19"/>
    </row>
    <row r="334" spans="1:4" x14ac:dyDescent="0.3">
      <c r="A334" s="17"/>
      <c r="B334" s="18"/>
      <c r="C334" s="18"/>
      <c r="D334" s="19"/>
    </row>
    <row r="335" spans="1:4" x14ac:dyDescent="0.3">
      <c r="A335" s="17"/>
      <c r="B335" s="18"/>
      <c r="C335" s="18"/>
      <c r="D335" s="19"/>
    </row>
    <row r="336" spans="1:4" x14ac:dyDescent="0.3">
      <c r="A336" s="17"/>
      <c r="B336" s="18"/>
      <c r="C336" s="18"/>
      <c r="D336" s="19"/>
    </row>
    <row r="337" spans="1:4" x14ac:dyDescent="0.3">
      <c r="A337" s="17"/>
      <c r="B337" s="18"/>
      <c r="C337" s="18"/>
      <c r="D337" s="19"/>
    </row>
    <row r="338" spans="1:4" x14ac:dyDescent="0.3">
      <c r="A338" s="17"/>
      <c r="B338" s="18"/>
      <c r="C338" s="18"/>
      <c r="D338" s="19"/>
    </row>
    <row r="339" spans="1:4" x14ac:dyDescent="0.3">
      <c r="A339" s="17"/>
      <c r="B339" s="18"/>
      <c r="C339" s="18"/>
      <c r="D339" s="19"/>
    </row>
    <row r="340" spans="1:4" x14ac:dyDescent="0.3">
      <c r="A340" s="17"/>
      <c r="B340" s="18"/>
      <c r="C340" s="18"/>
      <c r="D340" s="19"/>
    </row>
    <row r="341" spans="1:4" x14ac:dyDescent="0.3">
      <c r="A341" s="17"/>
      <c r="B341" s="18"/>
      <c r="C341" s="18"/>
      <c r="D341" s="19"/>
    </row>
    <row r="342" spans="1:4" x14ac:dyDescent="0.3">
      <c r="A342" s="17"/>
      <c r="B342" s="18"/>
      <c r="C342" s="18"/>
      <c r="D342" s="19"/>
    </row>
    <row r="343" spans="1:4" x14ac:dyDescent="0.3">
      <c r="A343" s="17"/>
      <c r="B343" s="18"/>
      <c r="C343" s="18"/>
      <c r="D343" s="19"/>
    </row>
    <row r="344" spans="1:4" x14ac:dyDescent="0.3">
      <c r="A344" s="17"/>
      <c r="B344" s="18"/>
      <c r="C344" s="18"/>
      <c r="D344" s="19"/>
    </row>
    <row r="345" spans="1:4" x14ac:dyDescent="0.3">
      <c r="A345" s="17"/>
      <c r="B345" s="18"/>
      <c r="C345" s="18"/>
      <c r="D345" s="19"/>
    </row>
    <row r="346" spans="1:4" x14ac:dyDescent="0.3">
      <c r="A346" s="17"/>
      <c r="B346" s="18"/>
      <c r="C346" s="18"/>
      <c r="D346" s="19"/>
    </row>
    <row r="347" spans="1:4" x14ac:dyDescent="0.3">
      <c r="A347" s="17"/>
      <c r="B347" s="18"/>
      <c r="C347" s="18"/>
      <c r="D347" s="19"/>
    </row>
    <row r="348" spans="1:4" x14ac:dyDescent="0.3">
      <c r="A348" s="17"/>
      <c r="B348" s="18"/>
      <c r="C348" s="18"/>
      <c r="D348" s="19"/>
    </row>
    <row r="349" spans="1:4" x14ac:dyDescent="0.3">
      <c r="A349" s="17"/>
      <c r="B349" s="18"/>
      <c r="C349" s="18"/>
      <c r="D349" s="19"/>
    </row>
    <row r="350" spans="1:4" x14ac:dyDescent="0.3">
      <c r="A350" s="17"/>
      <c r="B350" s="18"/>
      <c r="C350" s="18"/>
      <c r="D350" s="19"/>
    </row>
    <row r="351" spans="1:4" x14ac:dyDescent="0.3">
      <c r="A351" s="17"/>
      <c r="B351" s="18"/>
      <c r="C351" s="18"/>
      <c r="D351" s="19"/>
    </row>
    <row r="352" spans="1:4" x14ac:dyDescent="0.3">
      <c r="A352" s="17"/>
      <c r="B352" s="18"/>
      <c r="C352" s="18"/>
      <c r="D352" s="19"/>
    </row>
    <row r="353" spans="1:4" x14ac:dyDescent="0.3">
      <c r="A353" s="17"/>
      <c r="B353" s="18"/>
      <c r="C353" s="18"/>
      <c r="D353" s="19"/>
    </row>
    <row r="354" spans="1:4" x14ac:dyDescent="0.3">
      <c r="A354" s="17"/>
      <c r="B354" s="18"/>
      <c r="C354" s="18"/>
      <c r="D354" s="19"/>
    </row>
    <row r="355" spans="1:4" x14ac:dyDescent="0.3">
      <c r="A355" s="17"/>
      <c r="B355" s="18"/>
      <c r="C355" s="18"/>
      <c r="D355" s="19"/>
    </row>
    <row r="356" spans="1:4" x14ac:dyDescent="0.3">
      <c r="A356" s="17"/>
      <c r="B356" s="18"/>
      <c r="C356" s="18"/>
      <c r="D356" s="19"/>
    </row>
    <row r="357" spans="1:4" x14ac:dyDescent="0.3">
      <c r="A357" s="17"/>
      <c r="B357" s="18"/>
      <c r="C357" s="18"/>
      <c r="D357" s="19"/>
    </row>
    <row r="358" spans="1:4" x14ac:dyDescent="0.3">
      <c r="A358" s="17"/>
      <c r="B358" s="18"/>
      <c r="C358" s="18"/>
      <c r="D358" s="19"/>
    </row>
    <row r="359" spans="1:4" x14ac:dyDescent="0.3">
      <c r="A359" s="17"/>
      <c r="B359" s="18"/>
      <c r="C359" s="18"/>
      <c r="D359" s="19"/>
    </row>
    <row r="360" spans="1:4" x14ac:dyDescent="0.3">
      <c r="A360" s="17"/>
      <c r="B360" s="18"/>
      <c r="C360" s="18"/>
      <c r="D360" s="19"/>
    </row>
    <row r="361" spans="1:4" x14ac:dyDescent="0.3">
      <c r="A361" s="17"/>
      <c r="B361" s="18"/>
      <c r="C361" s="18"/>
      <c r="D361" s="19"/>
    </row>
    <row r="362" spans="1:4" x14ac:dyDescent="0.3">
      <c r="A362" s="17"/>
      <c r="B362" s="18"/>
      <c r="C362" s="18"/>
      <c r="D362" s="19"/>
    </row>
    <row r="363" spans="1:4" x14ac:dyDescent="0.3">
      <c r="A363" s="17"/>
      <c r="B363" s="18"/>
      <c r="C363" s="18"/>
      <c r="D363" s="19"/>
    </row>
    <row r="364" spans="1:4" x14ac:dyDescent="0.3">
      <c r="A364" s="17"/>
      <c r="B364" s="18"/>
      <c r="C364" s="18"/>
      <c r="D364" s="19"/>
    </row>
    <row r="365" spans="1:4" x14ac:dyDescent="0.3">
      <c r="A365" s="17"/>
      <c r="B365" s="18"/>
      <c r="C365" s="18"/>
      <c r="D365" s="19"/>
    </row>
    <row r="366" spans="1:4" x14ac:dyDescent="0.3">
      <c r="A366" s="17"/>
      <c r="B366" s="18"/>
      <c r="C366" s="18"/>
      <c r="D366" s="19"/>
    </row>
    <row r="367" spans="1:4" x14ac:dyDescent="0.3">
      <c r="A367" s="17"/>
      <c r="B367" s="18"/>
      <c r="C367" s="18"/>
      <c r="D367" s="19"/>
    </row>
    <row r="368" spans="1:4" x14ac:dyDescent="0.3">
      <c r="A368" s="17"/>
      <c r="B368" s="18"/>
      <c r="C368" s="18"/>
      <c r="D368" s="19"/>
    </row>
    <row r="369" spans="1:4" x14ac:dyDescent="0.3">
      <c r="A369" s="17"/>
      <c r="B369" s="18"/>
      <c r="C369" s="18"/>
      <c r="D369" s="19"/>
    </row>
    <row r="370" spans="1:4" x14ac:dyDescent="0.3">
      <c r="A370" s="17"/>
      <c r="B370" s="18"/>
      <c r="C370" s="18"/>
      <c r="D370" s="19"/>
    </row>
    <row r="371" spans="1:4" x14ac:dyDescent="0.3">
      <c r="A371" s="17"/>
      <c r="B371" s="18"/>
      <c r="C371" s="18"/>
      <c r="D371" s="19"/>
    </row>
    <row r="372" spans="1:4" x14ac:dyDescent="0.3">
      <c r="A372" s="17"/>
      <c r="B372" s="18"/>
      <c r="C372" s="18"/>
      <c r="D372" s="19"/>
    </row>
    <row r="373" spans="1:4" x14ac:dyDescent="0.3">
      <c r="A373" s="17"/>
      <c r="B373" s="18"/>
      <c r="C373" s="18"/>
      <c r="D373" s="19"/>
    </row>
    <row r="374" spans="1:4" x14ac:dyDescent="0.3">
      <c r="A374" s="17"/>
      <c r="B374" s="18"/>
      <c r="C374" s="18"/>
      <c r="D374" s="19"/>
    </row>
    <row r="375" spans="1:4" x14ac:dyDescent="0.3">
      <c r="A375" s="17"/>
      <c r="B375" s="18"/>
      <c r="C375" s="18"/>
      <c r="D375" s="19"/>
    </row>
    <row r="376" spans="1:4" x14ac:dyDescent="0.3">
      <c r="A376" s="17"/>
      <c r="B376" s="18"/>
      <c r="C376" s="18"/>
      <c r="D376" s="19"/>
    </row>
    <row r="377" spans="1:4" x14ac:dyDescent="0.3">
      <c r="A377" s="17"/>
      <c r="B377" s="18"/>
      <c r="C377" s="18"/>
      <c r="D377" s="19"/>
    </row>
    <row r="378" spans="1:4" x14ac:dyDescent="0.3">
      <c r="A378" s="17"/>
      <c r="B378" s="18"/>
      <c r="C378" s="18"/>
      <c r="D378" s="19"/>
    </row>
    <row r="379" spans="1:4" x14ac:dyDescent="0.3">
      <c r="A379" s="17"/>
      <c r="B379" s="18"/>
      <c r="C379" s="18"/>
      <c r="D379" s="19"/>
    </row>
    <row r="380" spans="1:4" x14ac:dyDescent="0.3">
      <c r="A380" s="17"/>
      <c r="B380" s="18"/>
      <c r="C380" s="18"/>
      <c r="D380" s="19"/>
    </row>
    <row r="381" spans="1:4" x14ac:dyDescent="0.3">
      <c r="A381" s="17"/>
      <c r="B381" s="18"/>
      <c r="C381" s="18"/>
      <c r="D381" s="19"/>
    </row>
    <row r="382" spans="1:4" x14ac:dyDescent="0.3">
      <c r="A382" s="17"/>
      <c r="B382" s="18"/>
      <c r="C382" s="18"/>
      <c r="D382" s="19"/>
    </row>
    <row r="383" spans="1:4" x14ac:dyDescent="0.3">
      <c r="A383" s="17"/>
      <c r="B383" s="18"/>
      <c r="C383" s="18"/>
      <c r="D383" s="19"/>
    </row>
    <row r="384" spans="1:4" x14ac:dyDescent="0.3">
      <c r="A384" s="17"/>
      <c r="B384" s="18"/>
      <c r="C384" s="18"/>
      <c r="D384" s="19"/>
    </row>
    <row r="385" spans="1:4" x14ac:dyDescent="0.3">
      <c r="A385" s="17"/>
      <c r="B385" s="18"/>
      <c r="C385" s="18"/>
      <c r="D385" s="19"/>
    </row>
    <row r="386" spans="1:4" x14ac:dyDescent="0.3">
      <c r="A386" s="17"/>
      <c r="B386" s="18"/>
      <c r="C386" s="18"/>
      <c r="D386" s="19"/>
    </row>
    <row r="387" spans="1:4" x14ac:dyDescent="0.3">
      <c r="A387" s="17"/>
      <c r="B387" s="18"/>
      <c r="C387" s="18"/>
      <c r="D387" s="19"/>
    </row>
    <row r="388" spans="1:4" x14ac:dyDescent="0.3">
      <c r="A388" s="17"/>
      <c r="B388" s="18"/>
      <c r="C388" s="18"/>
      <c r="D388" s="19"/>
    </row>
    <row r="389" spans="1:4" x14ac:dyDescent="0.3">
      <c r="A389" s="17"/>
      <c r="B389" s="18"/>
      <c r="C389" s="18"/>
      <c r="D389" s="19"/>
    </row>
    <row r="390" spans="1:4" x14ac:dyDescent="0.3">
      <c r="A390" s="17"/>
      <c r="B390" s="18"/>
      <c r="C390" s="18"/>
      <c r="D390" s="19"/>
    </row>
    <row r="391" spans="1:4" x14ac:dyDescent="0.3">
      <c r="A391" s="17"/>
      <c r="B391" s="18"/>
      <c r="C391" s="18"/>
      <c r="D391" s="19"/>
    </row>
    <row r="392" spans="1:4" x14ac:dyDescent="0.3">
      <c r="A392" s="17"/>
      <c r="B392" s="18"/>
      <c r="C392" s="18"/>
      <c r="D392" s="19"/>
    </row>
    <row r="393" spans="1:4" x14ac:dyDescent="0.3">
      <c r="A393" s="17"/>
      <c r="B393" s="18"/>
      <c r="C393" s="18"/>
      <c r="D393" s="19"/>
    </row>
    <row r="394" spans="1:4" x14ac:dyDescent="0.3">
      <c r="A394" s="17"/>
      <c r="B394" s="18"/>
      <c r="C394" s="18"/>
      <c r="D394" s="19"/>
    </row>
    <row r="395" spans="1:4" x14ac:dyDescent="0.3">
      <c r="A395" s="17"/>
      <c r="B395" s="18"/>
      <c r="C395" s="18"/>
      <c r="D395" s="19"/>
    </row>
    <row r="396" spans="1:4" x14ac:dyDescent="0.3">
      <c r="A396" s="17"/>
      <c r="B396" s="18"/>
      <c r="C396" s="18"/>
      <c r="D396" s="19"/>
    </row>
    <row r="397" spans="1:4" x14ac:dyDescent="0.3">
      <c r="A397" s="17"/>
      <c r="B397" s="18"/>
      <c r="C397" s="18"/>
      <c r="D397" s="19"/>
    </row>
    <row r="398" spans="1:4" x14ac:dyDescent="0.3">
      <c r="A398" s="17"/>
      <c r="B398" s="18"/>
      <c r="C398" s="18"/>
      <c r="D398" s="19"/>
    </row>
    <row r="399" spans="1:4" x14ac:dyDescent="0.3">
      <c r="A399" s="17"/>
      <c r="B399" s="18"/>
      <c r="C399" s="18"/>
      <c r="D399" s="19"/>
    </row>
    <row r="400" spans="1:4" x14ac:dyDescent="0.3">
      <c r="A400" s="17"/>
      <c r="B400" s="18"/>
      <c r="C400" s="18"/>
      <c r="D400" s="19"/>
    </row>
    <row r="401" spans="1:4" x14ac:dyDescent="0.3">
      <c r="A401" s="17"/>
      <c r="B401" s="18"/>
      <c r="C401" s="18"/>
      <c r="D401" s="19"/>
    </row>
    <row r="402" spans="1:4" x14ac:dyDescent="0.3">
      <c r="A402" s="17"/>
      <c r="B402" s="18"/>
      <c r="C402" s="18"/>
      <c r="D402" s="19"/>
    </row>
    <row r="403" spans="1:4" x14ac:dyDescent="0.3">
      <c r="A403" s="17"/>
      <c r="B403" s="18"/>
      <c r="C403" s="18"/>
      <c r="D403" s="19"/>
    </row>
    <row r="404" spans="1:4" x14ac:dyDescent="0.3">
      <c r="A404" s="17"/>
      <c r="B404" s="18"/>
      <c r="C404" s="18"/>
      <c r="D404" s="19"/>
    </row>
    <row r="405" spans="1:4" x14ac:dyDescent="0.3">
      <c r="A405" s="17"/>
      <c r="B405" s="18"/>
      <c r="C405" s="18"/>
      <c r="D405" s="19"/>
    </row>
    <row r="406" spans="1:4" x14ac:dyDescent="0.3">
      <c r="A406" s="17"/>
      <c r="B406" s="18"/>
      <c r="C406" s="18"/>
      <c r="D406" s="19"/>
    </row>
    <row r="407" spans="1:4" x14ac:dyDescent="0.3">
      <c r="A407" s="17"/>
      <c r="B407" s="18"/>
      <c r="C407" s="18"/>
      <c r="D407" s="19"/>
    </row>
    <row r="408" spans="1:4" x14ac:dyDescent="0.3">
      <c r="A408" s="17"/>
      <c r="B408" s="18"/>
      <c r="C408" s="18"/>
      <c r="D408" s="19"/>
    </row>
    <row r="409" spans="1:4" x14ac:dyDescent="0.3">
      <c r="A409" s="17"/>
      <c r="B409" s="18"/>
      <c r="C409" s="18"/>
      <c r="D409" s="19"/>
    </row>
    <row r="410" spans="1:4" x14ac:dyDescent="0.3">
      <c r="A410" s="17"/>
      <c r="B410" s="18"/>
      <c r="C410" s="18"/>
      <c r="D410" s="19"/>
    </row>
    <row r="411" spans="1:4" x14ac:dyDescent="0.3">
      <c r="A411" s="17"/>
      <c r="B411" s="18"/>
      <c r="C411" s="18"/>
      <c r="D411" s="19"/>
    </row>
    <row r="412" spans="1:4" x14ac:dyDescent="0.3">
      <c r="A412" s="17"/>
      <c r="B412" s="18"/>
      <c r="C412" s="18"/>
      <c r="D412" s="19"/>
    </row>
    <row r="413" spans="1:4" x14ac:dyDescent="0.3">
      <c r="A413" s="17"/>
      <c r="B413" s="18"/>
      <c r="C413" s="18"/>
      <c r="D413" s="19"/>
    </row>
    <row r="414" spans="1:4" x14ac:dyDescent="0.3">
      <c r="A414" s="17"/>
      <c r="B414" s="18"/>
      <c r="C414" s="18"/>
      <c r="D414" s="19"/>
    </row>
    <row r="415" spans="1:4" x14ac:dyDescent="0.3">
      <c r="A415" s="17"/>
      <c r="B415" s="18"/>
      <c r="C415" s="18"/>
      <c r="D415" s="19"/>
    </row>
    <row r="416" spans="1:4" x14ac:dyDescent="0.3">
      <c r="A416" s="17"/>
      <c r="B416" s="18"/>
      <c r="C416" s="18"/>
      <c r="D416" s="19"/>
    </row>
    <row r="417" spans="1:4" x14ac:dyDescent="0.3">
      <c r="A417" s="17"/>
      <c r="B417" s="18"/>
      <c r="C417" s="18"/>
      <c r="D417" s="19"/>
    </row>
    <row r="418" spans="1:4" x14ac:dyDescent="0.3">
      <c r="A418" s="17"/>
      <c r="B418" s="18"/>
      <c r="C418" s="18"/>
      <c r="D418" s="19"/>
    </row>
    <row r="419" spans="1:4" x14ac:dyDescent="0.3">
      <c r="A419" s="17"/>
      <c r="B419" s="18"/>
      <c r="C419" s="18"/>
      <c r="D419" s="19"/>
    </row>
    <row r="420" spans="1:4" x14ac:dyDescent="0.3">
      <c r="A420" s="17"/>
      <c r="B420" s="18"/>
      <c r="C420" s="18"/>
      <c r="D420" s="19"/>
    </row>
    <row r="421" spans="1:4" x14ac:dyDescent="0.3">
      <c r="A421" s="17"/>
      <c r="B421" s="18"/>
      <c r="C421" s="18"/>
      <c r="D421" s="19"/>
    </row>
    <row r="422" spans="1:4" x14ac:dyDescent="0.3">
      <c r="A422" s="17"/>
      <c r="B422" s="18"/>
      <c r="C422" s="18"/>
      <c r="D422" s="19"/>
    </row>
    <row r="423" spans="1:4" x14ac:dyDescent="0.3">
      <c r="A423" s="17"/>
      <c r="B423" s="18"/>
      <c r="C423" s="18"/>
      <c r="D423" s="19"/>
    </row>
    <row r="424" spans="1:4" x14ac:dyDescent="0.3">
      <c r="A424" s="17"/>
      <c r="B424" s="18"/>
      <c r="C424" s="18"/>
      <c r="D424" s="19"/>
    </row>
    <row r="425" spans="1:4" x14ac:dyDescent="0.3">
      <c r="A425" s="17"/>
      <c r="B425" s="18"/>
      <c r="C425" s="18"/>
      <c r="D425" s="19"/>
    </row>
    <row r="426" spans="1:4" x14ac:dyDescent="0.3">
      <c r="A426" s="17"/>
      <c r="B426" s="18"/>
      <c r="C426" s="18"/>
      <c r="D426" s="19"/>
    </row>
    <row r="427" spans="1:4" x14ac:dyDescent="0.3">
      <c r="A427" s="17"/>
      <c r="B427" s="18"/>
      <c r="C427" s="18"/>
      <c r="D427" s="19"/>
    </row>
    <row r="428" spans="1:4" x14ac:dyDescent="0.3">
      <c r="A428" s="17"/>
      <c r="B428" s="18"/>
      <c r="C428" s="18"/>
      <c r="D428" s="19"/>
    </row>
    <row r="429" spans="1:4" x14ac:dyDescent="0.3">
      <c r="A429" s="17"/>
      <c r="B429" s="18"/>
      <c r="C429" s="18"/>
      <c r="D429" s="19"/>
    </row>
    <row r="430" spans="1:4" x14ac:dyDescent="0.3">
      <c r="A430" s="17"/>
      <c r="B430" s="18"/>
      <c r="C430" s="18"/>
      <c r="D430" s="19"/>
    </row>
    <row r="431" spans="1:4" x14ac:dyDescent="0.3">
      <c r="A431" s="17"/>
      <c r="B431" s="18"/>
      <c r="C431" s="18"/>
      <c r="D431" s="19"/>
    </row>
    <row r="432" spans="1:4" x14ac:dyDescent="0.3">
      <c r="A432" s="17"/>
      <c r="B432" s="18"/>
      <c r="C432" s="18"/>
      <c r="D432" s="19"/>
    </row>
    <row r="433" spans="1:4" x14ac:dyDescent="0.3">
      <c r="A433" s="17"/>
      <c r="B433" s="18"/>
      <c r="C433" s="18"/>
      <c r="D433" s="19"/>
    </row>
    <row r="434" spans="1:4" x14ac:dyDescent="0.3">
      <c r="A434" s="17"/>
      <c r="B434" s="18"/>
      <c r="C434" s="18"/>
      <c r="D434" s="19"/>
    </row>
    <row r="435" spans="1:4" x14ac:dyDescent="0.3">
      <c r="A435" s="17"/>
      <c r="B435" s="18"/>
      <c r="C435" s="18"/>
      <c r="D435" s="19"/>
    </row>
    <row r="436" spans="1:4" x14ac:dyDescent="0.3">
      <c r="A436" s="17"/>
      <c r="B436" s="18"/>
      <c r="C436" s="18"/>
      <c r="D436" s="19"/>
    </row>
    <row r="437" spans="1:4" x14ac:dyDescent="0.3">
      <c r="A437" s="17"/>
      <c r="B437" s="18"/>
      <c r="C437" s="18"/>
      <c r="D437" s="19"/>
    </row>
    <row r="438" spans="1:4" x14ac:dyDescent="0.3">
      <c r="A438" s="17"/>
      <c r="B438" s="18"/>
      <c r="C438" s="18"/>
      <c r="D438" s="19"/>
    </row>
    <row r="439" spans="1:4" x14ac:dyDescent="0.3">
      <c r="A439" s="17"/>
      <c r="B439" s="18"/>
      <c r="C439" s="18"/>
      <c r="D439" s="19"/>
    </row>
    <row r="440" spans="1:4" x14ac:dyDescent="0.3">
      <c r="A440" s="17"/>
      <c r="B440" s="18"/>
      <c r="C440" s="18"/>
      <c r="D440" s="19"/>
    </row>
    <row r="441" spans="1:4" x14ac:dyDescent="0.3">
      <c r="A441" s="17"/>
      <c r="B441" s="18"/>
      <c r="C441" s="18"/>
      <c r="D441" s="19"/>
    </row>
    <row r="442" spans="1:4" x14ac:dyDescent="0.3">
      <c r="A442" s="17"/>
      <c r="B442" s="18"/>
      <c r="C442" s="18"/>
      <c r="D442" s="19"/>
    </row>
    <row r="443" spans="1:4" x14ac:dyDescent="0.3">
      <c r="A443" s="17"/>
      <c r="B443" s="18"/>
      <c r="C443" s="18"/>
      <c r="D443" s="19"/>
    </row>
    <row r="444" spans="1:4" x14ac:dyDescent="0.3">
      <c r="A444" s="17"/>
      <c r="B444" s="18"/>
      <c r="C444" s="18"/>
      <c r="D444" s="19"/>
    </row>
    <row r="445" spans="1:4" x14ac:dyDescent="0.3">
      <c r="A445" s="17"/>
      <c r="B445" s="18"/>
      <c r="C445" s="18"/>
      <c r="D445" s="19"/>
    </row>
    <row r="446" spans="1:4" x14ac:dyDescent="0.3">
      <c r="A446" s="17"/>
      <c r="B446" s="18"/>
      <c r="C446" s="18"/>
      <c r="D446" s="19"/>
    </row>
    <row r="447" spans="1:4" x14ac:dyDescent="0.3">
      <c r="A447" s="17"/>
      <c r="B447" s="18"/>
      <c r="C447" s="18"/>
      <c r="D447" s="19"/>
    </row>
    <row r="448" spans="1:4" x14ac:dyDescent="0.3">
      <c r="A448" s="17"/>
      <c r="B448" s="18"/>
      <c r="C448" s="18"/>
      <c r="D448" s="19"/>
    </row>
    <row r="449" spans="1:4" x14ac:dyDescent="0.3">
      <c r="A449" s="17"/>
      <c r="B449" s="18"/>
      <c r="C449" s="18"/>
      <c r="D449" s="19"/>
    </row>
    <row r="450" spans="1:4" x14ac:dyDescent="0.3">
      <c r="A450" s="17"/>
      <c r="B450" s="18"/>
      <c r="C450" s="18"/>
      <c r="D450" s="19"/>
    </row>
    <row r="451" spans="1:4" x14ac:dyDescent="0.3">
      <c r="A451" s="17"/>
      <c r="B451" s="18"/>
      <c r="C451" s="18"/>
      <c r="D451" s="19"/>
    </row>
    <row r="452" spans="1:4" x14ac:dyDescent="0.3">
      <c r="A452" s="17"/>
      <c r="B452" s="18"/>
      <c r="C452" s="18"/>
      <c r="D452" s="19"/>
    </row>
    <row r="453" spans="1:4" x14ac:dyDescent="0.3">
      <c r="A453" s="17"/>
      <c r="B453" s="18"/>
      <c r="C453" s="18"/>
      <c r="D453" s="19"/>
    </row>
    <row r="454" spans="1:4" x14ac:dyDescent="0.3">
      <c r="A454" s="17"/>
      <c r="B454" s="18"/>
      <c r="C454" s="18"/>
      <c r="D454" s="19"/>
    </row>
    <row r="455" spans="1:4" x14ac:dyDescent="0.3">
      <c r="A455" s="17"/>
      <c r="B455" s="18"/>
      <c r="C455" s="18"/>
      <c r="D455" s="19"/>
    </row>
    <row r="456" spans="1:4" x14ac:dyDescent="0.3">
      <c r="A456" s="17"/>
      <c r="B456" s="18"/>
      <c r="C456" s="18"/>
      <c r="D456" s="19"/>
    </row>
    <row r="457" spans="1:4" x14ac:dyDescent="0.3">
      <c r="A457" s="17"/>
      <c r="B457" s="18"/>
      <c r="C457" s="18"/>
      <c r="D457" s="19"/>
    </row>
    <row r="458" spans="1:4" x14ac:dyDescent="0.3">
      <c r="A458" s="17"/>
      <c r="B458" s="18"/>
      <c r="C458" s="18"/>
      <c r="D458" s="19"/>
    </row>
    <row r="459" spans="1:4" x14ac:dyDescent="0.3">
      <c r="A459" s="17"/>
      <c r="B459" s="18"/>
      <c r="C459" s="18"/>
      <c r="D459" s="19"/>
    </row>
    <row r="460" spans="1:4" x14ac:dyDescent="0.3">
      <c r="A460" s="17"/>
      <c r="B460" s="18"/>
      <c r="C460" s="18"/>
      <c r="D460" s="19"/>
    </row>
    <row r="461" spans="1:4" x14ac:dyDescent="0.3">
      <c r="A461" s="17"/>
      <c r="B461" s="18"/>
      <c r="C461" s="18"/>
      <c r="D461" s="19"/>
    </row>
    <row r="462" spans="1:4" x14ac:dyDescent="0.3">
      <c r="A462" s="17"/>
      <c r="B462" s="18"/>
      <c r="C462" s="18"/>
      <c r="D462" s="19"/>
    </row>
    <row r="463" spans="1:4" x14ac:dyDescent="0.3">
      <c r="A463" s="17"/>
      <c r="B463" s="18"/>
      <c r="C463" s="18"/>
      <c r="D463" s="19"/>
    </row>
    <row r="464" spans="1:4" x14ac:dyDescent="0.3">
      <c r="A464" s="17"/>
      <c r="B464" s="18"/>
      <c r="C464" s="18"/>
      <c r="D464" s="19"/>
    </row>
    <row r="465" spans="1:4" x14ac:dyDescent="0.3">
      <c r="A465" s="17"/>
      <c r="B465" s="18"/>
      <c r="C465" s="18"/>
      <c r="D465" s="19"/>
    </row>
    <row r="466" spans="1:4" x14ac:dyDescent="0.3">
      <c r="A466" s="17"/>
      <c r="B466" s="18"/>
      <c r="C466" s="18"/>
      <c r="D466" s="19"/>
    </row>
    <row r="467" spans="1:4" x14ac:dyDescent="0.3">
      <c r="A467" s="17"/>
      <c r="B467" s="18"/>
      <c r="C467" s="18"/>
      <c r="D467" s="19"/>
    </row>
    <row r="468" spans="1:4" x14ac:dyDescent="0.3">
      <c r="A468" s="17"/>
      <c r="B468" s="18"/>
      <c r="C468" s="18"/>
      <c r="D468" s="19"/>
    </row>
    <row r="469" spans="1:4" x14ac:dyDescent="0.3">
      <c r="A469" s="17"/>
      <c r="B469" s="18"/>
      <c r="C469" s="18"/>
      <c r="D469" s="19"/>
    </row>
    <row r="470" spans="1:4" x14ac:dyDescent="0.3">
      <c r="A470" s="17"/>
      <c r="B470" s="18"/>
      <c r="C470" s="18"/>
      <c r="D470" s="19"/>
    </row>
    <row r="471" spans="1:4" x14ac:dyDescent="0.3">
      <c r="A471" s="17"/>
      <c r="B471" s="18"/>
      <c r="C471" s="18"/>
      <c r="D471" s="19"/>
    </row>
    <row r="472" spans="1:4" x14ac:dyDescent="0.3">
      <c r="A472" s="17"/>
      <c r="B472" s="18"/>
      <c r="C472" s="18"/>
      <c r="D472" s="19"/>
    </row>
    <row r="473" spans="1:4" x14ac:dyDescent="0.3">
      <c r="A473" s="17"/>
      <c r="B473" s="18"/>
      <c r="C473" s="18"/>
      <c r="D473" s="19"/>
    </row>
    <row r="474" spans="1:4" x14ac:dyDescent="0.3">
      <c r="A474" s="17"/>
      <c r="B474" s="18"/>
      <c r="C474" s="18"/>
      <c r="D474" s="19"/>
    </row>
    <row r="475" spans="1:4" x14ac:dyDescent="0.3">
      <c r="A475" s="17"/>
      <c r="B475" s="18"/>
      <c r="C475" s="18"/>
      <c r="D475" s="19"/>
    </row>
    <row r="476" spans="1:4" x14ac:dyDescent="0.3">
      <c r="A476" s="17"/>
      <c r="B476" s="18"/>
      <c r="C476" s="18"/>
      <c r="D476" s="19"/>
    </row>
    <row r="477" spans="1:4" x14ac:dyDescent="0.3">
      <c r="A477" s="17"/>
      <c r="B477" s="18"/>
      <c r="C477" s="18"/>
      <c r="D477" s="19"/>
    </row>
    <row r="478" spans="1:4" x14ac:dyDescent="0.3">
      <c r="A478" s="17"/>
      <c r="B478" s="18"/>
      <c r="C478" s="18"/>
      <c r="D478" s="19"/>
    </row>
    <row r="479" spans="1:4" x14ac:dyDescent="0.3">
      <c r="A479" s="17"/>
      <c r="B479" s="18"/>
      <c r="C479" s="18"/>
      <c r="D479" s="19"/>
    </row>
    <row r="480" spans="1:4" x14ac:dyDescent="0.3">
      <c r="A480" s="17"/>
      <c r="B480" s="18"/>
      <c r="C480" s="18"/>
      <c r="D480" s="19"/>
    </row>
    <row r="481" spans="1:4" x14ac:dyDescent="0.3">
      <c r="A481" s="17"/>
      <c r="B481" s="18"/>
      <c r="C481" s="18"/>
      <c r="D481" s="19"/>
    </row>
    <row r="482" spans="1:4" x14ac:dyDescent="0.3">
      <c r="A482" s="17"/>
      <c r="B482" s="18"/>
      <c r="C482" s="18"/>
      <c r="D482" s="19"/>
    </row>
    <row r="483" spans="1:4" x14ac:dyDescent="0.3">
      <c r="A483" s="17"/>
      <c r="B483" s="18"/>
      <c r="C483" s="18"/>
      <c r="D483" s="19"/>
    </row>
    <row r="484" spans="1:4" x14ac:dyDescent="0.3">
      <c r="A484" s="17"/>
      <c r="B484" s="18"/>
      <c r="C484" s="18"/>
      <c r="D484" s="19"/>
    </row>
    <row r="485" spans="1:4" x14ac:dyDescent="0.3">
      <c r="A485" s="17"/>
      <c r="B485" s="18"/>
      <c r="C485" s="18"/>
      <c r="D485" s="19"/>
    </row>
    <row r="486" spans="1:4" x14ac:dyDescent="0.3">
      <c r="A486" s="17"/>
      <c r="B486" s="18"/>
      <c r="C486" s="18"/>
      <c r="D486" s="19"/>
    </row>
    <row r="487" spans="1:4" x14ac:dyDescent="0.3">
      <c r="A487" s="17"/>
      <c r="B487" s="18"/>
      <c r="C487" s="18"/>
      <c r="D487" s="19"/>
    </row>
    <row r="488" spans="1:4" x14ac:dyDescent="0.3">
      <c r="A488" s="17"/>
      <c r="B488" s="18"/>
      <c r="C488" s="18"/>
      <c r="D488" s="19"/>
    </row>
    <row r="489" spans="1:4" x14ac:dyDescent="0.3">
      <c r="A489" s="17"/>
      <c r="B489" s="18"/>
      <c r="C489" s="18"/>
      <c r="D489" s="19"/>
    </row>
    <row r="490" spans="1:4" x14ac:dyDescent="0.3">
      <c r="A490" s="17"/>
      <c r="B490" s="18"/>
      <c r="C490" s="18"/>
      <c r="D490" s="19"/>
    </row>
    <row r="491" spans="1:4" x14ac:dyDescent="0.3">
      <c r="A491" s="17"/>
      <c r="B491" s="18"/>
      <c r="C491" s="18"/>
      <c r="D491" s="19"/>
    </row>
    <row r="492" spans="1:4" x14ac:dyDescent="0.3">
      <c r="A492" s="17"/>
      <c r="B492" s="18"/>
      <c r="C492" s="18"/>
      <c r="D492" s="19"/>
    </row>
    <row r="493" spans="1:4" x14ac:dyDescent="0.3">
      <c r="A493" s="17"/>
      <c r="B493" s="18"/>
      <c r="C493" s="18"/>
      <c r="D493" s="19"/>
    </row>
    <row r="494" spans="1:4" x14ac:dyDescent="0.3">
      <c r="A494" s="17"/>
      <c r="B494" s="18"/>
      <c r="C494" s="18"/>
      <c r="D494" s="19"/>
    </row>
    <row r="495" spans="1:4" x14ac:dyDescent="0.3">
      <c r="A495" s="17"/>
      <c r="B495" s="18"/>
      <c r="C495" s="18"/>
      <c r="D495" s="19"/>
    </row>
    <row r="496" spans="1:4" x14ac:dyDescent="0.3">
      <c r="A496" s="17"/>
      <c r="B496" s="18"/>
      <c r="C496" s="18"/>
      <c r="D496" s="19"/>
    </row>
    <row r="497" spans="1:4" x14ac:dyDescent="0.3">
      <c r="A497" s="17"/>
      <c r="B497" s="18"/>
      <c r="C497" s="18"/>
      <c r="D497" s="19"/>
    </row>
    <row r="498" spans="1:4" x14ac:dyDescent="0.3">
      <c r="A498" s="17"/>
      <c r="B498" s="18"/>
      <c r="C498" s="18"/>
      <c r="D498" s="19"/>
    </row>
    <row r="499" spans="1:4" x14ac:dyDescent="0.3">
      <c r="A499" s="17"/>
      <c r="B499" s="18"/>
      <c r="C499" s="18"/>
      <c r="D499" s="19"/>
    </row>
    <row r="500" spans="1:4" x14ac:dyDescent="0.3">
      <c r="A500" s="17"/>
      <c r="B500" s="18"/>
      <c r="C500" s="18"/>
      <c r="D500" s="19"/>
    </row>
    <row r="501" spans="1:4" x14ac:dyDescent="0.3">
      <c r="A501" s="17"/>
      <c r="B501" s="18"/>
      <c r="C501" s="18"/>
      <c r="D501" s="19"/>
    </row>
    <row r="502" spans="1:4" x14ac:dyDescent="0.3">
      <c r="A502" s="17"/>
      <c r="B502" s="18"/>
      <c r="C502" s="18"/>
      <c r="D502" s="19"/>
    </row>
    <row r="503" spans="1:4" x14ac:dyDescent="0.3">
      <c r="A503" s="17"/>
      <c r="B503" s="18"/>
      <c r="C503" s="18"/>
      <c r="D503" s="19"/>
    </row>
    <row r="504" spans="1:4" x14ac:dyDescent="0.3">
      <c r="A504" s="17"/>
      <c r="B504" s="18"/>
      <c r="C504" s="18"/>
      <c r="D504" s="19"/>
    </row>
    <row r="505" spans="1:4" x14ac:dyDescent="0.3">
      <c r="A505" s="17"/>
      <c r="B505" s="18"/>
      <c r="C505" s="18"/>
      <c r="D505" s="19"/>
    </row>
    <row r="506" spans="1:4" x14ac:dyDescent="0.3">
      <c r="A506" s="17"/>
      <c r="B506" s="18"/>
      <c r="C506" s="18"/>
      <c r="D506" s="19"/>
    </row>
    <row r="507" spans="1:4" x14ac:dyDescent="0.3">
      <c r="A507" s="17"/>
      <c r="B507" s="18"/>
      <c r="C507" s="18"/>
      <c r="D507" s="19"/>
    </row>
    <row r="508" spans="1:4" x14ac:dyDescent="0.3">
      <c r="A508" s="17"/>
      <c r="B508" s="18"/>
      <c r="C508" s="18"/>
      <c r="D508" s="19"/>
    </row>
    <row r="509" spans="1:4" x14ac:dyDescent="0.3">
      <c r="A509" s="17"/>
      <c r="B509" s="18"/>
      <c r="C509" s="18"/>
      <c r="D509" s="19"/>
    </row>
    <row r="510" spans="1:4" x14ac:dyDescent="0.3">
      <c r="A510" s="17"/>
      <c r="B510" s="18"/>
      <c r="C510" s="18"/>
      <c r="D510" s="19"/>
    </row>
    <row r="511" spans="1:4" x14ac:dyDescent="0.3">
      <c r="A511" s="17"/>
      <c r="B511" s="18"/>
      <c r="C511" s="18"/>
      <c r="D511" s="19"/>
    </row>
    <row r="512" spans="1:4" x14ac:dyDescent="0.3">
      <c r="A512" s="17"/>
      <c r="B512" s="18"/>
      <c r="C512" s="18"/>
      <c r="D512" s="19"/>
    </row>
    <row r="513" spans="1:4" x14ac:dyDescent="0.3">
      <c r="A513" s="17"/>
      <c r="B513" s="18"/>
      <c r="C513" s="18"/>
      <c r="D513" s="19"/>
    </row>
    <row r="514" spans="1:4" x14ac:dyDescent="0.3">
      <c r="A514" s="17"/>
      <c r="B514" s="18"/>
      <c r="C514" s="18"/>
      <c r="D514" s="19"/>
    </row>
    <row r="515" spans="1:4" x14ac:dyDescent="0.3">
      <c r="A515" s="17"/>
      <c r="B515" s="18"/>
      <c r="C515" s="18"/>
      <c r="D515" s="19"/>
    </row>
    <row r="516" spans="1:4" x14ac:dyDescent="0.3">
      <c r="A516" s="17"/>
      <c r="B516" s="18"/>
      <c r="C516" s="18"/>
      <c r="D516" s="19"/>
    </row>
    <row r="517" spans="1:4" x14ac:dyDescent="0.3">
      <c r="A517" s="17"/>
      <c r="B517" s="18"/>
      <c r="C517" s="18"/>
      <c r="D517" s="19"/>
    </row>
    <row r="518" spans="1:4" x14ac:dyDescent="0.3">
      <c r="A518" s="17"/>
      <c r="B518" s="18"/>
      <c r="C518" s="18"/>
      <c r="D518" s="19"/>
    </row>
    <row r="519" spans="1:4" x14ac:dyDescent="0.3">
      <c r="A519" s="17"/>
      <c r="B519" s="18"/>
      <c r="C519" s="18"/>
      <c r="D519" s="19"/>
    </row>
    <row r="520" spans="1:4" x14ac:dyDescent="0.3">
      <c r="A520" s="17"/>
      <c r="B520" s="18"/>
      <c r="C520" s="18"/>
      <c r="D520" s="19"/>
    </row>
    <row r="521" spans="1:4" x14ac:dyDescent="0.3">
      <c r="A521" s="17"/>
      <c r="B521" s="18"/>
      <c r="C521" s="18"/>
      <c r="D521" s="19"/>
    </row>
    <row r="522" spans="1:4" x14ac:dyDescent="0.3">
      <c r="A522" s="17"/>
      <c r="B522" s="18"/>
      <c r="C522" s="18"/>
      <c r="D522" s="19"/>
    </row>
    <row r="523" spans="1:4" x14ac:dyDescent="0.3">
      <c r="A523" s="17"/>
      <c r="B523" s="18"/>
      <c r="C523" s="18"/>
      <c r="D523" s="19"/>
    </row>
    <row r="524" spans="1:4" x14ac:dyDescent="0.3">
      <c r="A524" s="17"/>
      <c r="B524" s="18"/>
      <c r="C524" s="18"/>
      <c r="D524" s="19"/>
    </row>
    <row r="525" spans="1:4" x14ac:dyDescent="0.3">
      <c r="A525" s="17"/>
      <c r="B525" s="18"/>
      <c r="C525" s="18"/>
      <c r="D525" s="19"/>
    </row>
    <row r="526" spans="1:4" x14ac:dyDescent="0.3">
      <c r="A526" s="17"/>
      <c r="B526" s="18"/>
      <c r="C526" s="18"/>
      <c r="D526" s="19"/>
    </row>
    <row r="527" spans="1:4" x14ac:dyDescent="0.3">
      <c r="A527" s="17"/>
      <c r="B527" s="18"/>
      <c r="C527" s="18"/>
      <c r="D527" s="19"/>
    </row>
    <row r="528" spans="1:4" x14ac:dyDescent="0.3">
      <c r="A528" s="17"/>
      <c r="B528" s="18"/>
      <c r="C528" s="18"/>
      <c r="D528" s="19"/>
    </row>
    <row r="529" spans="1:4" x14ac:dyDescent="0.3">
      <c r="A529" s="17"/>
      <c r="B529" s="18"/>
      <c r="C529" s="18"/>
      <c r="D529" s="19"/>
    </row>
    <row r="530" spans="1:4" x14ac:dyDescent="0.3">
      <c r="A530" s="17"/>
      <c r="B530" s="18"/>
      <c r="C530" s="18"/>
      <c r="D530" s="19"/>
    </row>
    <row r="531" spans="1:4" x14ac:dyDescent="0.3">
      <c r="A531" s="17"/>
      <c r="B531" s="18"/>
      <c r="C531" s="18"/>
      <c r="D531" s="19"/>
    </row>
    <row r="532" spans="1:4" x14ac:dyDescent="0.3">
      <c r="A532" s="17"/>
      <c r="B532" s="18"/>
      <c r="C532" s="18"/>
      <c r="D532" s="19"/>
    </row>
    <row r="533" spans="1:4" x14ac:dyDescent="0.3">
      <c r="A533" s="17"/>
      <c r="B533" s="18"/>
      <c r="C533" s="18"/>
      <c r="D533" s="19"/>
    </row>
    <row r="534" spans="1:4" x14ac:dyDescent="0.3">
      <c r="A534" s="17"/>
      <c r="B534" s="18"/>
      <c r="C534" s="18"/>
      <c r="D534" s="19"/>
    </row>
    <row r="535" spans="1:4" x14ac:dyDescent="0.3">
      <c r="A535" s="17"/>
      <c r="B535" s="18"/>
      <c r="C535" s="18"/>
      <c r="D535" s="19"/>
    </row>
    <row r="536" spans="1:4" x14ac:dyDescent="0.3">
      <c r="A536" s="17"/>
      <c r="B536" s="18"/>
      <c r="C536" s="18"/>
      <c r="D536" s="19"/>
    </row>
    <row r="537" spans="1:4" x14ac:dyDescent="0.3">
      <c r="A537" s="17"/>
      <c r="B537" s="18"/>
      <c r="C537" s="18"/>
      <c r="D537" s="19"/>
    </row>
    <row r="538" spans="1:4" x14ac:dyDescent="0.3">
      <c r="A538" s="17"/>
      <c r="B538" s="18"/>
      <c r="C538" s="18"/>
      <c r="D538" s="19"/>
    </row>
    <row r="539" spans="1:4" x14ac:dyDescent="0.3">
      <c r="A539" s="17"/>
      <c r="B539" s="18"/>
      <c r="C539" s="18"/>
      <c r="D539" s="19"/>
    </row>
    <row r="540" spans="1:4" x14ac:dyDescent="0.3">
      <c r="A540" s="17"/>
      <c r="B540" s="18"/>
      <c r="C540" s="18"/>
      <c r="D540" s="19"/>
    </row>
    <row r="541" spans="1:4" x14ac:dyDescent="0.3">
      <c r="A541" s="17"/>
      <c r="B541" s="18"/>
      <c r="C541" s="18"/>
      <c r="D541" s="19"/>
    </row>
    <row r="542" spans="1:4" x14ac:dyDescent="0.3">
      <c r="A542" s="17"/>
      <c r="B542" s="18"/>
      <c r="C542" s="18"/>
      <c r="D542" s="19"/>
    </row>
    <row r="543" spans="1:4" x14ac:dyDescent="0.3">
      <c r="A543" s="17"/>
      <c r="B543" s="18"/>
      <c r="C543" s="18"/>
      <c r="D543" s="19"/>
    </row>
    <row r="544" spans="1:4" x14ac:dyDescent="0.3">
      <c r="A544" s="17"/>
      <c r="B544" s="18"/>
      <c r="C544" s="18"/>
      <c r="D544" s="19"/>
    </row>
    <row r="545" spans="1:4" x14ac:dyDescent="0.3">
      <c r="A545" s="17"/>
      <c r="B545" s="18"/>
      <c r="C545" s="18"/>
      <c r="D545" s="19"/>
    </row>
    <row r="546" spans="1:4" x14ac:dyDescent="0.3">
      <c r="A546" s="17"/>
      <c r="B546" s="18"/>
      <c r="C546" s="18"/>
      <c r="D546" s="19"/>
    </row>
    <row r="547" spans="1:4" x14ac:dyDescent="0.3">
      <c r="A547" s="17"/>
      <c r="B547" s="18"/>
      <c r="C547" s="18"/>
      <c r="D547" s="19"/>
    </row>
    <row r="548" spans="1:4" x14ac:dyDescent="0.3">
      <c r="A548" s="17"/>
      <c r="B548" s="18"/>
      <c r="C548" s="18"/>
      <c r="D548" s="19"/>
    </row>
    <row r="549" spans="1:4" x14ac:dyDescent="0.3">
      <c r="A549" s="17"/>
      <c r="B549" s="18"/>
      <c r="C549" s="18"/>
      <c r="D549" s="19"/>
    </row>
    <row r="550" spans="1:4" x14ac:dyDescent="0.3">
      <c r="A550" s="17"/>
      <c r="B550" s="18"/>
      <c r="C550" s="18"/>
      <c r="D550" s="19"/>
    </row>
    <row r="551" spans="1:4" x14ac:dyDescent="0.3">
      <c r="A551" s="17"/>
      <c r="B551" s="18"/>
      <c r="C551" s="18"/>
      <c r="D551" s="19"/>
    </row>
    <row r="552" spans="1:4" x14ac:dyDescent="0.3">
      <c r="A552" s="17"/>
      <c r="B552" s="18"/>
      <c r="C552" s="18"/>
      <c r="D552" s="19"/>
    </row>
    <row r="553" spans="1:4" x14ac:dyDescent="0.3">
      <c r="A553" s="17"/>
      <c r="B553" s="18"/>
      <c r="C553" s="18"/>
      <c r="D553" s="19"/>
    </row>
    <row r="554" spans="1:4" x14ac:dyDescent="0.3">
      <c r="A554" s="17"/>
      <c r="B554" s="18"/>
      <c r="C554" s="18"/>
      <c r="D554" s="19"/>
    </row>
    <row r="555" spans="1:4" x14ac:dyDescent="0.3">
      <c r="A555" s="17"/>
      <c r="B555" s="18"/>
      <c r="C555" s="18"/>
      <c r="D555" s="19"/>
    </row>
    <row r="556" spans="1:4" x14ac:dyDescent="0.3">
      <c r="A556" s="17"/>
      <c r="B556" s="18"/>
      <c r="C556" s="18"/>
      <c r="D556" s="19"/>
    </row>
    <row r="557" spans="1:4" x14ac:dyDescent="0.3">
      <c r="A557" s="17"/>
      <c r="B557" s="18"/>
      <c r="C557" s="18"/>
      <c r="D557" s="19"/>
    </row>
    <row r="558" spans="1:4" x14ac:dyDescent="0.3">
      <c r="A558" s="17"/>
      <c r="B558" s="18"/>
      <c r="C558" s="18"/>
      <c r="D558" s="19"/>
    </row>
    <row r="559" spans="1:4" x14ac:dyDescent="0.3">
      <c r="A559" s="17"/>
      <c r="B559" s="18"/>
      <c r="C559" s="18"/>
      <c r="D559" s="19"/>
    </row>
    <row r="560" spans="1:4" x14ac:dyDescent="0.3">
      <c r="A560" s="17"/>
      <c r="B560" s="18"/>
      <c r="C560" s="18"/>
      <c r="D560" s="19"/>
    </row>
    <row r="561" spans="1:4" x14ac:dyDescent="0.3">
      <c r="A561" s="17"/>
      <c r="B561" s="18"/>
      <c r="C561" s="18"/>
      <c r="D561" s="19"/>
    </row>
    <row r="562" spans="1:4" x14ac:dyDescent="0.3">
      <c r="A562" s="17"/>
      <c r="B562" s="18"/>
      <c r="C562" s="18"/>
      <c r="D562" s="19"/>
    </row>
    <row r="563" spans="1:4" x14ac:dyDescent="0.3">
      <c r="A563" s="17"/>
      <c r="B563" s="18"/>
      <c r="C563" s="18"/>
      <c r="D563" s="19"/>
    </row>
    <row r="564" spans="1:4" x14ac:dyDescent="0.3">
      <c r="A564" s="17"/>
      <c r="B564" s="18"/>
      <c r="C564" s="18"/>
      <c r="D564" s="19"/>
    </row>
    <row r="565" spans="1:4" x14ac:dyDescent="0.3">
      <c r="A565" s="17"/>
      <c r="B565" s="18"/>
      <c r="C565" s="18"/>
      <c r="D565" s="19"/>
    </row>
    <row r="566" spans="1:4" x14ac:dyDescent="0.3">
      <c r="A566" s="17"/>
      <c r="B566" s="18"/>
      <c r="C566" s="18"/>
      <c r="D566" s="19"/>
    </row>
    <row r="567" spans="1:4" x14ac:dyDescent="0.3">
      <c r="A567" s="17"/>
      <c r="B567" s="18"/>
      <c r="C567" s="18"/>
      <c r="D567" s="19"/>
    </row>
    <row r="568" spans="1:4" x14ac:dyDescent="0.3">
      <c r="A568" s="17"/>
      <c r="B568" s="18"/>
      <c r="C568" s="18"/>
      <c r="D568" s="19"/>
    </row>
    <row r="569" spans="1:4" x14ac:dyDescent="0.3">
      <c r="A569" s="17"/>
      <c r="B569" s="18"/>
      <c r="C569" s="18"/>
      <c r="D569" s="19"/>
    </row>
    <row r="570" spans="1:4" x14ac:dyDescent="0.3">
      <c r="A570" s="17"/>
      <c r="B570" s="18"/>
      <c r="C570" s="18"/>
      <c r="D570" s="19"/>
    </row>
    <row r="571" spans="1:4" x14ac:dyDescent="0.3">
      <c r="A571" s="17"/>
      <c r="B571" s="18"/>
      <c r="C571" s="18"/>
      <c r="D571" s="19"/>
    </row>
    <row r="572" spans="1:4" x14ac:dyDescent="0.3">
      <c r="A572" s="17"/>
      <c r="B572" s="18"/>
      <c r="C572" s="18"/>
      <c r="D572" s="19"/>
    </row>
    <row r="573" spans="1:4" x14ac:dyDescent="0.3">
      <c r="A573" s="17"/>
      <c r="B573" s="18"/>
      <c r="C573" s="18"/>
      <c r="D573" s="19"/>
    </row>
    <row r="574" spans="1:4" x14ac:dyDescent="0.3">
      <c r="A574" s="17"/>
      <c r="B574" s="18"/>
      <c r="C574" s="18"/>
      <c r="D574" s="19"/>
    </row>
    <row r="575" spans="1:4" x14ac:dyDescent="0.3">
      <c r="A575" s="17"/>
      <c r="B575" s="18"/>
      <c r="C575" s="18"/>
      <c r="D575" s="19"/>
    </row>
    <row r="576" spans="1:4" x14ac:dyDescent="0.3">
      <c r="A576" s="17"/>
      <c r="B576" s="18"/>
      <c r="C576" s="18"/>
      <c r="D576" s="19"/>
    </row>
    <row r="577" spans="1:4" x14ac:dyDescent="0.3">
      <c r="A577" s="17"/>
      <c r="B577" s="18"/>
      <c r="C577" s="18"/>
      <c r="D577" s="19"/>
    </row>
    <row r="578" spans="1:4" x14ac:dyDescent="0.3">
      <c r="A578" s="17"/>
      <c r="B578" s="18"/>
      <c r="C578" s="18"/>
      <c r="D578" s="19"/>
    </row>
    <row r="579" spans="1:4" x14ac:dyDescent="0.3">
      <c r="A579" s="17"/>
      <c r="B579" s="18"/>
      <c r="C579" s="18"/>
      <c r="D579" s="19"/>
    </row>
    <row r="580" spans="1:4" x14ac:dyDescent="0.3">
      <c r="A580" s="17"/>
      <c r="B580" s="18"/>
      <c r="C580" s="18"/>
      <c r="D580" s="19"/>
    </row>
    <row r="581" spans="1:4" x14ac:dyDescent="0.3">
      <c r="A581" s="17"/>
      <c r="B581" s="18"/>
      <c r="C581" s="18"/>
      <c r="D581" s="19"/>
    </row>
    <row r="582" spans="1:4" x14ac:dyDescent="0.3">
      <c r="A582" s="17"/>
      <c r="B582" s="18"/>
      <c r="C582" s="18"/>
      <c r="D582" s="19"/>
    </row>
    <row r="583" spans="1:4" x14ac:dyDescent="0.3">
      <c r="A583" s="17"/>
      <c r="B583" s="18"/>
      <c r="C583" s="18"/>
      <c r="D583" s="19"/>
    </row>
    <row r="584" spans="1:4" x14ac:dyDescent="0.3">
      <c r="A584" s="17"/>
      <c r="B584" s="18"/>
      <c r="C584" s="18"/>
      <c r="D584" s="19"/>
    </row>
    <row r="585" spans="1:4" x14ac:dyDescent="0.3">
      <c r="A585" s="17"/>
      <c r="B585" s="18"/>
      <c r="C585" s="18"/>
      <c r="D585" s="19"/>
    </row>
    <row r="586" spans="1:4" x14ac:dyDescent="0.3">
      <c r="A586" s="17"/>
      <c r="B586" s="18"/>
      <c r="C586" s="18"/>
      <c r="D586" s="19"/>
    </row>
    <row r="587" spans="1:4" x14ac:dyDescent="0.3">
      <c r="A587" s="17"/>
      <c r="B587" s="18"/>
      <c r="C587" s="18"/>
      <c r="D587" s="19"/>
    </row>
    <row r="588" spans="1:4" x14ac:dyDescent="0.3">
      <c r="A588" s="17"/>
      <c r="B588" s="18"/>
      <c r="C588" s="18"/>
      <c r="D588" s="19"/>
    </row>
    <row r="589" spans="1:4" x14ac:dyDescent="0.3">
      <c r="A589" s="17"/>
      <c r="B589" s="18"/>
      <c r="C589" s="18"/>
      <c r="D589" s="19"/>
    </row>
    <row r="590" spans="1:4" x14ac:dyDescent="0.3">
      <c r="A590" s="17"/>
      <c r="B590" s="18"/>
      <c r="C590" s="18"/>
      <c r="D590" s="19"/>
    </row>
    <row r="591" spans="1:4" x14ac:dyDescent="0.3">
      <c r="A591" s="17"/>
      <c r="B591" s="18"/>
      <c r="C591" s="18"/>
      <c r="D591" s="19"/>
    </row>
    <row r="592" spans="1:4" x14ac:dyDescent="0.3">
      <c r="A592" s="17"/>
      <c r="B592" s="18"/>
      <c r="C592" s="18"/>
      <c r="D592" s="19"/>
    </row>
    <row r="593" spans="1:4" x14ac:dyDescent="0.3">
      <c r="A593" s="17"/>
      <c r="B593" s="18"/>
      <c r="C593" s="18"/>
      <c r="D593" s="19"/>
    </row>
    <row r="594" spans="1:4" x14ac:dyDescent="0.3">
      <c r="A594" s="17"/>
      <c r="B594" s="18"/>
      <c r="C594" s="18"/>
      <c r="D594" s="19"/>
    </row>
    <row r="595" spans="1:4" x14ac:dyDescent="0.3">
      <c r="A595" s="17"/>
      <c r="B595" s="18"/>
      <c r="C595" s="18"/>
      <c r="D595" s="19"/>
    </row>
    <row r="596" spans="1:4" x14ac:dyDescent="0.3">
      <c r="A596" s="17"/>
      <c r="B596" s="18"/>
      <c r="C596" s="18"/>
      <c r="D596" s="19"/>
    </row>
    <row r="597" spans="1:4" x14ac:dyDescent="0.3">
      <c r="A597" s="17"/>
      <c r="B597" s="18"/>
      <c r="C597" s="18"/>
      <c r="D597" s="19"/>
    </row>
    <row r="598" spans="1:4" x14ac:dyDescent="0.3">
      <c r="A598" s="17"/>
      <c r="B598" s="18"/>
      <c r="C598" s="18"/>
      <c r="D598" s="19"/>
    </row>
    <row r="599" spans="1:4" x14ac:dyDescent="0.3">
      <c r="A599" s="17"/>
      <c r="B599" s="18"/>
      <c r="C599" s="18"/>
      <c r="D599" s="19"/>
    </row>
    <row r="600" spans="1:4" x14ac:dyDescent="0.3">
      <c r="A600" s="17"/>
      <c r="B600" s="18"/>
      <c r="C600" s="18"/>
      <c r="D600" s="19"/>
    </row>
    <row r="601" spans="1:4" x14ac:dyDescent="0.3">
      <c r="A601" s="17"/>
      <c r="B601" s="18"/>
      <c r="C601" s="18"/>
      <c r="D601" s="19"/>
    </row>
    <row r="602" spans="1:4" x14ac:dyDescent="0.3">
      <c r="A602" s="17"/>
      <c r="B602" s="18"/>
      <c r="C602" s="18"/>
      <c r="D602" s="19"/>
    </row>
    <row r="603" spans="1:4" x14ac:dyDescent="0.3">
      <c r="A603" s="17"/>
      <c r="B603" s="18"/>
      <c r="C603" s="18"/>
      <c r="D603" s="19"/>
    </row>
    <row r="604" spans="1:4" x14ac:dyDescent="0.3">
      <c r="A604" s="17"/>
      <c r="B604" s="18"/>
      <c r="C604" s="18"/>
      <c r="D604" s="19"/>
    </row>
    <row r="605" spans="1:4" x14ac:dyDescent="0.3">
      <c r="A605" s="17"/>
      <c r="B605" s="18"/>
      <c r="C605" s="18"/>
      <c r="D605" s="19"/>
    </row>
    <row r="606" spans="1:4" x14ac:dyDescent="0.3">
      <c r="A606" s="17"/>
      <c r="B606" s="18"/>
      <c r="C606" s="18"/>
      <c r="D606" s="19"/>
    </row>
    <row r="607" spans="1:4" x14ac:dyDescent="0.3">
      <c r="A607" s="17"/>
      <c r="B607" s="18"/>
      <c r="C607" s="18"/>
      <c r="D607" s="19"/>
    </row>
    <row r="608" spans="1:4" x14ac:dyDescent="0.3">
      <c r="A608" s="17"/>
      <c r="B608" s="18"/>
      <c r="C608" s="18"/>
      <c r="D608" s="19"/>
    </row>
    <row r="609" spans="1:4" x14ac:dyDescent="0.3">
      <c r="A609" s="17"/>
      <c r="B609" s="18"/>
      <c r="C609" s="18"/>
      <c r="D609" s="19"/>
    </row>
    <row r="610" spans="1:4" x14ac:dyDescent="0.3">
      <c r="A610" s="17"/>
      <c r="B610" s="18"/>
      <c r="C610" s="18"/>
      <c r="D610" s="19"/>
    </row>
    <row r="611" spans="1:4" x14ac:dyDescent="0.3">
      <c r="A611" s="17"/>
      <c r="B611" s="18"/>
      <c r="C611" s="18"/>
      <c r="D611" s="19"/>
    </row>
    <row r="612" spans="1:4" x14ac:dyDescent="0.3">
      <c r="A612" s="17"/>
      <c r="B612" s="18"/>
      <c r="C612" s="18"/>
      <c r="D612" s="19"/>
    </row>
    <row r="613" spans="1:4" x14ac:dyDescent="0.3">
      <c r="A613" s="17"/>
      <c r="B613" s="18"/>
      <c r="C613" s="18"/>
      <c r="D613" s="19"/>
    </row>
    <row r="614" spans="1:4" x14ac:dyDescent="0.3">
      <c r="A614" s="17"/>
      <c r="B614" s="18"/>
      <c r="C614" s="18"/>
      <c r="D614" s="19"/>
    </row>
    <row r="615" spans="1:4" x14ac:dyDescent="0.3">
      <c r="A615" s="17"/>
      <c r="B615" s="18"/>
      <c r="C615" s="18"/>
      <c r="D615" s="19"/>
    </row>
    <row r="616" spans="1:4" x14ac:dyDescent="0.3">
      <c r="A616" s="17"/>
      <c r="B616" s="18"/>
      <c r="C616" s="18"/>
      <c r="D616" s="19"/>
    </row>
    <row r="617" spans="1:4" x14ac:dyDescent="0.3">
      <c r="A617" s="17"/>
      <c r="B617" s="18"/>
      <c r="C617" s="18"/>
      <c r="D617" s="19"/>
    </row>
    <row r="618" spans="1:4" x14ac:dyDescent="0.3">
      <c r="A618" s="17"/>
      <c r="B618" s="18"/>
      <c r="C618" s="18"/>
      <c r="D618" s="19"/>
    </row>
    <row r="619" spans="1:4" x14ac:dyDescent="0.3">
      <c r="A619" s="17"/>
      <c r="B619" s="18"/>
      <c r="C619" s="18"/>
      <c r="D619" s="19"/>
    </row>
    <row r="620" spans="1:4" x14ac:dyDescent="0.3">
      <c r="A620" s="17"/>
      <c r="B620" s="18"/>
      <c r="C620" s="18"/>
      <c r="D620" s="19"/>
    </row>
    <row r="621" spans="1:4" x14ac:dyDescent="0.3">
      <c r="A621" s="17"/>
      <c r="B621" s="18"/>
      <c r="C621" s="18"/>
      <c r="D621" s="19"/>
    </row>
    <row r="622" spans="1:4" x14ac:dyDescent="0.3">
      <c r="A622" s="17"/>
      <c r="B622" s="18"/>
      <c r="C622" s="18"/>
      <c r="D622" s="19"/>
    </row>
    <row r="623" spans="1:4" x14ac:dyDescent="0.3">
      <c r="A623" s="17"/>
      <c r="B623" s="18"/>
      <c r="C623" s="18"/>
      <c r="D623" s="19"/>
    </row>
    <row r="624" spans="1:4" x14ac:dyDescent="0.3">
      <c r="A624" s="17"/>
      <c r="B624" s="18"/>
      <c r="C624" s="18"/>
      <c r="D624" s="19"/>
    </row>
    <row r="625" spans="1:4" x14ac:dyDescent="0.3">
      <c r="A625" s="17"/>
      <c r="B625" s="18"/>
      <c r="C625" s="18"/>
      <c r="D625" s="19"/>
    </row>
    <row r="626" spans="1:4" x14ac:dyDescent="0.3">
      <c r="A626" s="17"/>
      <c r="B626" s="18"/>
      <c r="C626" s="18"/>
      <c r="D626" s="19"/>
    </row>
    <row r="627" spans="1:4" x14ac:dyDescent="0.3">
      <c r="A627" s="17"/>
      <c r="B627" s="18"/>
      <c r="C627" s="18"/>
      <c r="D627" s="19"/>
    </row>
    <row r="628" spans="1:4" x14ac:dyDescent="0.3">
      <c r="A628" s="17"/>
      <c r="B628" s="18"/>
      <c r="C628" s="18"/>
      <c r="D628" s="19"/>
    </row>
    <row r="629" spans="1:4" x14ac:dyDescent="0.3">
      <c r="A629" s="17"/>
      <c r="B629" s="18"/>
      <c r="C629" s="18"/>
      <c r="D629" s="19"/>
    </row>
    <row r="630" spans="1:4" x14ac:dyDescent="0.3">
      <c r="A630" s="17"/>
      <c r="B630" s="18"/>
      <c r="C630" s="18"/>
      <c r="D630" s="19"/>
    </row>
    <row r="631" spans="1:4" x14ac:dyDescent="0.3">
      <c r="A631" s="17"/>
      <c r="B631" s="18"/>
      <c r="C631" s="18"/>
      <c r="D631" s="19"/>
    </row>
    <row r="632" spans="1:4" x14ac:dyDescent="0.3">
      <c r="A632" s="17"/>
      <c r="B632" s="18"/>
      <c r="C632" s="18"/>
      <c r="D632" s="19"/>
    </row>
    <row r="633" spans="1:4" x14ac:dyDescent="0.3">
      <c r="A633" s="17"/>
      <c r="B633" s="18"/>
      <c r="C633" s="18"/>
      <c r="D633" s="19"/>
    </row>
    <row r="634" spans="1:4" x14ac:dyDescent="0.3">
      <c r="A634" s="17"/>
      <c r="B634" s="18"/>
      <c r="C634" s="18"/>
      <c r="D634" s="19"/>
    </row>
    <row r="635" spans="1:4" x14ac:dyDescent="0.3">
      <c r="A635" s="17"/>
      <c r="B635" s="18"/>
      <c r="C635" s="18"/>
      <c r="D635" s="19"/>
    </row>
    <row r="636" spans="1:4" x14ac:dyDescent="0.3">
      <c r="A636" s="17"/>
      <c r="B636" s="18"/>
      <c r="C636" s="18"/>
      <c r="D636" s="19"/>
    </row>
    <row r="637" spans="1:4" x14ac:dyDescent="0.3">
      <c r="A637" s="17"/>
      <c r="B637" s="18"/>
      <c r="C637" s="18"/>
      <c r="D637" s="19"/>
    </row>
    <row r="638" spans="1:4" x14ac:dyDescent="0.3">
      <c r="A638" s="17"/>
      <c r="B638" s="18"/>
      <c r="C638" s="18"/>
      <c r="D638" s="19"/>
    </row>
    <row r="639" spans="1:4" x14ac:dyDescent="0.3">
      <c r="A639" s="17"/>
      <c r="B639" s="18"/>
      <c r="C639" s="18"/>
      <c r="D639" s="19"/>
    </row>
    <row r="640" spans="1:4" x14ac:dyDescent="0.3">
      <c r="A640" s="17"/>
      <c r="B640" s="18"/>
      <c r="C640" s="18"/>
      <c r="D640" s="19"/>
    </row>
    <row r="641" spans="1:4" x14ac:dyDescent="0.3">
      <c r="A641" s="17"/>
      <c r="B641" s="18"/>
      <c r="C641" s="18"/>
      <c r="D641" s="19"/>
    </row>
    <row r="642" spans="1:4" x14ac:dyDescent="0.3">
      <c r="A642" s="17"/>
      <c r="B642" s="18"/>
      <c r="C642" s="18"/>
      <c r="D642" s="19"/>
    </row>
    <row r="643" spans="1:4" x14ac:dyDescent="0.3">
      <c r="A643" s="17"/>
      <c r="B643" s="18"/>
      <c r="C643" s="18"/>
      <c r="D643" s="19"/>
    </row>
    <row r="644" spans="1:4" x14ac:dyDescent="0.3">
      <c r="A644" s="17"/>
      <c r="B644" s="18"/>
      <c r="C644" s="18"/>
      <c r="D644" s="19"/>
    </row>
    <row r="645" spans="1:4" x14ac:dyDescent="0.3">
      <c r="A645" s="17"/>
      <c r="B645" s="18"/>
      <c r="C645" s="18"/>
      <c r="D645" s="19"/>
    </row>
    <row r="646" spans="1:4" x14ac:dyDescent="0.3">
      <c r="A646" s="17"/>
      <c r="B646" s="18"/>
      <c r="C646" s="18"/>
      <c r="D646" s="19"/>
    </row>
    <row r="647" spans="1:4" x14ac:dyDescent="0.3">
      <c r="A647" s="17"/>
      <c r="B647" s="18"/>
      <c r="C647" s="18"/>
      <c r="D647" s="19"/>
    </row>
    <row r="648" spans="1:4" x14ac:dyDescent="0.3">
      <c r="A648" s="17"/>
      <c r="B648" s="18"/>
      <c r="C648" s="18"/>
      <c r="D648" s="19"/>
    </row>
    <row r="649" spans="1:4" x14ac:dyDescent="0.3">
      <c r="A649" s="17"/>
      <c r="B649" s="18"/>
      <c r="C649" s="18"/>
      <c r="D649" s="19"/>
    </row>
    <row r="650" spans="1:4" x14ac:dyDescent="0.3">
      <c r="A650" s="17"/>
      <c r="B650" s="18"/>
      <c r="C650" s="18"/>
      <c r="D650" s="19"/>
    </row>
    <row r="651" spans="1:4" x14ac:dyDescent="0.3">
      <c r="A651" s="17"/>
      <c r="B651" s="18"/>
      <c r="C651" s="18"/>
      <c r="D651" s="19"/>
    </row>
    <row r="652" spans="1:4" x14ac:dyDescent="0.3">
      <c r="A652" s="17"/>
      <c r="B652" s="18"/>
      <c r="C652" s="18"/>
      <c r="D652" s="19"/>
    </row>
    <row r="653" spans="1:4" x14ac:dyDescent="0.3">
      <c r="A653" s="17"/>
      <c r="B653" s="18"/>
      <c r="C653" s="18"/>
      <c r="D653" s="19"/>
    </row>
    <row r="654" spans="1:4" x14ac:dyDescent="0.3">
      <c r="A654" s="17"/>
      <c r="B654" s="18"/>
      <c r="C654" s="18"/>
      <c r="D654" s="19"/>
    </row>
    <row r="655" spans="1:4" x14ac:dyDescent="0.3">
      <c r="A655" s="17"/>
      <c r="B655" s="18"/>
      <c r="C655" s="18"/>
      <c r="D655" s="19"/>
    </row>
    <row r="656" spans="1:4" x14ac:dyDescent="0.3">
      <c r="A656" s="17"/>
      <c r="B656" s="18"/>
      <c r="C656" s="18"/>
      <c r="D656" s="19"/>
    </row>
    <row r="657" spans="1:4" x14ac:dyDescent="0.3">
      <c r="A657" s="17"/>
      <c r="B657" s="18"/>
      <c r="C657" s="18"/>
      <c r="D657" s="19"/>
    </row>
    <row r="658" spans="1:4" x14ac:dyDescent="0.3">
      <c r="A658" s="17"/>
      <c r="B658" s="18"/>
      <c r="C658" s="18"/>
      <c r="D658" s="19"/>
    </row>
    <row r="659" spans="1:4" x14ac:dyDescent="0.3">
      <c r="A659" s="17"/>
      <c r="B659" s="18"/>
      <c r="C659" s="18"/>
      <c r="D659" s="19"/>
    </row>
    <row r="660" spans="1:4" x14ac:dyDescent="0.3">
      <c r="A660" s="17"/>
      <c r="B660" s="18"/>
      <c r="C660" s="18"/>
      <c r="D660" s="19"/>
    </row>
    <row r="661" spans="1:4" x14ac:dyDescent="0.3">
      <c r="A661" s="17"/>
      <c r="B661" s="18"/>
      <c r="C661" s="18"/>
      <c r="D661" s="19"/>
    </row>
    <row r="662" spans="1:4" x14ac:dyDescent="0.3">
      <c r="A662" s="17"/>
      <c r="B662" s="18"/>
      <c r="C662" s="18"/>
      <c r="D662" s="19"/>
    </row>
    <row r="663" spans="1:4" x14ac:dyDescent="0.3">
      <c r="A663" s="17"/>
      <c r="B663" s="18"/>
      <c r="C663" s="18"/>
      <c r="D663" s="19"/>
    </row>
    <row r="664" spans="1:4" x14ac:dyDescent="0.3">
      <c r="A664" s="17"/>
      <c r="B664" s="18"/>
      <c r="C664" s="18"/>
      <c r="D664" s="19"/>
    </row>
    <row r="665" spans="1:4" x14ac:dyDescent="0.3">
      <c r="A665" s="17"/>
      <c r="B665" s="18"/>
      <c r="C665" s="18"/>
      <c r="D665" s="19"/>
    </row>
    <row r="666" spans="1:4" x14ac:dyDescent="0.3">
      <c r="A666" s="17"/>
      <c r="B666" s="18"/>
      <c r="C666" s="18"/>
      <c r="D666" s="19"/>
    </row>
    <row r="667" spans="1:4" x14ac:dyDescent="0.3">
      <c r="A667" s="17"/>
      <c r="B667" s="18"/>
      <c r="C667" s="18"/>
      <c r="D667" s="19"/>
    </row>
    <row r="668" spans="1:4" x14ac:dyDescent="0.3">
      <c r="A668" s="17"/>
      <c r="B668" s="18"/>
      <c r="C668" s="18"/>
      <c r="D668" s="19"/>
    </row>
    <row r="669" spans="1:4" x14ac:dyDescent="0.3">
      <c r="A669" s="17"/>
      <c r="B669" s="18"/>
      <c r="C669" s="18"/>
      <c r="D669" s="19"/>
    </row>
    <row r="670" spans="1:4" x14ac:dyDescent="0.3">
      <c r="A670" s="17"/>
      <c r="B670" s="18"/>
      <c r="C670" s="18"/>
      <c r="D670" s="19"/>
    </row>
    <row r="671" spans="1:4" x14ac:dyDescent="0.3">
      <c r="A671" s="17"/>
      <c r="B671" s="18"/>
      <c r="C671" s="18"/>
      <c r="D671" s="19"/>
    </row>
    <row r="672" spans="1:4" x14ac:dyDescent="0.3">
      <c r="A672" s="17"/>
      <c r="B672" s="18"/>
      <c r="C672" s="18"/>
      <c r="D672" s="19"/>
    </row>
    <row r="673" spans="1:4" x14ac:dyDescent="0.3">
      <c r="A673" s="17"/>
      <c r="B673" s="18"/>
      <c r="C673" s="18"/>
      <c r="D673" s="19"/>
    </row>
    <row r="674" spans="1:4" x14ac:dyDescent="0.3">
      <c r="A674" s="17"/>
      <c r="B674" s="18"/>
      <c r="C674" s="18"/>
      <c r="D674" s="19"/>
    </row>
    <row r="675" spans="1:4" x14ac:dyDescent="0.3">
      <c r="A675" s="17"/>
      <c r="B675" s="18"/>
      <c r="C675" s="18"/>
      <c r="D675" s="19"/>
    </row>
    <row r="676" spans="1:4" x14ac:dyDescent="0.3">
      <c r="A676" s="17"/>
      <c r="B676" s="18"/>
      <c r="C676" s="18"/>
      <c r="D676" s="19"/>
    </row>
    <row r="677" spans="1:4" x14ac:dyDescent="0.3">
      <c r="A677" s="17"/>
      <c r="B677" s="18"/>
      <c r="C677" s="18"/>
      <c r="D677" s="19"/>
    </row>
    <row r="678" spans="1:4" x14ac:dyDescent="0.3">
      <c r="A678" s="17"/>
      <c r="B678" s="18"/>
      <c r="C678" s="18"/>
      <c r="D678" s="19"/>
    </row>
    <row r="679" spans="1:4" x14ac:dyDescent="0.3">
      <c r="A679" s="17"/>
      <c r="B679" s="18"/>
      <c r="C679" s="18"/>
      <c r="D679" s="19"/>
    </row>
    <row r="680" spans="1:4" x14ac:dyDescent="0.3">
      <c r="A680" s="17"/>
      <c r="B680" s="18"/>
      <c r="C680" s="18"/>
      <c r="D680" s="19"/>
    </row>
    <row r="681" spans="1:4" x14ac:dyDescent="0.3">
      <c r="A681" s="17"/>
      <c r="B681" s="18"/>
      <c r="C681" s="18"/>
      <c r="D681" s="19"/>
    </row>
    <row r="682" spans="1:4" x14ac:dyDescent="0.3">
      <c r="A682" s="17"/>
      <c r="B682" s="18"/>
      <c r="C682" s="18"/>
      <c r="D682" s="19"/>
    </row>
    <row r="683" spans="1:4" x14ac:dyDescent="0.3">
      <c r="A683" s="17"/>
      <c r="B683" s="18"/>
      <c r="C683" s="18"/>
      <c r="D683" s="19"/>
    </row>
    <row r="684" spans="1:4" x14ac:dyDescent="0.3">
      <c r="A684" s="17"/>
      <c r="B684" s="18"/>
      <c r="C684" s="18"/>
      <c r="D684" s="19"/>
    </row>
    <row r="685" spans="1:4" x14ac:dyDescent="0.3">
      <c r="A685" s="17"/>
      <c r="B685" s="18"/>
      <c r="C685" s="18"/>
      <c r="D685" s="19"/>
    </row>
    <row r="686" spans="1:4" x14ac:dyDescent="0.3">
      <c r="A686" s="17"/>
      <c r="B686" s="18"/>
      <c r="C686" s="18"/>
      <c r="D686" s="19"/>
    </row>
    <row r="687" spans="1:4" x14ac:dyDescent="0.3">
      <c r="A687" s="17"/>
      <c r="B687" s="18"/>
      <c r="C687" s="18"/>
      <c r="D687" s="19"/>
    </row>
    <row r="688" spans="1:4" x14ac:dyDescent="0.3">
      <c r="A688" s="17"/>
      <c r="B688" s="18"/>
      <c r="C688" s="18"/>
      <c r="D688" s="19"/>
    </row>
    <row r="689" spans="1:4" x14ac:dyDescent="0.3">
      <c r="A689" s="17"/>
      <c r="B689" s="18"/>
      <c r="C689" s="18"/>
      <c r="D689" s="19"/>
    </row>
    <row r="690" spans="1:4" x14ac:dyDescent="0.3">
      <c r="A690" s="17"/>
      <c r="B690" s="18"/>
      <c r="C690" s="18"/>
      <c r="D690" s="19"/>
    </row>
    <row r="691" spans="1:4" x14ac:dyDescent="0.3">
      <c r="A691" s="17"/>
      <c r="B691" s="18"/>
      <c r="C691" s="18"/>
      <c r="D691" s="19"/>
    </row>
    <row r="692" spans="1:4" x14ac:dyDescent="0.3">
      <c r="A692" s="17"/>
      <c r="B692" s="18"/>
      <c r="C692" s="18"/>
      <c r="D692" s="19"/>
    </row>
    <row r="693" spans="1:4" x14ac:dyDescent="0.3">
      <c r="A693" s="17"/>
      <c r="B693" s="18"/>
      <c r="C693" s="18"/>
      <c r="D693" s="19"/>
    </row>
    <row r="694" spans="1:4" x14ac:dyDescent="0.3">
      <c r="A694" s="17"/>
      <c r="B694" s="18"/>
      <c r="C694" s="18"/>
      <c r="D694" s="19"/>
    </row>
    <row r="695" spans="1:4" x14ac:dyDescent="0.3">
      <c r="A695" s="17"/>
      <c r="B695" s="18"/>
      <c r="C695" s="18"/>
      <c r="D695" s="19"/>
    </row>
    <row r="696" spans="1:4" x14ac:dyDescent="0.3">
      <c r="A696" s="17"/>
      <c r="B696" s="18"/>
      <c r="C696" s="18"/>
      <c r="D696" s="19"/>
    </row>
    <row r="697" spans="1:4" x14ac:dyDescent="0.3">
      <c r="A697" s="17"/>
      <c r="B697" s="18"/>
      <c r="C697" s="18"/>
      <c r="D697" s="19"/>
    </row>
    <row r="698" spans="1:4" x14ac:dyDescent="0.3">
      <c r="A698" s="17"/>
      <c r="B698" s="18"/>
      <c r="C698" s="18"/>
      <c r="D698" s="19"/>
    </row>
    <row r="699" spans="1:4" x14ac:dyDescent="0.3">
      <c r="A699" s="17"/>
      <c r="B699" s="18"/>
      <c r="C699" s="18"/>
      <c r="D699" s="19"/>
    </row>
    <row r="700" spans="1:4" x14ac:dyDescent="0.3">
      <c r="A700" s="17"/>
      <c r="B700" s="18"/>
      <c r="C700" s="18"/>
      <c r="D700" s="19"/>
    </row>
    <row r="701" spans="1:4" x14ac:dyDescent="0.3">
      <c r="A701" s="17"/>
      <c r="B701" s="18"/>
      <c r="C701" s="18"/>
      <c r="D701" s="19"/>
    </row>
    <row r="702" spans="1:4" x14ac:dyDescent="0.3">
      <c r="A702" s="17"/>
      <c r="B702" s="18"/>
      <c r="C702" s="18"/>
      <c r="D702" s="19"/>
    </row>
    <row r="703" spans="1:4" x14ac:dyDescent="0.3">
      <c r="A703" s="17"/>
      <c r="B703" s="18"/>
      <c r="C703" s="18"/>
      <c r="D703" s="19"/>
    </row>
    <row r="704" spans="1:4" x14ac:dyDescent="0.3">
      <c r="A704" s="17"/>
      <c r="B704" s="18"/>
      <c r="C704" s="18"/>
      <c r="D704" s="19"/>
    </row>
    <row r="705" spans="1:4" x14ac:dyDescent="0.3">
      <c r="A705" s="17"/>
      <c r="B705" s="18"/>
      <c r="C705" s="18"/>
      <c r="D705" s="19"/>
    </row>
    <row r="706" spans="1:4" x14ac:dyDescent="0.3">
      <c r="A706" s="17"/>
      <c r="B706" s="18"/>
      <c r="C706" s="18"/>
      <c r="D706" s="19"/>
    </row>
    <row r="707" spans="1:4" x14ac:dyDescent="0.3">
      <c r="A707" s="17"/>
      <c r="B707" s="18"/>
      <c r="C707" s="18"/>
      <c r="D707" s="19"/>
    </row>
    <row r="708" spans="1:4" x14ac:dyDescent="0.3">
      <c r="A708" s="17"/>
      <c r="B708" s="18"/>
      <c r="C708" s="18"/>
      <c r="D708" s="19"/>
    </row>
    <row r="709" spans="1:4" x14ac:dyDescent="0.3">
      <c r="A709" s="17"/>
      <c r="B709" s="18"/>
      <c r="C709" s="18"/>
      <c r="D709" s="19"/>
    </row>
    <row r="710" spans="1:4" x14ac:dyDescent="0.3">
      <c r="A710" s="17"/>
      <c r="B710" s="18"/>
      <c r="C710" s="18"/>
      <c r="D710" s="19"/>
    </row>
    <row r="711" spans="1:4" x14ac:dyDescent="0.3">
      <c r="A711" s="17"/>
      <c r="B711" s="18"/>
      <c r="C711" s="18"/>
      <c r="D711" s="19"/>
    </row>
    <row r="712" spans="1:4" x14ac:dyDescent="0.3">
      <c r="A712" s="17"/>
      <c r="B712" s="18"/>
      <c r="C712" s="18"/>
      <c r="D712" s="19"/>
    </row>
    <row r="713" spans="1:4" x14ac:dyDescent="0.3">
      <c r="A713" s="17"/>
      <c r="B713" s="18"/>
      <c r="C713" s="18"/>
      <c r="D713" s="19"/>
    </row>
    <row r="714" spans="1:4" x14ac:dyDescent="0.3">
      <c r="A714" s="17"/>
      <c r="B714" s="18"/>
      <c r="C714" s="18"/>
      <c r="D714" s="19"/>
    </row>
    <row r="715" spans="1:4" x14ac:dyDescent="0.3">
      <c r="A715" s="17"/>
      <c r="B715" s="18"/>
      <c r="C715" s="18"/>
      <c r="D715" s="19"/>
    </row>
    <row r="716" spans="1:4" x14ac:dyDescent="0.3">
      <c r="A716" s="17"/>
      <c r="B716" s="18"/>
      <c r="C716" s="18"/>
      <c r="D716" s="19"/>
    </row>
    <row r="717" spans="1:4" x14ac:dyDescent="0.3">
      <c r="A717" s="17"/>
      <c r="B717" s="18"/>
      <c r="C717" s="18"/>
      <c r="D717" s="19"/>
    </row>
    <row r="718" spans="1:4" x14ac:dyDescent="0.3">
      <c r="A718" s="17"/>
      <c r="B718" s="18"/>
      <c r="C718" s="18"/>
      <c r="D718" s="19"/>
    </row>
    <row r="719" spans="1:4" x14ac:dyDescent="0.3">
      <c r="A719" s="17"/>
      <c r="B719" s="18"/>
      <c r="C719" s="18"/>
      <c r="D719" s="19"/>
    </row>
    <row r="720" spans="1:4" x14ac:dyDescent="0.3">
      <c r="A720" s="17"/>
      <c r="B720" s="18"/>
      <c r="C720" s="18"/>
      <c r="D720" s="19"/>
    </row>
    <row r="721" spans="1:4" x14ac:dyDescent="0.3">
      <c r="A721" s="17"/>
      <c r="B721" s="18"/>
      <c r="C721" s="18"/>
      <c r="D721" s="19"/>
    </row>
    <row r="722" spans="1:4" x14ac:dyDescent="0.3">
      <c r="A722" s="17"/>
      <c r="B722" s="18"/>
      <c r="C722" s="18"/>
      <c r="D722" s="19"/>
    </row>
    <row r="723" spans="1:4" x14ac:dyDescent="0.3">
      <c r="A723" s="17"/>
      <c r="B723" s="18"/>
      <c r="C723" s="18"/>
      <c r="D723" s="19"/>
    </row>
    <row r="724" spans="1:4" x14ac:dyDescent="0.3">
      <c r="A724" s="17"/>
      <c r="B724" s="18"/>
      <c r="C724" s="18"/>
      <c r="D724" s="19"/>
    </row>
    <row r="725" spans="1:4" x14ac:dyDescent="0.3">
      <c r="A725" s="17"/>
      <c r="B725" s="18"/>
      <c r="C725" s="18"/>
      <c r="D725" s="19"/>
    </row>
    <row r="726" spans="1:4" x14ac:dyDescent="0.3">
      <c r="A726" s="17"/>
      <c r="B726" s="18"/>
      <c r="C726" s="18"/>
      <c r="D726" s="19"/>
    </row>
    <row r="727" spans="1:4" x14ac:dyDescent="0.3">
      <c r="A727" s="17"/>
      <c r="B727" s="18"/>
      <c r="C727" s="18"/>
      <c r="D727" s="19"/>
    </row>
    <row r="728" spans="1:4" x14ac:dyDescent="0.3">
      <c r="A728" s="17"/>
      <c r="B728" s="18"/>
      <c r="C728" s="18"/>
      <c r="D728" s="19"/>
    </row>
    <row r="729" spans="1:4" x14ac:dyDescent="0.3">
      <c r="A729" s="17"/>
      <c r="B729" s="18"/>
      <c r="C729" s="18"/>
      <c r="D729" s="19"/>
    </row>
    <row r="730" spans="1:4" x14ac:dyDescent="0.3">
      <c r="A730" s="17"/>
      <c r="B730" s="18"/>
      <c r="C730" s="18"/>
      <c r="D730" s="19"/>
    </row>
    <row r="731" spans="1:4" x14ac:dyDescent="0.3">
      <c r="A731" s="17"/>
      <c r="B731" s="18"/>
      <c r="C731" s="18"/>
      <c r="D731" s="19"/>
    </row>
    <row r="732" spans="1:4" x14ac:dyDescent="0.3">
      <c r="A732" s="17"/>
      <c r="B732" s="18"/>
      <c r="C732" s="18"/>
      <c r="D732" s="19"/>
    </row>
    <row r="733" spans="1:4" x14ac:dyDescent="0.3">
      <c r="A733" s="17"/>
      <c r="B733" s="18"/>
      <c r="C733" s="18"/>
      <c r="D733" s="19"/>
    </row>
    <row r="734" spans="1:4" x14ac:dyDescent="0.3">
      <c r="A734" s="17"/>
      <c r="B734" s="18"/>
      <c r="C734" s="18"/>
      <c r="D734" s="19"/>
    </row>
    <row r="735" spans="1:4" x14ac:dyDescent="0.3">
      <c r="A735" s="17"/>
      <c r="B735" s="18"/>
      <c r="C735" s="18"/>
      <c r="D735" s="19"/>
    </row>
    <row r="736" spans="1:4" x14ac:dyDescent="0.3">
      <c r="A736" s="17"/>
      <c r="B736" s="18"/>
      <c r="C736" s="18"/>
      <c r="D736" s="19"/>
    </row>
    <row r="737" spans="1:4" x14ac:dyDescent="0.3">
      <c r="A737" s="17"/>
      <c r="B737" s="18"/>
      <c r="C737" s="18"/>
      <c r="D737" s="19"/>
    </row>
    <row r="738" spans="1:4" x14ac:dyDescent="0.3">
      <c r="A738" s="17"/>
      <c r="B738" s="18"/>
      <c r="C738" s="18"/>
      <c r="D738" s="19"/>
    </row>
    <row r="739" spans="1:4" x14ac:dyDescent="0.3">
      <c r="A739" s="17"/>
      <c r="B739" s="18"/>
      <c r="C739" s="18"/>
      <c r="D739" s="19"/>
    </row>
    <row r="740" spans="1:4" x14ac:dyDescent="0.3">
      <c r="A740" s="17"/>
      <c r="B740" s="18"/>
      <c r="C740" s="18"/>
      <c r="D740" s="19"/>
    </row>
    <row r="741" spans="1:4" x14ac:dyDescent="0.3">
      <c r="A741" s="17"/>
      <c r="B741" s="18"/>
      <c r="C741" s="18"/>
      <c r="D741" s="19"/>
    </row>
    <row r="742" spans="1:4" x14ac:dyDescent="0.3">
      <c r="A742" s="17"/>
      <c r="B742" s="18"/>
      <c r="C742" s="18"/>
      <c r="D742" s="19"/>
    </row>
    <row r="743" spans="1:4" x14ac:dyDescent="0.3">
      <c r="A743" s="17"/>
      <c r="B743" s="18"/>
      <c r="C743" s="18"/>
      <c r="D743" s="19"/>
    </row>
    <row r="744" spans="1:4" x14ac:dyDescent="0.3">
      <c r="A744" s="17"/>
      <c r="B744" s="18"/>
      <c r="C744" s="18"/>
      <c r="D744" s="19"/>
    </row>
    <row r="745" spans="1:4" x14ac:dyDescent="0.3">
      <c r="A745" s="17"/>
      <c r="B745" s="18"/>
      <c r="C745" s="18"/>
      <c r="D745" s="19"/>
    </row>
    <row r="746" spans="1:4" x14ac:dyDescent="0.3">
      <c r="A746" s="17"/>
      <c r="B746" s="18"/>
      <c r="C746" s="18"/>
      <c r="D746" s="19"/>
    </row>
    <row r="747" spans="1:4" x14ac:dyDescent="0.3">
      <c r="A747" s="17"/>
      <c r="B747" s="18"/>
      <c r="C747" s="18"/>
      <c r="D747" s="19"/>
    </row>
    <row r="748" spans="1:4" x14ac:dyDescent="0.3">
      <c r="A748" s="17"/>
      <c r="B748" s="18"/>
      <c r="C748" s="18"/>
      <c r="D748" s="19"/>
    </row>
    <row r="749" spans="1:4" x14ac:dyDescent="0.3">
      <c r="A749" s="17"/>
      <c r="B749" s="18"/>
      <c r="C749" s="18"/>
      <c r="D749" s="19"/>
    </row>
    <row r="750" spans="1:4" x14ac:dyDescent="0.3">
      <c r="A750" s="17"/>
      <c r="B750" s="18"/>
      <c r="C750" s="18"/>
      <c r="D750" s="19"/>
    </row>
    <row r="751" spans="1:4" x14ac:dyDescent="0.3">
      <c r="A751" s="17"/>
      <c r="B751" s="18"/>
      <c r="C751" s="18"/>
      <c r="D751" s="19"/>
    </row>
    <row r="752" spans="1:4" x14ac:dyDescent="0.3">
      <c r="A752" s="17"/>
      <c r="B752" s="18"/>
      <c r="C752" s="18"/>
      <c r="D752" s="19"/>
    </row>
    <row r="753" spans="1:4" x14ac:dyDescent="0.3">
      <c r="A753" s="17"/>
      <c r="B753" s="18"/>
      <c r="C753" s="18"/>
      <c r="D753" s="19"/>
    </row>
    <row r="754" spans="1:4" x14ac:dyDescent="0.3">
      <c r="A754" s="17"/>
      <c r="B754" s="18"/>
      <c r="C754" s="18"/>
      <c r="D754" s="19"/>
    </row>
    <row r="755" spans="1:4" x14ac:dyDescent="0.3">
      <c r="A755" s="17"/>
      <c r="B755" s="18"/>
      <c r="C755" s="18"/>
      <c r="D755" s="19"/>
    </row>
    <row r="756" spans="1:4" x14ac:dyDescent="0.3">
      <c r="A756" s="17"/>
      <c r="B756" s="18"/>
      <c r="C756" s="18"/>
      <c r="D756" s="19"/>
    </row>
    <row r="757" spans="1:4" x14ac:dyDescent="0.3">
      <c r="A757" s="17"/>
      <c r="B757" s="18"/>
      <c r="C757" s="18"/>
      <c r="D757" s="19"/>
    </row>
    <row r="758" spans="1:4" x14ac:dyDescent="0.3">
      <c r="A758" s="17"/>
      <c r="B758" s="18"/>
      <c r="C758" s="18"/>
      <c r="D758" s="19"/>
    </row>
    <row r="759" spans="1:4" x14ac:dyDescent="0.3">
      <c r="A759" s="17"/>
      <c r="B759" s="18"/>
      <c r="C759" s="18"/>
      <c r="D759" s="19"/>
    </row>
    <row r="760" spans="1:4" x14ac:dyDescent="0.3">
      <c r="A760" s="17"/>
      <c r="B760" s="18"/>
      <c r="C760" s="18"/>
      <c r="D760" s="19"/>
    </row>
    <row r="761" spans="1:4" x14ac:dyDescent="0.3">
      <c r="A761" s="17"/>
      <c r="B761" s="18"/>
      <c r="C761" s="18"/>
      <c r="D761" s="19"/>
    </row>
    <row r="762" spans="1:4" x14ac:dyDescent="0.3">
      <c r="A762" s="17"/>
      <c r="B762" s="18"/>
      <c r="C762" s="18"/>
      <c r="D762" s="19"/>
    </row>
    <row r="763" spans="1:4" x14ac:dyDescent="0.3">
      <c r="A763" s="17"/>
      <c r="B763" s="18"/>
      <c r="C763" s="18"/>
      <c r="D763" s="19"/>
    </row>
    <row r="764" spans="1:4" x14ac:dyDescent="0.3">
      <c r="A764" s="17"/>
      <c r="B764" s="18"/>
      <c r="C764" s="18"/>
      <c r="D764" s="19"/>
    </row>
    <row r="765" spans="1:4" x14ac:dyDescent="0.3">
      <c r="A765" s="17"/>
      <c r="B765" s="18"/>
      <c r="C765" s="18"/>
      <c r="D765" s="19"/>
    </row>
    <row r="766" spans="1:4" x14ac:dyDescent="0.3">
      <c r="A766" s="17"/>
      <c r="B766" s="18"/>
      <c r="C766" s="18"/>
      <c r="D766" s="19"/>
    </row>
    <row r="767" spans="1:4" x14ac:dyDescent="0.3">
      <c r="A767" s="17"/>
      <c r="B767" s="18"/>
      <c r="C767" s="18"/>
      <c r="D767" s="19"/>
    </row>
    <row r="768" spans="1:4" x14ac:dyDescent="0.3">
      <c r="A768" s="17"/>
      <c r="B768" s="18"/>
      <c r="C768" s="18"/>
      <c r="D768" s="19"/>
    </row>
    <row r="769" spans="1:4" x14ac:dyDescent="0.3">
      <c r="A769" s="17"/>
      <c r="B769" s="18"/>
      <c r="C769" s="18"/>
      <c r="D769" s="19"/>
    </row>
    <row r="770" spans="1:4" x14ac:dyDescent="0.3">
      <c r="A770" s="17"/>
      <c r="B770" s="18"/>
      <c r="C770" s="18"/>
      <c r="D770" s="19"/>
    </row>
    <row r="771" spans="1:4" x14ac:dyDescent="0.3">
      <c r="A771" s="17"/>
      <c r="B771" s="18"/>
      <c r="C771" s="18"/>
      <c r="D771" s="19"/>
    </row>
    <row r="772" spans="1:4" x14ac:dyDescent="0.3">
      <c r="A772" s="17"/>
      <c r="B772" s="18"/>
      <c r="C772" s="18"/>
      <c r="D772" s="19"/>
    </row>
    <row r="773" spans="1:4" x14ac:dyDescent="0.3">
      <c r="A773" s="17"/>
      <c r="B773" s="18"/>
      <c r="C773" s="18"/>
      <c r="D773" s="19"/>
    </row>
    <row r="774" spans="1:4" x14ac:dyDescent="0.3">
      <c r="A774" s="17"/>
      <c r="B774" s="18"/>
      <c r="C774" s="18"/>
      <c r="D774" s="19"/>
    </row>
    <row r="775" spans="1:4" x14ac:dyDescent="0.3">
      <c r="A775" s="17"/>
      <c r="B775" s="18"/>
      <c r="C775" s="18"/>
      <c r="D775" s="19"/>
    </row>
    <row r="776" spans="1:4" x14ac:dyDescent="0.3">
      <c r="A776" s="17"/>
      <c r="B776" s="18"/>
      <c r="C776" s="18"/>
      <c r="D776" s="19"/>
    </row>
    <row r="777" spans="1:4" x14ac:dyDescent="0.3">
      <c r="A777" s="17"/>
      <c r="B777" s="18"/>
      <c r="C777" s="18"/>
      <c r="D777" s="19"/>
    </row>
    <row r="778" spans="1:4" x14ac:dyDescent="0.3">
      <c r="A778" s="17"/>
      <c r="B778" s="18"/>
      <c r="C778" s="18"/>
      <c r="D778" s="19"/>
    </row>
    <row r="779" spans="1:4" x14ac:dyDescent="0.3">
      <c r="A779" s="17"/>
      <c r="B779" s="18"/>
      <c r="C779" s="18"/>
      <c r="D779" s="19"/>
    </row>
    <row r="780" spans="1:4" x14ac:dyDescent="0.3">
      <c r="A780" s="17"/>
      <c r="B780" s="18"/>
      <c r="C780" s="18"/>
      <c r="D780" s="19"/>
    </row>
    <row r="781" spans="1:4" x14ac:dyDescent="0.3">
      <c r="A781" s="17"/>
      <c r="B781" s="18"/>
      <c r="C781" s="18"/>
      <c r="D781" s="19"/>
    </row>
    <row r="782" spans="1:4" x14ac:dyDescent="0.3">
      <c r="A782" s="17"/>
      <c r="B782" s="18"/>
      <c r="C782" s="18"/>
      <c r="D782" s="19"/>
    </row>
    <row r="783" spans="1:4" x14ac:dyDescent="0.3">
      <c r="A783" s="17"/>
      <c r="B783" s="18"/>
      <c r="C783" s="18"/>
      <c r="D783" s="19"/>
    </row>
    <row r="784" spans="1:4" x14ac:dyDescent="0.3">
      <c r="A784" s="17"/>
      <c r="B784" s="18"/>
      <c r="C784" s="18"/>
      <c r="D784" s="19"/>
    </row>
    <row r="785" spans="1:4" x14ac:dyDescent="0.3">
      <c r="A785" s="17"/>
      <c r="B785" s="18"/>
      <c r="C785" s="18"/>
      <c r="D785" s="19"/>
    </row>
    <row r="786" spans="1:4" x14ac:dyDescent="0.3">
      <c r="A786" s="17"/>
      <c r="B786" s="18"/>
      <c r="C786" s="18"/>
      <c r="D786" s="19"/>
    </row>
    <row r="787" spans="1:4" x14ac:dyDescent="0.3">
      <c r="A787" s="17"/>
      <c r="B787" s="18"/>
      <c r="C787" s="18"/>
      <c r="D787" s="19"/>
    </row>
    <row r="788" spans="1:4" x14ac:dyDescent="0.3">
      <c r="A788" s="17"/>
      <c r="B788" s="18"/>
      <c r="C788" s="18"/>
      <c r="D788" s="19"/>
    </row>
    <row r="789" spans="1:4" x14ac:dyDescent="0.3">
      <c r="A789" s="17"/>
      <c r="B789" s="18"/>
      <c r="C789" s="18"/>
      <c r="D789" s="19"/>
    </row>
    <row r="790" spans="1:4" x14ac:dyDescent="0.3">
      <c r="A790" s="17"/>
      <c r="B790" s="18"/>
      <c r="C790" s="18"/>
      <c r="D790" s="19"/>
    </row>
    <row r="791" spans="1:4" x14ac:dyDescent="0.3">
      <c r="A791" s="17"/>
      <c r="B791" s="18"/>
      <c r="C791" s="18"/>
      <c r="D791" s="19"/>
    </row>
    <row r="792" spans="1:4" x14ac:dyDescent="0.3">
      <c r="A792" s="17"/>
      <c r="B792" s="18"/>
      <c r="C792" s="18"/>
      <c r="D792" s="19"/>
    </row>
    <row r="793" spans="1:4" x14ac:dyDescent="0.3">
      <c r="A793" s="17"/>
      <c r="B793" s="18"/>
      <c r="C793" s="18"/>
      <c r="D793" s="19"/>
    </row>
    <row r="794" spans="1:4" x14ac:dyDescent="0.3">
      <c r="A794" s="17"/>
      <c r="B794" s="18"/>
      <c r="C794" s="18"/>
      <c r="D794" s="19"/>
    </row>
    <row r="795" spans="1:4" x14ac:dyDescent="0.3">
      <c r="A795" s="17"/>
      <c r="B795" s="18"/>
      <c r="C795" s="18"/>
      <c r="D795" s="19"/>
    </row>
    <row r="796" spans="1:4" x14ac:dyDescent="0.3">
      <c r="A796" s="17"/>
      <c r="B796" s="18"/>
      <c r="C796" s="18"/>
      <c r="D796" s="19"/>
    </row>
    <row r="797" spans="1:4" x14ac:dyDescent="0.3">
      <c r="A797" s="17"/>
      <c r="B797" s="18"/>
      <c r="C797" s="18"/>
      <c r="D797" s="19"/>
    </row>
    <row r="798" spans="1:4" x14ac:dyDescent="0.3">
      <c r="A798" s="17"/>
      <c r="B798" s="18"/>
      <c r="C798" s="18"/>
      <c r="D798" s="19"/>
    </row>
    <row r="799" spans="1:4" x14ac:dyDescent="0.3">
      <c r="A799" s="17"/>
      <c r="B799" s="18"/>
      <c r="C799" s="18"/>
      <c r="D799" s="19"/>
    </row>
    <row r="800" spans="1:4" x14ac:dyDescent="0.3">
      <c r="A800" s="17"/>
      <c r="B800" s="18"/>
      <c r="C800" s="18"/>
      <c r="D800" s="19"/>
    </row>
    <row r="801" spans="1:4" x14ac:dyDescent="0.3">
      <c r="A801" s="17"/>
      <c r="B801" s="18"/>
      <c r="C801" s="18"/>
      <c r="D801" s="19"/>
    </row>
    <row r="802" spans="1:4" x14ac:dyDescent="0.3">
      <c r="A802" s="17"/>
      <c r="B802" s="18"/>
      <c r="C802" s="18"/>
      <c r="D802" s="19"/>
    </row>
    <row r="803" spans="1:4" x14ac:dyDescent="0.3">
      <c r="A803" s="17"/>
      <c r="B803" s="18"/>
      <c r="C803" s="18"/>
      <c r="D803" s="19"/>
    </row>
    <row r="804" spans="1:4" x14ac:dyDescent="0.3">
      <c r="A804" s="17"/>
      <c r="B804" s="18"/>
      <c r="C804" s="18"/>
      <c r="D804" s="19"/>
    </row>
    <row r="805" spans="1:4" x14ac:dyDescent="0.3">
      <c r="A805" s="17"/>
      <c r="B805" s="18"/>
      <c r="C805" s="18"/>
      <c r="D805" s="19"/>
    </row>
    <row r="806" spans="1:4" x14ac:dyDescent="0.3">
      <c r="A806" s="17"/>
      <c r="B806" s="18"/>
      <c r="C806" s="18"/>
      <c r="D806" s="19"/>
    </row>
    <row r="807" spans="1:4" x14ac:dyDescent="0.3">
      <c r="A807" s="17"/>
      <c r="B807" s="18"/>
      <c r="C807" s="18"/>
      <c r="D807" s="19"/>
    </row>
    <row r="808" spans="1:4" x14ac:dyDescent="0.3">
      <c r="A808" s="17"/>
      <c r="B808" s="18"/>
      <c r="C808" s="18"/>
      <c r="D808" s="19"/>
    </row>
    <row r="809" spans="1:4" x14ac:dyDescent="0.3">
      <c r="A809" s="17"/>
      <c r="B809" s="18"/>
      <c r="C809" s="18"/>
      <c r="D809" s="19"/>
    </row>
    <row r="810" spans="1:4" x14ac:dyDescent="0.3">
      <c r="A810" s="17"/>
      <c r="B810" s="18"/>
      <c r="C810" s="18"/>
      <c r="D810" s="19"/>
    </row>
    <row r="811" spans="1:4" x14ac:dyDescent="0.3">
      <c r="A811" s="17"/>
      <c r="B811" s="18"/>
      <c r="C811" s="18"/>
      <c r="D811" s="19"/>
    </row>
    <row r="812" spans="1:4" x14ac:dyDescent="0.3">
      <c r="A812" s="17"/>
      <c r="B812" s="18"/>
      <c r="C812" s="18"/>
      <c r="D812" s="19"/>
    </row>
    <row r="813" spans="1:4" x14ac:dyDescent="0.3">
      <c r="A813" s="17"/>
      <c r="B813" s="18"/>
      <c r="C813" s="18"/>
      <c r="D813" s="19"/>
    </row>
    <row r="814" spans="1:4" x14ac:dyDescent="0.3">
      <c r="A814" s="17"/>
      <c r="B814" s="18"/>
      <c r="C814" s="18"/>
      <c r="D814" s="19"/>
    </row>
    <row r="815" spans="1:4" x14ac:dyDescent="0.3">
      <c r="A815" s="17"/>
      <c r="B815" s="18"/>
      <c r="C815" s="18"/>
      <c r="D815" s="19"/>
    </row>
    <row r="816" spans="1:4" x14ac:dyDescent="0.3">
      <c r="A816" s="17"/>
      <c r="B816" s="18"/>
      <c r="C816" s="18"/>
      <c r="D816" s="19"/>
    </row>
    <row r="817" spans="1:4" x14ac:dyDescent="0.3">
      <c r="A817" s="17"/>
      <c r="B817" s="18"/>
      <c r="C817" s="18"/>
      <c r="D817" s="19"/>
    </row>
    <row r="818" spans="1:4" x14ac:dyDescent="0.3">
      <c r="A818" s="17"/>
      <c r="B818" s="18"/>
      <c r="C818" s="18"/>
      <c r="D818" s="19"/>
    </row>
    <row r="819" spans="1:4" x14ac:dyDescent="0.3">
      <c r="A819" s="17"/>
      <c r="B819" s="18"/>
      <c r="C819" s="18"/>
      <c r="D819" s="19"/>
    </row>
    <row r="820" spans="1:4" x14ac:dyDescent="0.3">
      <c r="A820" s="17"/>
      <c r="B820" s="18"/>
      <c r="C820" s="18"/>
      <c r="D820" s="19"/>
    </row>
    <row r="821" spans="1:4" x14ac:dyDescent="0.3">
      <c r="A821" s="17"/>
      <c r="B821" s="18"/>
      <c r="C821" s="18"/>
      <c r="D821" s="19"/>
    </row>
    <row r="822" spans="1:4" x14ac:dyDescent="0.3">
      <c r="A822" s="17"/>
      <c r="B822" s="18"/>
      <c r="C822" s="18"/>
      <c r="D822" s="19"/>
    </row>
    <row r="823" spans="1:4" x14ac:dyDescent="0.3">
      <c r="A823" s="17"/>
      <c r="B823" s="18"/>
      <c r="C823" s="18"/>
      <c r="D823" s="19"/>
    </row>
    <row r="824" spans="1:4" x14ac:dyDescent="0.3">
      <c r="A824" s="17"/>
      <c r="B824" s="18"/>
      <c r="C824" s="18"/>
      <c r="D824" s="19"/>
    </row>
    <row r="825" spans="1:4" x14ac:dyDescent="0.3">
      <c r="A825" s="17"/>
      <c r="B825" s="18"/>
      <c r="C825" s="18"/>
      <c r="D825" s="19"/>
    </row>
    <row r="826" spans="1:4" x14ac:dyDescent="0.3">
      <c r="A826" s="17"/>
      <c r="B826" s="18"/>
      <c r="C826" s="18"/>
      <c r="D826" s="19"/>
    </row>
    <row r="827" spans="1:4" x14ac:dyDescent="0.3">
      <c r="A827" s="17"/>
      <c r="B827" s="18"/>
      <c r="C827" s="18"/>
      <c r="D827" s="19"/>
    </row>
    <row r="828" spans="1:4" x14ac:dyDescent="0.3">
      <c r="A828" s="17"/>
      <c r="B828" s="18"/>
      <c r="C828" s="18"/>
      <c r="D828" s="19"/>
    </row>
    <row r="829" spans="1:4" x14ac:dyDescent="0.3">
      <c r="A829" s="17"/>
      <c r="B829" s="18"/>
      <c r="C829" s="18"/>
      <c r="D829" s="19"/>
    </row>
    <row r="830" spans="1:4" x14ac:dyDescent="0.3">
      <c r="A830" s="17"/>
      <c r="B830" s="18"/>
      <c r="C830" s="18"/>
      <c r="D830" s="19"/>
    </row>
    <row r="831" spans="1:4" x14ac:dyDescent="0.3">
      <c r="A831" s="17"/>
      <c r="B831" s="18"/>
      <c r="C831" s="18"/>
      <c r="D831" s="19"/>
    </row>
    <row r="832" spans="1:4" x14ac:dyDescent="0.3">
      <c r="A832" s="17"/>
      <c r="B832" s="18"/>
      <c r="C832" s="18"/>
      <c r="D832" s="19"/>
    </row>
    <row r="833" spans="1:4" x14ac:dyDescent="0.3">
      <c r="A833" s="17"/>
      <c r="B833" s="18"/>
      <c r="C833" s="18"/>
      <c r="D833" s="19"/>
    </row>
    <row r="834" spans="1:4" x14ac:dyDescent="0.3">
      <c r="A834" s="17"/>
      <c r="B834" s="18"/>
      <c r="C834" s="18"/>
      <c r="D834" s="19"/>
    </row>
    <row r="835" spans="1:4" x14ac:dyDescent="0.3">
      <c r="A835" s="17"/>
      <c r="B835" s="18"/>
      <c r="C835" s="18"/>
      <c r="D835" s="19"/>
    </row>
    <row r="836" spans="1:4" x14ac:dyDescent="0.3">
      <c r="A836" s="17"/>
      <c r="B836" s="18"/>
      <c r="C836" s="18"/>
      <c r="D836" s="19"/>
    </row>
    <row r="837" spans="1:4" x14ac:dyDescent="0.3">
      <c r="A837" s="17"/>
      <c r="B837" s="18"/>
      <c r="C837" s="18"/>
      <c r="D837" s="19"/>
    </row>
    <row r="838" spans="1:4" x14ac:dyDescent="0.3">
      <c r="A838" s="17"/>
      <c r="B838" s="18"/>
      <c r="C838" s="18"/>
      <c r="D838" s="19"/>
    </row>
    <row r="839" spans="1:4" x14ac:dyDescent="0.3">
      <c r="A839" s="17"/>
      <c r="B839" s="18"/>
      <c r="C839" s="18"/>
      <c r="D839" s="19"/>
    </row>
    <row r="840" spans="1:4" x14ac:dyDescent="0.3">
      <c r="A840" s="17"/>
      <c r="B840" s="18"/>
      <c r="C840" s="18"/>
      <c r="D840" s="19"/>
    </row>
    <row r="841" spans="1:4" x14ac:dyDescent="0.3">
      <c r="A841" s="17"/>
      <c r="B841" s="18"/>
      <c r="C841" s="18"/>
      <c r="D841" s="19"/>
    </row>
    <row r="842" spans="1:4" x14ac:dyDescent="0.3">
      <c r="A842" s="17"/>
      <c r="B842" s="18"/>
      <c r="C842" s="18"/>
      <c r="D842" s="19"/>
    </row>
    <row r="843" spans="1:4" x14ac:dyDescent="0.3">
      <c r="A843" s="17"/>
      <c r="B843" s="18"/>
      <c r="C843" s="18"/>
      <c r="D843" s="19"/>
    </row>
    <row r="844" spans="1:4" x14ac:dyDescent="0.3">
      <c r="A844" s="17"/>
      <c r="B844" s="18"/>
      <c r="C844" s="18"/>
      <c r="D844" s="19"/>
    </row>
    <row r="845" spans="1:4" x14ac:dyDescent="0.3">
      <c r="A845" s="17"/>
      <c r="B845" s="18"/>
      <c r="C845" s="18"/>
      <c r="D845" s="19"/>
    </row>
    <row r="846" spans="1:4" x14ac:dyDescent="0.3">
      <c r="A846" s="17"/>
      <c r="B846" s="18"/>
      <c r="C846" s="18"/>
      <c r="D846" s="19"/>
    </row>
    <row r="847" spans="1:4" x14ac:dyDescent="0.3">
      <c r="A847" s="17"/>
      <c r="B847" s="18"/>
      <c r="C847" s="18"/>
      <c r="D847" s="19"/>
    </row>
    <row r="848" spans="1:4" x14ac:dyDescent="0.3">
      <c r="A848" s="17"/>
      <c r="B848" s="18"/>
      <c r="C848" s="18"/>
      <c r="D848" s="19"/>
    </row>
    <row r="849" spans="1:4" x14ac:dyDescent="0.3">
      <c r="A849" s="17"/>
      <c r="B849" s="18"/>
      <c r="C849" s="18"/>
      <c r="D849" s="19"/>
    </row>
    <row r="850" spans="1:4" x14ac:dyDescent="0.3">
      <c r="A850" s="17"/>
      <c r="B850" s="18"/>
      <c r="C850" s="18"/>
      <c r="D850" s="19"/>
    </row>
    <row r="851" spans="1:4" x14ac:dyDescent="0.3">
      <c r="A851" s="17"/>
      <c r="B851" s="18"/>
      <c r="C851" s="18"/>
      <c r="D851" s="19"/>
    </row>
    <row r="852" spans="1:4" x14ac:dyDescent="0.3">
      <c r="A852" s="17"/>
      <c r="B852" s="18"/>
      <c r="C852" s="18"/>
      <c r="D852" s="19"/>
    </row>
    <row r="853" spans="1:4" x14ac:dyDescent="0.3">
      <c r="A853" s="17"/>
      <c r="B853" s="18"/>
      <c r="C853" s="18"/>
      <c r="D853" s="19"/>
    </row>
    <row r="854" spans="1:4" x14ac:dyDescent="0.3">
      <c r="A854" s="17"/>
      <c r="B854" s="18"/>
      <c r="C854" s="18"/>
      <c r="D854" s="19"/>
    </row>
    <row r="855" spans="1:4" x14ac:dyDescent="0.3">
      <c r="A855" s="17"/>
      <c r="B855" s="18"/>
      <c r="C855" s="18"/>
      <c r="D855" s="19"/>
    </row>
    <row r="856" spans="1:4" x14ac:dyDescent="0.3">
      <c r="A856" s="17"/>
      <c r="B856" s="18"/>
      <c r="C856" s="18"/>
      <c r="D856" s="19"/>
    </row>
    <row r="857" spans="1:4" x14ac:dyDescent="0.3">
      <c r="A857" s="17"/>
      <c r="B857" s="18"/>
      <c r="C857" s="18"/>
      <c r="D857" s="19"/>
    </row>
    <row r="858" spans="1:4" x14ac:dyDescent="0.3">
      <c r="A858" s="17"/>
      <c r="B858" s="18"/>
      <c r="C858" s="18"/>
      <c r="D858" s="19"/>
    </row>
    <row r="859" spans="1:4" x14ac:dyDescent="0.3">
      <c r="A859" s="17"/>
      <c r="B859" s="18"/>
      <c r="C859" s="18"/>
      <c r="D859" s="19"/>
    </row>
    <row r="860" spans="1:4" x14ac:dyDescent="0.3">
      <c r="A860" s="17"/>
      <c r="B860" s="18"/>
      <c r="C860" s="18"/>
      <c r="D860" s="19"/>
    </row>
    <row r="861" spans="1:4" x14ac:dyDescent="0.3">
      <c r="A861" s="17"/>
      <c r="B861" s="18"/>
      <c r="C861" s="18"/>
      <c r="D861" s="19"/>
    </row>
    <row r="862" spans="1:4" x14ac:dyDescent="0.3">
      <c r="A862" s="17"/>
      <c r="B862" s="18"/>
      <c r="C862" s="18"/>
      <c r="D862" s="19"/>
    </row>
    <row r="863" spans="1:4" x14ac:dyDescent="0.3">
      <c r="A863" s="17"/>
      <c r="B863" s="18"/>
      <c r="C863" s="18"/>
      <c r="D863" s="19"/>
    </row>
    <row r="864" spans="1:4" x14ac:dyDescent="0.3">
      <c r="A864" s="17"/>
      <c r="B864" s="18"/>
      <c r="C864" s="18"/>
      <c r="D864" s="19"/>
    </row>
    <row r="865" spans="1:4" x14ac:dyDescent="0.3">
      <c r="A865" s="17"/>
      <c r="B865" s="18"/>
      <c r="C865" s="18"/>
      <c r="D865" s="19"/>
    </row>
    <row r="866" spans="1:4" x14ac:dyDescent="0.3">
      <c r="A866" s="17"/>
      <c r="B866" s="18"/>
      <c r="C866" s="18"/>
      <c r="D866" s="19"/>
    </row>
    <row r="867" spans="1:4" x14ac:dyDescent="0.3">
      <c r="A867" s="17"/>
      <c r="B867" s="18"/>
      <c r="C867" s="18"/>
      <c r="D867" s="19"/>
    </row>
    <row r="868" spans="1:4" x14ac:dyDescent="0.3">
      <c r="A868" s="17"/>
      <c r="B868" s="18"/>
      <c r="C868" s="18"/>
      <c r="D868" s="19"/>
    </row>
    <row r="869" spans="1:4" x14ac:dyDescent="0.3">
      <c r="A869" s="17"/>
      <c r="B869" s="18"/>
      <c r="C869" s="18"/>
      <c r="D869" s="19"/>
    </row>
    <row r="870" spans="1:4" x14ac:dyDescent="0.3">
      <c r="A870" s="17"/>
      <c r="B870" s="18"/>
      <c r="C870" s="18"/>
      <c r="D870" s="19"/>
    </row>
    <row r="871" spans="1:4" x14ac:dyDescent="0.3">
      <c r="A871" s="17"/>
      <c r="B871" s="18"/>
      <c r="C871" s="18"/>
      <c r="D871" s="19"/>
    </row>
    <row r="872" spans="1:4" x14ac:dyDescent="0.3">
      <c r="A872" s="17"/>
      <c r="B872" s="18"/>
      <c r="C872" s="18"/>
      <c r="D872" s="19"/>
    </row>
    <row r="873" spans="1:4" x14ac:dyDescent="0.3">
      <c r="A873" s="17"/>
      <c r="B873" s="18"/>
      <c r="C873" s="18"/>
      <c r="D873" s="19"/>
    </row>
    <row r="874" spans="1:4" x14ac:dyDescent="0.3">
      <c r="A874" s="17"/>
      <c r="B874" s="18"/>
      <c r="C874" s="18"/>
      <c r="D874" s="19"/>
    </row>
    <row r="875" spans="1:4" x14ac:dyDescent="0.3">
      <c r="A875" s="17"/>
      <c r="B875" s="18"/>
      <c r="C875" s="18"/>
      <c r="D875" s="19"/>
    </row>
    <row r="876" spans="1:4" x14ac:dyDescent="0.3">
      <c r="A876" s="17"/>
      <c r="B876" s="18"/>
      <c r="C876" s="18"/>
      <c r="D876" s="19"/>
    </row>
    <row r="877" spans="1:4" x14ac:dyDescent="0.3">
      <c r="A877" s="17"/>
      <c r="B877" s="18"/>
      <c r="C877" s="18"/>
      <c r="D877" s="19"/>
    </row>
    <row r="878" spans="1:4" x14ac:dyDescent="0.3">
      <c r="A878" s="17"/>
      <c r="B878" s="18"/>
      <c r="C878" s="18"/>
      <c r="D878" s="19"/>
    </row>
    <row r="879" spans="1:4" x14ac:dyDescent="0.3">
      <c r="A879" s="17"/>
      <c r="B879" s="18"/>
      <c r="C879" s="18"/>
      <c r="D879" s="19"/>
    </row>
    <row r="880" spans="1:4" x14ac:dyDescent="0.3">
      <c r="A880" s="17"/>
      <c r="B880" s="18"/>
      <c r="C880" s="18"/>
      <c r="D880" s="19"/>
    </row>
    <row r="881" spans="1:4" x14ac:dyDescent="0.3">
      <c r="A881" s="17"/>
      <c r="B881" s="18"/>
      <c r="C881" s="18"/>
      <c r="D881" s="19"/>
    </row>
    <row r="882" spans="1:4" x14ac:dyDescent="0.3">
      <c r="A882" s="17"/>
      <c r="B882" s="18"/>
      <c r="C882" s="18"/>
      <c r="D882" s="19"/>
    </row>
    <row r="883" spans="1:4" x14ac:dyDescent="0.3">
      <c r="A883" s="17"/>
      <c r="B883" s="18"/>
      <c r="C883" s="18"/>
      <c r="D883" s="19"/>
    </row>
    <row r="884" spans="1:4" x14ac:dyDescent="0.3">
      <c r="A884" s="17"/>
      <c r="B884" s="18"/>
      <c r="C884" s="18"/>
      <c r="D884" s="19"/>
    </row>
    <row r="885" spans="1:4" x14ac:dyDescent="0.3">
      <c r="A885" s="17"/>
      <c r="B885" s="18"/>
      <c r="C885" s="18"/>
      <c r="D885" s="19"/>
    </row>
    <row r="886" spans="1:4" x14ac:dyDescent="0.3">
      <c r="A886" s="17"/>
      <c r="B886" s="18"/>
      <c r="C886" s="18"/>
      <c r="D886" s="19"/>
    </row>
    <row r="887" spans="1:4" x14ac:dyDescent="0.3">
      <c r="A887" s="17"/>
      <c r="B887" s="18"/>
      <c r="C887" s="18"/>
      <c r="D887" s="19"/>
    </row>
    <row r="888" spans="1:4" x14ac:dyDescent="0.3">
      <c r="A888" s="17"/>
      <c r="B888" s="18"/>
      <c r="C888" s="18"/>
      <c r="D888" s="19"/>
    </row>
    <row r="889" spans="1:4" x14ac:dyDescent="0.3">
      <c r="A889" s="17"/>
      <c r="B889" s="18"/>
      <c r="C889" s="18"/>
      <c r="D889" s="19"/>
    </row>
    <row r="890" spans="1:4" x14ac:dyDescent="0.3">
      <c r="A890" s="17"/>
      <c r="B890" s="18"/>
      <c r="C890" s="18"/>
      <c r="D890" s="19"/>
    </row>
    <row r="891" spans="1:4" x14ac:dyDescent="0.3">
      <c r="A891" s="17"/>
      <c r="B891" s="18"/>
      <c r="C891" s="18"/>
      <c r="D891" s="19"/>
    </row>
    <row r="892" spans="1:4" x14ac:dyDescent="0.3">
      <c r="A892" s="17"/>
      <c r="B892" s="18"/>
      <c r="C892" s="18"/>
      <c r="D892" s="19"/>
    </row>
    <row r="893" spans="1:4" x14ac:dyDescent="0.3">
      <c r="A893" s="17"/>
      <c r="B893" s="18"/>
      <c r="C893" s="18"/>
      <c r="D893" s="19"/>
    </row>
    <row r="894" spans="1:4" x14ac:dyDescent="0.3">
      <c r="A894" s="17"/>
      <c r="B894" s="18"/>
      <c r="C894" s="18"/>
      <c r="D894" s="19"/>
    </row>
    <row r="895" spans="1:4" x14ac:dyDescent="0.3">
      <c r="A895" s="17"/>
      <c r="B895" s="18"/>
      <c r="C895" s="18"/>
      <c r="D895" s="19"/>
    </row>
    <row r="896" spans="1:4" x14ac:dyDescent="0.3">
      <c r="A896" s="17"/>
      <c r="B896" s="18"/>
      <c r="C896" s="18"/>
      <c r="D896" s="19"/>
    </row>
    <row r="897" spans="1:4" x14ac:dyDescent="0.3">
      <c r="A897" s="17"/>
      <c r="B897" s="18"/>
      <c r="C897" s="18"/>
      <c r="D897" s="19"/>
    </row>
    <row r="898" spans="1:4" x14ac:dyDescent="0.3">
      <c r="A898" s="17"/>
      <c r="B898" s="18"/>
      <c r="C898" s="18"/>
      <c r="D898" s="19"/>
    </row>
    <row r="899" spans="1:4" x14ac:dyDescent="0.3">
      <c r="A899" s="17"/>
      <c r="B899" s="18"/>
      <c r="C899" s="18"/>
      <c r="D899" s="19"/>
    </row>
    <row r="900" spans="1:4" x14ac:dyDescent="0.3">
      <c r="A900" s="17"/>
      <c r="B900" s="18"/>
      <c r="C900" s="18"/>
      <c r="D900" s="19"/>
    </row>
    <row r="901" spans="1:4" x14ac:dyDescent="0.3">
      <c r="A901" s="17"/>
      <c r="B901" s="18"/>
      <c r="C901" s="18"/>
      <c r="D901" s="19"/>
    </row>
    <row r="902" spans="1:4" x14ac:dyDescent="0.3">
      <c r="A902" s="17"/>
      <c r="B902" s="18"/>
      <c r="C902" s="18"/>
      <c r="D902" s="19"/>
    </row>
    <row r="903" spans="1:4" x14ac:dyDescent="0.3">
      <c r="A903" s="17"/>
      <c r="B903" s="18"/>
      <c r="C903" s="18"/>
      <c r="D903" s="19"/>
    </row>
    <row r="904" spans="1:4" x14ac:dyDescent="0.3">
      <c r="A904" s="17"/>
      <c r="B904" s="18"/>
      <c r="C904" s="18"/>
      <c r="D904" s="19"/>
    </row>
    <row r="905" spans="1:4" x14ac:dyDescent="0.3">
      <c r="A905" s="17"/>
      <c r="B905" s="18"/>
      <c r="C905" s="18"/>
      <c r="D905" s="19"/>
    </row>
    <row r="906" spans="1:4" x14ac:dyDescent="0.3">
      <c r="A906" s="17"/>
      <c r="B906" s="18"/>
      <c r="C906" s="18"/>
      <c r="D906" s="19"/>
    </row>
    <row r="907" spans="1:4" x14ac:dyDescent="0.3">
      <c r="A907" s="17"/>
      <c r="B907" s="18"/>
      <c r="C907" s="18"/>
      <c r="D907" s="19"/>
    </row>
    <row r="908" spans="1:4" x14ac:dyDescent="0.3">
      <c r="A908" s="17"/>
      <c r="B908" s="18"/>
      <c r="C908" s="18"/>
      <c r="D908" s="19"/>
    </row>
    <row r="909" spans="1:4" x14ac:dyDescent="0.3">
      <c r="A909" s="17"/>
      <c r="B909" s="18"/>
      <c r="C909" s="18"/>
      <c r="D909" s="19"/>
    </row>
    <row r="910" spans="1:4" x14ac:dyDescent="0.3">
      <c r="A910" s="17"/>
      <c r="B910" s="18"/>
      <c r="C910" s="18"/>
      <c r="D910" s="19"/>
    </row>
    <row r="911" spans="1:4" x14ac:dyDescent="0.3">
      <c r="A911" s="17"/>
      <c r="B911" s="18"/>
      <c r="C911" s="18"/>
      <c r="D911" s="19"/>
    </row>
    <row r="912" spans="1:4" x14ac:dyDescent="0.3">
      <c r="A912" s="17"/>
      <c r="B912" s="18"/>
      <c r="C912" s="18"/>
      <c r="D912" s="19"/>
    </row>
    <row r="913" spans="1:4" x14ac:dyDescent="0.3">
      <c r="A913" s="17"/>
      <c r="B913" s="18"/>
      <c r="C913" s="18"/>
      <c r="D913" s="19"/>
    </row>
    <row r="914" spans="1:4" x14ac:dyDescent="0.3">
      <c r="A914" s="17"/>
      <c r="B914" s="18"/>
      <c r="C914" s="18"/>
      <c r="D914" s="19"/>
    </row>
    <row r="915" spans="1:4" x14ac:dyDescent="0.3">
      <c r="A915" s="17"/>
      <c r="B915" s="18"/>
      <c r="C915" s="18"/>
      <c r="D915" s="19"/>
    </row>
    <row r="916" spans="1:4" x14ac:dyDescent="0.3">
      <c r="A916" s="17"/>
      <c r="B916" s="18"/>
      <c r="C916" s="18"/>
      <c r="D916" s="19"/>
    </row>
    <row r="917" spans="1:4" x14ac:dyDescent="0.3">
      <c r="A917" s="17"/>
      <c r="B917" s="18"/>
      <c r="C917" s="18"/>
      <c r="D917" s="19"/>
    </row>
    <row r="918" spans="1:4" x14ac:dyDescent="0.3">
      <c r="A918" s="17"/>
      <c r="B918" s="18"/>
      <c r="C918" s="18"/>
      <c r="D918" s="19"/>
    </row>
    <row r="919" spans="1:4" x14ac:dyDescent="0.3">
      <c r="A919" s="17"/>
      <c r="B919" s="18"/>
      <c r="C919" s="18"/>
      <c r="D919" s="19"/>
    </row>
    <row r="920" spans="1:4" x14ac:dyDescent="0.3">
      <c r="A920" s="17"/>
      <c r="B920" s="18"/>
      <c r="C920" s="18"/>
      <c r="D920" s="19"/>
    </row>
    <row r="921" spans="1:4" x14ac:dyDescent="0.3">
      <c r="A921" s="17"/>
      <c r="B921" s="18"/>
      <c r="C921" s="18"/>
      <c r="D921" s="19"/>
    </row>
    <row r="922" spans="1:4" x14ac:dyDescent="0.3">
      <c r="A922" s="17"/>
      <c r="B922" s="18"/>
      <c r="C922" s="18"/>
      <c r="D922" s="19"/>
    </row>
    <row r="923" spans="1:4" x14ac:dyDescent="0.3">
      <c r="A923" s="17"/>
      <c r="B923" s="18"/>
      <c r="C923" s="18"/>
      <c r="D923" s="19"/>
    </row>
    <row r="924" spans="1:4" x14ac:dyDescent="0.3">
      <c r="A924" s="17"/>
      <c r="B924" s="18"/>
      <c r="C924" s="18"/>
      <c r="D924" s="19"/>
    </row>
    <row r="925" spans="1:4" x14ac:dyDescent="0.3">
      <c r="A925" s="17"/>
      <c r="B925" s="18"/>
      <c r="C925" s="18"/>
      <c r="D925" s="19"/>
    </row>
    <row r="926" spans="1:4" x14ac:dyDescent="0.3">
      <c r="A926" s="17"/>
      <c r="B926" s="18"/>
      <c r="C926" s="18"/>
      <c r="D926" s="19"/>
    </row>
    <row r="927" spans="1:4" x14ac:dyDescent="0.3">
      <c r="A927" s="17"/>
      <c r="B927" s="18"/>
      <c r="C927" s="18"/>
      <c r="D927" s="19"/>
    </row>
    <row r="928" spans="1:4" x14ac:dyDescent="0.3">
      <c r="A928" s="17"/>
      <c r="B928" s="18"/>
      <c r="C928" s="18"/>
      <c r="D928" s="19"/>
    </row>
    <row r="929" spans="1:4" x14ac:dyDescent="0.3">
      <c r="A929" s="17"/>
      <c r="B929" s="18"/>
      <c r="C929" s="18"/>
      <c r="D929" s="19"/>
    </row>
    <row r="930" spans="1:4" x14ac:dyDescent="0.3">
      <c r="A930" s="17"/>
      <c r="B930" s="18"/>
      <c r="C930" s="18"/>
      <c r="D930" s="19"/>
    </row>
    <row r="931" spans="1:4" x14ac:dyDescent="0.3">
      <c r="A931" s="17"/>
      <c r="B931" s="18"/>
      <c r="C931" s="18"/>
      <c r="D931" s="19"/>
    </row>
    <row r="932" spans="1:4" x14ac:dyDescent="0.3">
      <c r="A932" s="17"/>
      <c r="B932" s="18"/>
      <c r="C932" s="18"/>
      <c r="D932" s="19"/>
    </row>
    <row r="933" spans="1:4" x14ac:dyDescent="0.3">
      <c r="A933" s="17"/>
      <c r="B933" s="18"/>
      <c r="C933" s="18"/>
      <c r="D933" s="19"/>
    </row>
    <row r="934" spans="1:4" x14ac:dyDescent="0.3">
      <c r="A934" s="17"/>
      <c r="B934" s="18"/>
      <c r="C934" s="18"/>
      <c r="D934" s="19"/>
    </row>
    <row r="935" spans="1:4" x14ac:dyDescent="0.3">
      <c r="A935" s="17"/>
      <c r="B935" s="18"/>
      <c r="C935" s="18"/>
      <c r="D935" s="19"/>
    </row>
    <row r="936" spans="1:4" x14ac:dyDescent="0.3">
      <c r="A936" s="17"/>
      <c r="B936" s="18"/>
      <c r="C936" s="18"/>
      <c r="D936" s="19"/>
    </row>
    <row r="937" spans="1:4" x14ac:dyDescent="0.3">
      <c r="A937" s="17"/>
      <c r="B937" s="18"/>
      <c r="C937" s="18"/>
      <c r="D937" s="19"/>
    </row>
    <row r="938" spans="1:4" x14ac:dyDescent="0.3">
      <c r="A938" s="17"/>
      <c r="B938" s="18"/>
      <c r="C938" s="18"/>
      <c r="D938" s="19"/>
    </row>
    <row r="939" spans="1:4" x14ac:dyDescent="0.3">
      <c r="A939" s="17"/>
      <c r="B939" s="18"/>
      <c r="C939" s="18"/>
      <c r="D939" s="19"/>
    </row>
    <row r="940" spans="1:4" x14ac:dyDescent="0.3">
      <c r="A940" s="17"/>
      <c r="B940" s="18"/>
      <c r="C940" s="18"/>
      <c r="D940" s="19"/>
    </row>
    <row r="941" spans="1:4" x14ac:dyDescent="0.3">
      <c r="A941" s="17"/>
      <c r="B941" s="18"/>
      <c r="C941" s="18"/>
      <c r="D941" s="19"/>
    </row>
    <row r="942" spans="1:4" x14ac:dyDescent="0.3">
      <c r="A942" s="17"/>
      <c r="B942" s="18"/>
      <c r="C942" s="18"/>
      <c r="D942" s="19"/>
    </row>
    <row r="943" spans="1:4" x14ac:dyDescent="0.3">
      <c r="A943" s="17"/>
      <c r="B943" s="18"/>
      <c r="C943" s="18"/>
      <c r="D943" s="19"/>
    </row>
    <row r="944" spans="1:4" x14ac:dyDescent="0.3">
      <c r="A944" s="17"/>
      <c r="B944" s="18"/>
      <c r="C944" s="18"/>
      <c r="D944" s="19"/>
    </row>
    <row r="945" spans="1:4" x14ac:dyDescent="0.3">
      <c r="A945" s="17"/>
      <c r="B945" s="18"/>
      <c r="C945" s="18"/>
      <c r="D945" s="19"/>
    </row>
    <row r="946" spans="1:4" x14ac:dyDescent="0.3">
      <c r="A946" s="17"/>
      <c r="B946" s="18"/>
      <c r="C946" s="18"/>
      <c r="D946" s="19"/>
    </row>
    <row r="947" spans="1:4" x14ac:dyDescent="0.3">
      <c r="A947" s="17"/>
      <c r="B947" s="18"/>
      <c r="C947" s="18"/>
      <c r="D947" s="19"/>
    </row>
    <row r="948" spans="1:4" x14ac:dyDescent="0.3">
      <c r="A948" s="17"/>
      <c r="B948" s="18"/>
      <c r="C948" s="18"/>
      <c r="D948" s="19"/>
    </row>
    <row r="949" spans="1:4" x14ac:dyDescent="0.3">
      <c r="A949" s="17"/>
      <c r="B949" s="18"/>
      <c r="C949" s="18"/>
      <c r="D949" s="19"/>
    </row>
    <row r="950" spans="1:4" x14ac:dyDescent="0.3">
      <c r="A950" s="17"/>
      <c r="B950" s="18"/>
      <c r="C950" s="18"/>
      <c r="D950" s="19"/>
    </row>
    <row r="951" spans="1:4" x14ac:dyDescent="0.3">
      <c r="A951" s="17"/>
      <c r="B951" s="18"/>
      <c r="C951" s="18"/>
      <c r="D951" s="19"/>
    </row>
    <row r="952" spans="1:4" x14ac:dyDescent="0.3">
      <c r="A952" s="17"/>
      <c r="B952" s="18"/>
      <c r="C952" s="18"/>
      <c r="D952" s="19"/>
    </row>
    <row r="953" spans="1:4" x14ac:dyDescent="0.3">
      <c r="A953" s="17"/>
      <c r="B953" s="18"/>
      <c r="C953" s="18"/>
      <c r="D953" s="19"/>
    </row>
    <row r="954" spans="1:4" x14ac:dyDescent="0.3">
      <c r="A954" s="17"/>
      <c r="B954" s="18"/>
      <c r="C954" s="18"/>
      <c r="D954" s="19"/>
    </row>
    <row r="955" spans="1:4" x14ac:dyDescent="0.3">
      <c r="A955" s="17"/>
      <c r="B955" s="18"/>
      <c r="C955" s="18"/>
      <c r="D955" s="19"/>
    </row>
    <row r="956" spans="1:4" x14ac:dyDescent="0.3">
      <c r="A956" s="17"/>
      <c r="B956" s="18"/>
      <c r="C956" s="18"/>
      <c r="D956" s="19"/>
    </row>
    <row r="957" spans="1:4" x14ac:dyDescent="0.3">
      <c r="A957" s="17"/>
      <c r="B957" s="18"/>
      <c r="C957" s="18"/>
      <c r="D957" s="19"/>
    </row>
    <row r="958" spans="1:4" x14ac:dyDescent="0.3">
      <c r="A958" s="17"/>
      <c r="B958" s="18"/>
      <c r="C958" s="18"/>
      <c r="D958" s="19"/>
    </row>
    <row r="959" spans="1:4" x14ac:dyDescent="0.3">
      <c r="A959" s="17"/>
      <c r="B959" s="18"/>
      <c r="C959" s="18"/>
      <c r="D959" s="19"/>
    </row>
    <row r="960" spans="1:4" x14ac:dyDescent="0.3">
      <c r="A960" s="17"/>
      <c r="B960" s="18"/>
      <c r="C960" s="18"/>
      <c r="D960" s="19"/>
    </row>
    <row r="961" spans="1:4" x14ac:dyDescent="0.3">
      <c r="A961" s="17"/>
      <c r="B961" s="18"/>
      <c r="C961" s="18"/>
      <c r="D961" s="19"/>
    </row>
    <row r="962" spans="1:4" x14ac:dyDescent="0.3">
      <c r="A962" s="17"/>
      <c r="B962" s="18"/>
      <c r="C962" s="18"/>
      <c r="D962" s="19"/>
    </row>
    <row r="963" spans="1:4" x14ac:dyDescent="0.3">
      <c r="A963" s="17"/>
      <c r="B963" s="18"/>
      <c r="C963" s="18"/>
      <c r="D963" s="19"/>
    </row>
    <row r="964" spans="1:4" x14ac:dyDescent="0.3">
      <c r="A964" s="17"/>
      <c r="B964" s="18"/>
      <c r="C964" s="18"/>
      <c r="D964" s="19"/>
    </row>
    <row r="965" spans="1:4" x14ac:dyDescent="0.3">
      <c r="A965" s="17"/>
      <c r="B965" s="18"/>
      <c r="C965" s="18"/>
      <c r="D965" s="19"/>
    </row>
    <row r="966" spans="1:4" x14ac:dyDescent="0.3">
      <c r="A966" s="17"/>
      <c r="B966" s="18"/>
      <c r="C966" s="18"/>
      <c r="D966" s="19"/>
    </row>
    <row r="967" spans="1:4" x14ac:dyDescent="0.3">
      <c r="A967" s="17"/>
      <c r="B967" s="18"/>
      <c r="C967" s="18"/>
      <c r="D967" s="19"/>
    </row>
    <row r="968" spans="1:4" x14ac:dyDescent="0.3">
      <c r="A968" s="17"/>
      <c r="B968" s="18"/>
      <c r="C968" s="18"/>
      <c r="D968" s="19"/>
    </row>
    <row r="969" spans="1:4" x14ac:dyDescent="0.3">
      <c r="A969" s="17"/>
      <c r="B969" s="18"/>
      <c r="C969" s="18"/>
      <c r="D969" s="19"/>
    </row>
    <row r="970" spans="1:4" x14ac:dyDescent="0.3">
      <c r="A970" s="17"/>
      <c r="B970" s="18"/>
      <c r="C970" s="18"/>
      <c r="D970" s="19"/>
    </row>
    <row r="971" spans="1:4" x14ac:dyDescent="0.3">
      <c r="A971" s="17"/>
      <c r="B971" s="18"/>
      <c r="C971" s="18"/>
      <c r="D971" s="19"/>
    </row>
    <row r="972" spans="1:4" x14ac:dyDescent="0.3">
      <c r="A972" s="17"/>
      <c r="B972" s="18"/>
      <c r="C972" s="18"/>
      <c r="D972" s="19"/>
    </row>
    <row r="973" spans="1:4" x14ac:dyDescent="0.3">
      <c r="A973" s="17"/>
      <c r="B973" s="18"/>
      <c r="C973" s="18"/>
      <c r="D973" s="19"/>
    </row>
    <row r="974" spans="1:4" x14ac:dyDescent="0.3">
      <c r="A974" s="17"/>
      <c r="B974" s="18"/>
      <c r="C974" s="18"/>
      <c r="D974" s="19"/>
    </row>
    <row r="975" spans="1:4" x14ac:dyDescent="0.3">
      <c r="A975" s="17"/>
      <c r="B975" s="18"/>
      <c r="C975" s="18"/>
      <c r="D975" s="19"/>
    </row>
    <row r="976" spans="1:4" x14ac:dyDescent="0.3">
      <c r="A976" s="17"/>
      <c r="B976" s="18"/>
      <c r="C976" s="18"/>
      <c r="D976" s="19"/>
    </row>
    <row r="977" spans="1:4" x14ac:dyDescent="0.3">
      <c r="A977" s="17"/>
      <c r="B977" s="18"/>
      <c r="C977" s="18"/>
      <c r="D977" s="19"/>
    </row>
    <row r="978" spans="1:4" x14ac:dyDescent="0.3">
      <c r="A978" s="17"/>
      <c r="B978" s="18"/>
      <c r="C978" s="18"/>
      <c r="D978" s="19"/>
    </row>
    <row r="979" spans="1:4" x14ac:dyDescent="0.3">
      <c r="A979" s="17"/>
      <c r="B979" s="18"/>
      <c r="C979" s="18"/>
      <c r="D979" s="19"/>
    </row>
    <row r="980" spans="1:4" x14ac:dyDescent="0.3">
      <c r="A980" s="17"/>
      <c r="B980" s="18"/>
      <c r="C980" s="18"/>
      <c r="D980" s="19"/>
    </row>
    <row r="981" spans="1:4" x14ac:dyDescent="0.3">
      <c r="A981" s="17"/>
      <c r="B981" s="18"/>
      <c r="C981" s="18"/>
      <c r="D981" s="19"/>
    </row>
    <row r="982" spans="1:4" x14ac:dyDescent="0.3">
      <c r="A982" s="17"/>
      <c r="B982" s="18"/>
      <c r="C982" s="18"/>
      <c r="D982" s="19"/>
    </row>
    <row r="983" spans="1:4" x14ac:dyDescent="0.3">
      <c r="A983" s="17"/>
      <c r="B983" s="18"/>
      <c r="C983" s="18"/>
      <c r="D983" s="19"/>
    </row>
    <row r="984" spans="1:4" x14ac:dyDescent="0.3">
      <c r="A984" s="17"/>
      <c r="B984" s="18"/>
      <c r="C984" s="18"/>
      <c r="D984" s="19"/>
    </row>
    <row r="985" spans="1:4" x14ac:dyDescent="0.3">
      <c r="A985" s="17"/>
      <c r="B985" s="18"/>
      <c r="C985" s="18"/>
      <c r="D985" s="19"/>
    </row>
    <row r="986" spans="1:4" x14ac:dyDescent="0.3">
      <c r="A986" s="17"/>
      <c r="B986" s="18"/>
      <c r="C986" s="18"/>
      <c r="D986" s="19"/>
    </row>
    <row r="987" spans="1:4" x14ac:dyDescent="0.3">
      <c r="A987" s="17"/>
      <c r="B987" s="18"/>
      <c r="C987" s="18"/>
      <c r="D987" s="19"/>
    </row>
    <row r="988" spans="1:4" x14ac:dyDescent="0.3">
      <c r="A988" s="17"/>
      <c r="B988" s="18"/>
      <c r="C988" s="18"/>
      <c r="D988" s="19"/>
    </row>
    <row r="989" spans="1:4" x14ac:dyDescent="0.3">
      <c r="A989" s="17"/>
      <c r="B989" s="18"/>
      <c r="C989" s="18"/>
      <c r="D989" s="19"/>
    </row>
    <row r="990" spans="1:4" x14ac:dyDescent="0.3">
      <c r="A990" s="17"/>
      <c r="B990" s="18"/>
      <c r="C990" s="18"/>
      <c r="D990" s="19"/>
    </row>
    <row r="991" spans="1:4" x14ac:dyDescent="0.3">
      <c r="A991" s="17"/>
      <c r="B991" s="18"/>
      <c r="C991" s="18"/>
      <c r="D991" s="19"/>
    </row>
    <row r="992" spans="1:4" x14ac:dyDescent="0.3">
      <c r="A992" s="17"/>
      <c r="B992" s="18"/>
      <c r="C992" s="18"/>
      <c r="D992" s="19"/>
    </row>
    <row r="993" spans="1:4" x14ac:dyDescent="0.3">
      <c r="A993" s="17"/>
      <c r="B993" s="18"/>
      <c r="C993" s="18"/>
      <c r="D993" s="19"/>
    </row>
    <row r="994" spans="1:4" x14ac:dyDescent="0.3">
      <c r="A994" s="17"/>
      <c r="B994" s="18"/>
      <c r="C994" s="18"/>
      <c r="D994" s="19"/>
    </row>
    <row r="995" spans="1:4" x14ac:dyDescent="0.3">
      <c r="A995" s="17"/>
      <c r="B995" s="18"/>
      <c r="C995" s="18"/>
      <c r="D995" s="19"/>
    </row>
    <row r="996" spans="1:4" x14ac:dyDescent="0.3">
      <c r="A996" s="17"/>
      <c r="B996" s="18"/>
      <c r="C996" s="18"/>
      <c r="D996" s="19"/>
    </row>
    <row r="997" spans="1:4" x14ac:dyDescent="0.3">
      <c r="A997" s="17"/>
      <c r="B997" s="18"/>
      <c r="C997" s="18"/>
      <c r="D997" s="19"/>
    </row>
    <row r="998" spans="1:4" x14ac:dyDescent="0.3">
      <c r="A998" s="17"/>
      <c r="B998" s="18"/>
      <c r="C998" s="18"/>
      <c r="D998" s="19"/>
    </row>
    <row r="999" spans="1:4" x14ac:dyDescent="0.3">
      <c r="A999" s="17"/>
      <c r="B999" s="18"/>
      <c r="C999" s="18"/>
      <c r="D999" s="19"/>
    </row>
    <row r="1000" spans="1:4" x14ac:dyDescent="0.3">
      <c r="A1000" s="17"/>
      <c r="B1000" s="18"/>
      <c r="C1000" s="18"/>
      <c r="D1000" s="19"/>
    </row>
    <row r="1001" spans="1:4" x14ac:dyDescent="0.3">
      <c r="A1001" s="17"/>
      <c r="B1001" s="18"/>
      <c r="C1001" s="18"/>
      <c r="D1001" s="19"/>
    </row>
    <row r="1002" spans="1:4" x14ac:dyDescent="0.3">
      <c r="A1002" s="17"/>
      <c r="B1002" s="18"/>
      <c r="C1002" s="18"/>
      <c r="D1002" s="19"/>
    </row>
    <row r="1003" spans="1:4" x14ac:dyDescent="0.3">
      <c r="A1003" s="17"/>
      <c r="B1003" s="18"/>
      <c r="C1003" s="18"/>
      <c r="D1003" s="19"/>
    </row>
    <row r="1004" spans="1:4" x14ac:dyDescent="0.3">
      <c r="A1004" s="17"/>
      <c r="B1004" s="18"/>
      <c r="C1004" s="18"/>
      <c r="D1004" s="19"/>
    </row>
    <row r="1005" spans="1:4" x14ac:dyDescent="0.3">
      <c r="A1005" s="17"/>
      <c r="B1005" s="18"/>
      <c r="C1005" s="18"/>
      <c r="D1005" s="19"/>
    </row>
  </sheetData>
  <autoFilter ref="A5:D1005" xr:uid="{00000000-0009-0000-0000-000004000000}"/>
  <dataValidations count="2">
    <dataValidation type="date" operator="greaterThan" allowBlank="1" error="Dogry sene giriziň (gg.aa.ýyl)." sqref="A6:A1006" xr:uid="{00000000-0002-0000-0400-000000000000}">
      <formula1>36526</formula1>
      <formula2>0</formula2>
    </dataValidation>
    <dataValidation type="list" allowBlank="1" sqref="B6:B1005" xr:uid="{00000000-0002-0000-0400-000001000000}">
      <formula1>"Kärende,Elektrik/Suw/Gaz,Işgärler,Arassalyk/Material,Abatlaýyş,Enjam,Beýleki"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5"/>
  <sheetViews>
    <sheetView showGridLines="0" zoomScaleNormal="100" workbookViewId="0">
      <pane ySplit="5" topLeftCell="A6" activePane="bottomLeft" state="frozen"/>
      <selection pane="bottomLeft" activeCell="H16" sqref="H16"/>
    </sheetView>
  </sheetViews>
  <sheetFormatPr defaultColWidth="8.6640625" defaultRowHeight="14.4" x14ac:dyDescent="0.3"/>
  <cols>
    <col min="1" max="1" width="14" customWidth="1"/>
    <col min="2" max="2" width="24" customWidth="1"/>
    <col min="3" max="3" width="14" customWidth="1"/>
    <col min="4" max="4" width="20" customWidth="1"/>
    <col min="5" max="5" width="16" customWidth="1"/>
    <col min="6" max="6" width="30" customWidth="1"/>
    <col min="7" max="7" width="3" customWidth="1"/>
    <col min="8" max="8" width="40" customWidth="1"/>
  </cols>
  <sheetData>
    <row r="1" spans="1:8" ht="17.399999999999999" x14ac:dyDescent="0.3">
      <c r="A1" s="1" t="s">
        <v>72</v>
      </c>
    </row>
    <row r="2" spans="1:8" x14ac:dyDescent="0.3">
      <c r="A2" s="2" t="s">
        <v>73</v>
      </c>
    </row>
    <row r="5" spans="1:8" ht="31.5" customHeight="1" x14ac:dyDescent="0.3">
      <c r="A5" s="14" t="s">
        <v>57</v>
      </c>
      <c r="B5" s="14" t="s">
        <v>27</v>
      </c>
      <c r="C5" s="14" t="s">
        <v>74</v>
      </c>
      <c r="D5" s="14" t="s">
        <v>75</v>
      </c>
      <c r="E5" s="14" t="s">
        <v>76</v>
      </c>
      <c r="F5" s="14" t="s">
        <v>77</v>
      </c>
      <c r="H5" s="16" t="s">
        <v>69</v>
      </c>
    </row>
    <row r="6" spans="1:8" x14ac:dyDescent="0.3">
      <c r="A6" s="17">
        <v>46300</v>
      </c>
      <c r="B6" s="18" t="s">
        <v>78</v>
      </c>
      <c r="C6" s="18">
        <v>100</v>
      </c>
      <c r="D6" s="19">
        <v>4</v>
      </c>
      <c r="E6" s="10">
        <f t="shared" ref="E6:E69" si="0">IF(OR(C6="",D6=""),"",C6*D6)</f>
        <v>400</v>
      </c>
      <c r="F6" s="18" t="s">
        <v>79</v>
      </c>
    </row>
    <row r="7" spans="1:8" x14ac:dyDescent="0.3">
      <c r="A7" s="17"/>
      <c r="B7" s="18"/>
      <c r="C7" s="18"/>
      <c r="D7" s="19"/>
      <c r="E7" s="10" t="str">
        <f t="shared" si="0"/>
        <v/>
      </c>
      <c r="F7" s="18"/>
    </row>
    <row r="8" spans="1:8" x14ac:dyDescent="0.3">
      <c r="A8" s="17"/>
      <c r="B8" s="18"/>
      <c r="C8" s="18"/>
      <c r="D8" s="19"/>
      <c r="E8" s="10" t="str">
        <f t="shared" si="0"/>
        <v/>
      </c>
      <c r="F8" s="18"/>
    </row>
    <row r="9" spans="1:8" x14ac:dyDescent="0.3">
      <c r="A9" s="17"/>
      <c r="B9" s="18"/>
      <c r="C9" s="18"/>
      <c r="D9" s="19"/>
      <c r="E9" s="10" t="str">
        <f t="shared" si="0"/>
        <v/>
      </c>
      <c r="F9" s="18"/>
    </row>
    <row r="10" spans="1:8" x14ac:dyDescent="0.3">
      <c r="A10" s="17"/>
      <c r="B10" s="18"/>
      <c r="C10" s="18"/>
      <c r="D10" s="19"/>
      <c r="E10" s="10" t="str">
        <f t="shared" si="0"/>
        <v/>
      </c>
      <c r="F10" s="18"/>
    </row>
    <row r="11" spans="1:8" x14ac:dyDescent="0.3">
      <c r="A11" s="17"/>
      <c r="B11" s="18"/>
      <c r="C11" s="18"/>
      <c r="D11" s="19"/>
      <c r="E11" s="10" t="str">
        <f t="shared" si="0"/>
        <v/>
      </c>
      <c r="F11" s="18"/>
    </row>
    <row r="12" spans="1:8" x14ac:dyDescent="0.3">
      <c r="A12" s="17"/>
      <c r="B12" s="18"/>
      <c r="C12" s="18"/>
      <c r="D12" s="19"/>
      <c r="E12" s="10" t="str">
        <f t="shared" si="0"/>
        <v/>
      </c>
      <c r="F12" s="18"/>
    </row>
    <row r="13" spans="1:8" x14ac:dyDescent="0.3">
      <c r="A13" s="17"/>
      <c r="B13" s="18"/>
      <c r="C13" s="18"/>
      <c r="D13" s="19"/>
      <c r="E13" s="10" t="str">
        <f t="shared" si="0"/>
        <v/>
      </c>
      <c r="F13" s="18"/>
    </row>
    <row r="14" spans="1:8" x14ac:dyDescent="0.3">
      <c r="A14" s="17"/>
      <c r="B14" s="18"/>
      <c r="C14" s="18"/>
      <c r="D14" s="19"/>
      <c r="E14" s="10" t="str">
        <f t="shared" si="0"/>
        <v/>
      </c>
      <c r="F14" s="18"/>
    </row>
    <row r="15" spans="1:8" x14ac:dyDescent="0.3">
      <c r="A15" s="17"/>
      <c r="B15" s="18"/>
      <c r="C15" s="18"/>
      <c r="D15" s="19"/>
      <c r="E15" s="10" t="str">
        <f t="shared" si="0"/>
        <v/>
      </c>
      <c r="F15" s="18"/>
    </row>
    <row r="16" spans="1:8" x14ac:dyDescent="0.3">
      <c r="A16" s="17"/>
      <c r="B16" s="18"/>
      <c r="C16" s="18"/>
      <c r="D16" s="19"/>
      <c r="E16" s="10" t="str">
        <f t="shared" si="0"/>
        <v/>
      </c>
      <c r="F16" s="18"/>
    </row>
    <row r="17" spans="1:6" x14ac:dyDescent="0.3">
      <c r="A17" s="17"/>
      <c r="B17" s="18"/>
      <c r="C17" s="18"/>
      <c r="D17" s="19"/>
      <c r="E17" s="10" t="str">
        <f t="shared" si="0"/>
        <v/>
      </c>
      <c r="F17" s="18"/>
    </row>
    <row r="18" spans="1:6" x14ac:dyDescent="0.3">
      <c r="A18" s="17"/>
      <c r="B18" s="18"/>
      <c r="C18" s="18"/>
      <c r="D18" s="19"/>
      <c r="E18" s="10" t="str">
        <f t="shared" si="0"/>
        <v/>
      </c>
      <c r="F18" s="18"/>
    </row>
    <row r="19" spans="1:6" x14ac:dyDescent="0.3">
      <c r="A19" s="17"/>
      <c r="B19" s="18"/>
      <c r="C19" s="18"/>
      <c r="D19" s="19"/>
      <c r="E19" s="10" t="str">
        <f t="shared" si="0"/>
        <v/>
      </c>
      <c r="F19" s="18"/>
    </row>
    <row r="20" spans="1:6" x14ac:dyDescent="0.3">
      <c r="A20" s="17"/>
      <c r="B20" s="18"/>
      <c r="C20" s="18"/>
      <c r="D20" s="19"/>
      <c r="E20" s="10" t="str">
        <f t="shared" si="0"/>
        <v/>
      </c>
      <c r="F20" s="18"/>
    </row>
    <row r="21" spans="1:6" x14ac:dyDescent="0.3">
      <c r="A21" s="17"/>
      <c r="B21" s="18"/>
      <c r="C21" s="18"/>
      <c r="D21" s="19"/>
      <c r="E21" s="10" t="str">
        <f t="shared" si="0"/>
        <v/>
      </c>
      <c r="F21" s="18"/>
    </row>
    <row r="22" spans="1:6" x14ac:dyDescent="0.3">
      <c r="A22" s="17"/>
      <c r="B22" s="18"/>
      <c r="C22" s="18"/>
      <c r="D22" s="19"/>
      <c r="E22" s="10" t="str">
        <f t="shared" si="0"/>
        <v/>
      </c>
      <c r="F22" s="18"/>
    </row>
    <row r="23" spans="1:6" x14ac:dyDescent="0.3">
      <c r="A23" s="17"/>
      <c r="B23" s="18"/>
      <c r="C23" s="18"/>
      <c r="D23" s="19"/>
      <c r="E23" s="10" t="str">
        <f t="shared" si="0"/>
        <v/>
      </c>
      <c r="F23" s="18"/>
    </row>
    <row r="24" spans="1:6" x14ac:dyDescent="0.3">
      <c r="A24" s="17"/>
      <c r="B24" s="18"/>
      <c r="C24" s="18"/>
      <c r="D24" s="19"/>
      <c r="E24" s="10" t="str">
        <f t="shared" si="0"/>
        <v/>
      </c>
      <c r="F24" s="18"/>
    </row>
    <row r="25" spans="1:6" x14ac:dyDescent="0.3">
      <c r="A25" s="17"/>
      <c r="B25" s="18"/>
      <c r="C25" s="18"/>
      <c r="D25" s="19"/>
      <c r="E25" s="10" t="str">
        <f t="shared" si="0"/>
        <v/>
      </c>
      <c r="F25" s="18"/>
    </row>
    <row r="26" spans="1:6" x14ac:dyDescent="0.3">
      <c r="A26" s="17"/>
      <c r="B26" s="18"/>
      <c r="C26" s="18"/>
      <c r="D26" s="19"/>
      <c r="E26" s="10" t="str">
        <f t="shared" si="0"/>
        <v/>
      </c>
      <c r="F26" s="18"/>
    </row>
    <row r="27" spans="1:6" x14ac:dyDescent="0.3">
      <c r="A27" s="17"/>
      <c r="B27" s="18"/>
      <c r="C27" s="18"/>
      <c r="D27" s="19"/>
      <c r="E27" s="10" t="str">
        <f t="shared" si="0"/>
        <v/>
      </c>
      <c r="F27" s="18"/>
    </row>
    <row r="28" spans="1:6" x14ac:dyDescent="0.3">
      <c r="A28" s="17"/>
      <c r="B28" s="18"/>
      <c r="C28" s="18"/>
      <c r="D28" s="19"/>
      <c r="E28" s="10" t="str">
        <f t="shared" si="0"/>
        <v/>
      </c>
      <c r="F28" s="18"/>
    </row>
    <row r="29" spans="1:6" x14ac:dyDescent="0.3">
      <c r="A29" s="17"/>
      <c r="B29" s="18"/>
      <c r="C29" s="18"/>
      <c r="D29" s="19"/>
      <c r="E29" s="10" t="str">
        <f t="shared" si="0"/>
        <v/>
      </c>
      <c r="F29" s="18"/>
    </row>
    <row r="30" spans="1:6" x14ac:dyDescent="0.3">
      <c r="A30" s="17"/>
      <c r="B30" s="18"/>
      <c r="C30" s="18"/>
      <c r="D30" s="19"/>
      <c r="E30" s="10" t="str">
        <f t="shared" si="0"/>
        <v/>
      </c>
      <c r="F30" s="18"/>
    </row>
    <row r="31" spans="1:6" x14ac:dyDescent="0.3">
      <c r="A31" s="17"/>
      <c r="B31" s="18"/>
      <c r="C31" s="18"/>
      <c r="D31" s="19"/>
      <c r="E31" s="10" t="str">
        <f t="shared" si="0"/>
        <v/>
      </c>
      <c r="F31" s="18"/>
    </row>
    <row r="32" spans="1:6" x14ac:dyDescent="0.3">
      <c r="A32" s="17"/>
      <c r="B32" s="18"/>
      <c r="C32" s="18"/>
      <c r="D32" s="19"/>
      <c r="E32" s="10" t="str">
        <f t="shared" si="0"/>
        <v/>
      </c>
      <c r="F32" s="18"/>
    </row>
    <row r="33" spans="1:6" x14ac:dyDescent="0.3">
      <c r="A33" s="17"/>
      <c r="B33" s="18"/>
      <c r="C33" s="18"/>
      <c r="D33" s="19"/>
      <c r="E33" s="10" t="str">
        <f t="shared" si="0"/>
        <v/>
      </c>
      <c r="F33" s="18"/>
    </row>
    <row r="34" spans="1:6" x14ac:dyDescent="0.3">
      <c r="A34" s="17"/>
      <c r="B34" s="18"/>
      <c r="C34" s="18"/>
      <c r="D34" s="19"/>
      <c r="E34" s="10" t="str">
        <f t="shared" si="0"/>
        <v/>
      </c>
      <c r="F34" s="18"/>
    </row>
    <row r="35" spans="1:6" x14ac:dyDescent="0.3">
      <c r="A35" s="17"/>
      <c r="B35" s="18"/>
      <c r="C35" s="18"/>
      <c r="D35" s="19"/>
      <c r="E35" s="10" t="str">
        <f t="shared" si="0"/>
        <v/>
      </c>
      <c r="F35" s="18"/>
    </row>
    <row r="36" spans="1:6" x14ac:dyDescent="0.3">
      <c r="A36" s="17"/>
      <c r="B36" s="18"/>
      <c r="C36" s="18"/>
      <c r="D36" s="19"/>
      <c r="E36" s="10" t="str">
        <f t="shared" si="0"/>
        <v/>
      </c>
      <c r="F36" s="18"/>
    </row>
    <row r="37" spans="1:6" x14ac:dyDescent="0.3">
      <c r="A37" s="17"/>
      <c r="B37" s="18"/>
      <c r="C37" s="18"/>
      <c r="D37" s="19"/>
      <c r="E37" s="10" t="str">
        <f t="shared" si="0"/>
        <v/>
      </c>
      <c r="F37" s="18"/>
    </row>
    <row r="38" spans="1:6" x14ac:dyDescent="0.3">
      <c r="A38" s="17"/>
      <c r="B38" s="18"/>
      <c r="C38" s="18"/>
      <c r="D38" s="19"/>
      <c r="E38" s="10" t="str">
        <f t="shared" si="0"/>
        <v/>
      </c>
      <c r="F38" s="18"/>
    </row>
    <row r="39" spans="1:6" x14ac:dyDescent="0.3">
      <c r="A39" s="17"/>
      <c r="B39" s="18"/>
      <c r="C39" s="18"/>
      <c r="D39" s="19"/>
      <c r="E39" s="10" t="str">
        <f t="shared" si="0"/>
        <v/>
      </c>
      <c r="F39" s="18"/>
    </row>
    <row r="40" spans="1:6" x14ac:dyDescent="0.3">
      <c r="A40" s="17"/>
      <c r="B40" s="18"/>
      <c r="C40" s="18"/>
      <c r="D40" s="19"/>
      <c r="E40" s="10" t="str">
        <f t="shared" si="0"/>
        <v/>
      </c>
      <c r="F40" s="18"/>
    </row>
    <row r="41" spans="1:6" x14ac:dyDescent="0.3">
      <c r="A41" s="17"/>
      <c r="B41" s="18"/>
      <c r="C41" s="18"/>
      <c r="D41" s="19"/>
      <c r="E41" s="10" t="str">
        <f t="shared" si="0"/>
        <v/>
      </c>
      <c r="F41" s="18"/>
    </row>
    <row r="42" spans="1:6" x14ac:dyDescent="0.3">
      <c r="A42" s="17"/>
      <c r="B42" s="18"/>
      <c r="C42" s="18"/>
      <c r="D42" s="19"/>
      <c r="E42" s="10" t="str">
        <f t="shared" si="0"/>
        <v/>
      </c>
      <c r="F42" s="18"/>
    </row>
    <row r="43" spans="1:6" x14ac:dyDescent="0.3">
      <c r="A43" s="17"/>
      <c r="B43" s="18"/>
      <c r="C43" s="18"/>
      <c r="D43" s="19"/>
      <c r="E43" s="10" t="str">
        <f t="shared" si="0"/>
        <v/>
      </c>
      <c r="F43" s="18"/>
    </row>
    <row r="44" spans="1:6" x14ac:dyDescent="0.3">
      <c r="A44" s="17"/>
      <c r="B44" s="18"/>
      <c r="C44" s="18"/>
      <c r="D44" s="19"/>
      <c r="E44" s="10" t="str">
        <f t="shared" si="0"/>
        <v/>
      </c>
      <c r="F44" s="18"/>
    </row>
    <row r="45" spans="1:6" x14ac:dyDescent="0.3">
      <c r="A45" s="17"/>
      <c r="B45" s="18"/>
      <c r="C45" s="18"/>
      <c r="D45" s="19"/>
      <c r="E45" s="10" t="str">
        <f t="shared" si="0"/>
        <v/>
      </c>
      <c r="F45" s="18"/>
    </row>
    <row r="46" spans="1:6" x14ac:dyDescent="0.3">
      <c r="A46" s="17"/>
      <c r="B46" s="18"/>
      <c r="C46" s="18"/>
      <c r="D46" s="19"/>
      <c r="E46" s="10" t="str">
        <f t="shared" si="0"/>
        <v/>
      </c>
      <c r="F46" s="18"/>
    </row>
    <row r="47" spans="1:6" x14ac:dyDescent="0.3">
      <c r="A47" s="17"/>
      <c r="B47" s="18"/>
      <c r="C47" s="18"/>
      <c r="D47" s="19"/>
      <c r="E47" s="10" t="str">
        <f t="shared" si="0"/>
        <v/>
      </c>
      <c r="F47" s="18"/>
    </row>
    <row r="48" spans="1:6" x14ac:dyDescent="0.3">
      <c r="A48" s="17"/>
      <c r="B48" s="18"/>
      <c r="C48" s="18"/>
      <c r="D48" s="19"/>
      <c r="E48" s="10" t="str">
        <f t="shared" si="0"/>
        <v/>
      </c>
      <c r="F48" s="18"/>
    </row>
    <row r="49" spans="1:6" x14ac:dyDescent="0.3">
      <c r="A49" s="17"/>
      <c r="B49" s="18"/>
      <c r="C49" s="18"/>
      <c r="D49" s="19"/>
      <c r="E49" s="10" t="str">
        <f t="shared" si="0"/>
        <v/>
      </c>
      <c r="F49" s="18"/>
    </row>
    <row r="50" spans="1:6" x14ac:dyDescent="0.3">
      <c r="A50" s="17"/>
      <c r="B50" s="18"/>
      <c r="C50" s="18"/>
      <c r="D50" s="19"/>
      <c r="E50" s="10" t="str">
        <f t="shared" si="0"/>
        <v/>
      </c>
      <c r="F50" s="18"/>
    </row>
    <row r="51" spans="1:6" x14ac:dyDescent="0.3">
      <c r="A51" s="17"/>
      <c r="B51" s="18"/>
      <c r="C51" s="18"/>
      <c r="D51" s="19"/>
      <c r="E51" s="10" t="str">
        <f t="shared" si="0"/>
        <v/>
      </c>
      <c r="F51" s="18"/>
    </row>
    <row r="52" spans="1:6" x14ac:dyDescent="0.3">
      <c r="A52" s="17"/>
      <c r="B52" s="18"/>
      <c r="C52" s="18"/>
      <c r="D52" s="19"/>
      <c r="E52" s="10" t="str">
        <f t="shared" si="0"/>
        <v/>
      </c>
      <c r="F52" s="18"/>
    </row>
    <row r="53" spans="1:6" x14ac:dyDescent="0.3">
      <c r="A53" s="17"/>
      <c r="B53" s="18"/>
      <c r="C53" s="18"/>
      <c r="D53" s="19"/>
      <c r="E53" s="10" t="str">
        <f t="shared" si="0"/>
        <v/>
      </c>
      <c r="F53" s="18"/>
    </row>
    <row r="54" spans="1:6" x14ac:dyDescent="0.3">
      <c r="A54" s="17"/>
      <c r="B54" s="18"/>
      <c r="C54" s="18"/>
      <c r="D54" s="19"/>
      <c r="E54" s="10" t="str">
        <f t="shared" si="0"/>
        <v/>
      </c>
      <c r="F54" s="18"/>
    </row>
    <row r="55" spans="1:6" x14ac:dyDescent="0.3">
      <c r="A55" s="17"/>
      <c r="B55" s="18"/>
      <c r="C55" s="18"/>
      <c r="D55" s="19"/>
      <c r="E55" s="10" t="str">
        <f t="shared" si="0"/>
        <v/>
      </c>
      <c r="F55" s="18"/>
    </row>
    <row r="56" spans="1:6" x14ac:dyDescent="0.3">
      <c r="A56" s="17"/>
      <c r="B56" s="18"/>
      <c r="C56" s="18"/>
      <c r="D56" s="19"/>
      <c r="E56" s="10" t="str">
        <f t="shared" si="0"/>
        <v/>
      </c>
      <c r="F56" s="18"/>
    </row>
    <row r="57" spans="1:6" x14ac:dyDescent="0.3">
      <c r="A57" s="17"/>
      <c r="B57" s="18"/>
      <c r="C57" s="18"/>
      <c r="D57" s="19"/>
      <c r="E57" s="10" t="str">
        <f t="shared" si="0"/>
        <v/>
      </c>
      <c r="F57" s="18"/>
    </row>
    <row r="58" spans="1:6" x14ac:dyDescent="0.3">
      <c r="A58" s="17"/>
      <c r="B58" s="18"/>
      <c r="C58" s="18"/>
      <c r="D58" s="19"/>
      <c r="E58" s="10" t="str">
        <f t="shared" si="0"/>
        <v/>
      </c>
      <c r="F58" s="18"/>
    </row>
    <row r="59" spans="1:6" x14ac:dyDescent="0.3">
      <c r="A59" s="17"/>
      <c r="B59" s="18"/>
      <c r="C59" s="18"/>
      <c r="D59" s="19"/>
      <c r="E59" s="10" t="str">
        <f t="shared" si="0"/>
        <v/>
      </c>
      <c r="F59" s="18"/>
    </row>
    <row r="60" spans="1:6" x14ac:dyDescent="0.3">
      <c r="A60" s="17"/>
      <c r="B60" s="18"/>
      <c r="C60" s="18"/>
      <c r="D60" s="19"/>
      <c r="E60" s="10" t="str">
        <f t="shared" si="0"/>
        <v/>
      </c>
      <c r="F60" s="18"/>
    </row>
    <row r="61" spans="1:6" x14ac:dyDescent="0.3">
      <c r="A61" s="17"/>
      <c r="B61" s="18"/>
      <c r="C61" s="18"/>
      <c r="D61" s="19"/>
      <c r="E61" s="10" t="str">
        <f t="shared" si="0"/>
        <v/>
      </c>
      <c r="F61" s="18"/>
    </row>
    <row r="62" spans="1:6" x14ac:dyDescent="0.3">
      <c r="A62" s="17"/>
      <c r="B62" s="18"/>
      <c r="C62" s="18"/>
      <c r="D62" s="19"/>
      <c r="E62" s="10" t="str">
        <f t="shared" si="0"/>
        <v/>
      </c>
      <c r="F62" s="18"/>
    </row>
    <row r="63" spans="1:6" x14ac:dyDescent="0.3">
      <c r="A63" s="17"/>
      <c r="B63" s="18"/>
      <c r="C63" s="18"/>
      <c r="D63" s="19"/>
      <c r="E63" s="10" t="str">
        <f t="shared" si="0"/>
        <v/>
      </c>
      <c r="F63" s="18"/>
    </row>
    <row r="64" spans="1:6" x14ac:dyDescent="0.3">
      <c r="A64" s="17"/>
      <c r="B64" s="18"/>
      <c r="C64" s="18"/>
      <c r="D64" s="19"/>
      <c r="E64" s="10" t="str">
        <f t="shared" si="0"/>
        <v/>
      </c>
      <c r="F64" s="18"/>
    </row>
    <row r="65" spans="1:6" x14ac:dyDescent="0.3">
      <c r="A65" s="17"/>
      <c r="B65" s="18"/>
      <c r="C65" s="18"/>
      <c r="D65" s="19"/>
      <c r="E65" s="10" t="str">
        <f t="shared" si="0"/>
        <v/>
      </c>
      <c r="F65" s="18"/>
    </row>
    <row r="66" spans="1:6" x14ac:dyDescent="0.3">
      <c r="A66" s="17"/>
      <c r="B66" s="18"/>
      <c r="C66" s="18"/>
      <c r="D66" s="19"/>
      <c r="E66" s="10" t="str">
        <f t="shared" si="0"/>
        <v/>
      </c>
      <c r="F66" s="18"/>
    </row>
    <row r="67" spans="1:6" x14ac:dyDescent="0.3">
      <c r="A67" s="17"/>
      <c r="B67" s="18"/>
      <c r="C67" s="18"/>
      <c r="D67" s="19"/>
      <c r="E67" s="10" t="str">
        <f t="shared" si="0"/>
        <v/>
      </c>
      <c r="F67" s="18"/>
    </row>
    <row r="68" spans="1:6" x14ac:dyDescent="0.3">
      <c r="A68" s="17"/>
      <c r="B68" s="18"/>
      <c r="C68" s="18"/>
      <c r="D68" s="19"/>
      <c r="E68" s="10" t="str">
        <f t="shared" si="0"/>
        <v/>
      </c>
      <c r="F68" s="18"/>
    </row>
    <row r="69" spans="1:6" x14ac:dyDescent="0.3">
      <c r="A69" s="17"/>
      <c r="B69" s="18"/>
      <c r="C69" s="18"/>
      <c r="D69" s="19"/>
      <c r="E69" s="10" t="str">
        <f t="shared" si="0"/>
        <v/>
      </c>
      <c r="F69" s="18"/>
    </row>
    <row r="70" spans="1:6" x14ac:dyDescent="0.3">
      <c r="A70" s="17"/>
      <c r="B70" s="18"/>
      <c r="C70" s="18"/>
      <c r="D70" s="19"/>
      <c r="E70" s="10" t="str">
        <f t="shared" ref="E70:E133" si="1">IF(OR(C70="",D70=""),"",C70*D70)</f>
        <v/>
      </c>
      <c r="F70" s="18"/>
    </row>
    <row r="71" spans="1:6" x14ac:dyDescent="0.3">
      <c r="A71" s="17"/>
      <c r="B71" s="18"/>
      <c r="C71" s="18"/>
      <c r="D71" s="19"/>
      <c r="E71" s="10" t="str">
        <f t="shared" si="1"/>
        <v/>
      </c>
      <c r="F71" s="18"/>
    </row>
    <row r="72" spans="1:6" x14ac:dyDescent="0.3">
      <c r="A72" s="17"/>
      <c r="B72" s="18"/>
      <c r="C72" s="18"/>
      <c r="D72" s="19"/>
      <c r="E72" s="10" t="str">
        <f t="shared" si="1"/>
        <v/>
      </c>
      <c r="F72" s="18"/>
    </row>
    <row r="73" spans="1:6" x14ac:dyDescent="0.3">
      <c r="A73" s="17"/>
      <c r="B73" s="18"/>
      <c r="C73" s="18"/>
      <c r="D73" s="19"/>
      <c r="E73" s="10" t="str">
        <f t="shared" si="1"/>
        <v/>
      </c>
      <c r="F73" s="18"/>
    </row>
    <row r="74" spans="1:6" x14ac:dyDescent="0.3">
      <c r="A74" s="17"/>
      <c r="B74" s="18"/>
      <c r="C74" s="18"/>
      <c r="D74" s="19"/>
      <c r="E74" s="10" t="str">
        <f t="shared" si="1"/>
        <v/>
      </c>
      <c r="F74" s="18"/>
    </row>
    <row r="75" spans="1:6" x14ac:dyDescent="0.3">
      <c r="A75" s="17"/>
      <c r="B75" s="18"/>
      <c r="C75" s="18"/>
      <c r="D75" s="19"/>
      <c r="E75" s="10" t="str">
        <f t="shared" si="1"/>
        <v/>
      </c>
      <c r="F75" s="18"/>
    </row>
    <row r="76" spans="1:6" x14ac:dyDescent="0.3">
      <c r="A76" s="17"/>
      <c r="B76" s="18"/>
      <c r="C76" s="18"/>
      <c r="D76" s="19"/>
      <c r="E76" s="10" t="str">
        <f t="shared" si="1"/>
        <v/>
      </c>
      <c r="F76" s="18"/>
    </row>
    <row r="77" spans="1:6" x14ac:dyDescent="0.3">
      <c r="A77" s="17"/>
      <c r="B77" s="18"/>
      <c r="C77" s="18"/>
      <c r="D77" s="19"/>
      <c r="E77" s="10" t="str">
        <f t="shared" si="1"/>
        <v/>
      </c>
      <c r="F77" s="18"/>
    </row>
    <row r="78" spans="1:6" x14ac:dyDescent="0.3">
      <c r="A78" s="17"/>
      <c r="B78" s="18"/>
      <c r="C78" s="18"/>
      <c r="D78" s="19"/>
      <c r="E78" s="10" t="str">
        <f t="shared" si="1"/>
        <v/>
      </c>
      <c r="F78" s="18"/>
    </row>
    <row r="79" spans="1:6" x14ac:dyDescent="0.3">
      <c r="A79" s="17"/>
      <c r="B79" s="18"/>
      <c r="C79" s="18"/>
      <c r="D79" s="19"/>
      <c r="E79" s="10" t="str">
        <f t="shared" si="1"/>
        <v/>
      </c>
      <c r="F79" s="18"/>
    </row>
    <row r="80" spans="1:6" x14ac:dyDescent="0.3">
      <c r="A80" s="17"/>
      <c r="B80" s="18"/>
      <c r="C80" s="18"/>
      <c r="D80" s="19"/>
      <c r="E80" s="10" t="str">
        <f t="shared" si="1"/>
        <v/>
      </c>
      <c r="F80" s="18"/>
    </row>
    <row r="81" spans="1:6" x14ac:dyDescent="0.3">
      <c r="A81" s="17"/>
      <c r="B81" s="18"/>
      <c r="C81" s="18"/>
      <c r="D81" s="19"/>
      <c r="E81" s="10" t="str">
        <f t="shared" si="1"/>
        <v/>
      </c>
      <c r="F81" s="18"/>
    </row>
    <row r="82" spans="1:6" x14ac:dyDescent="0.3">
      <c r="A82" s="17"/>
      <c r="B82" s="18"/>
      <c r="C82" s="18"/>
      <c r="D82" s="19"/>
      <c r="E82" s="10" t="str">
        <f t="shared" si="1"/>
        <v/>
      </c>
      <c r="F82" s="18"/>
    </row>
    <row r="83" spans="1:6" x14ac:dyDescent="0.3">
      <c r="A83" s="17"/>
      <c r="B83" s="18"/>
      <c r="C83" s="18"/>
      <c r="D83" s="19"/>
      <c r="E83" s="10" t="str">
        <f t="shared" si="1"/>
        <v/>
      </c>
      <c r="F83" s="18"/>
    </row>
    <row r="84" spans="1:6" x14ac:dyDescent="0.3">
      <c r="A84" s="17"/>
      <c r="B84" s="18"/>
      <c r="C84" s="18"/>
      <c r="D84" s="19"/>
      <c r="E84" s="10" t="str">
        <f t="shared" si="1"/>
        <v/>
      </c>
      <c r="F84" s="18"/>
    </row>
    <row r="85" spans="1:6" x14ac:dyDescent="0.3">
      <c r="A85" s="17"/>
      <c r="B85" s="18"/>
      <c r="C85" s="18"/>
      <c r="D85" s="19"/>
      <c r="E85" s="10" t="str">
        <f t="shared" si="1"/>
        <v/>
      </c>
      <c r="F85" s="18"/>
    </row>
    <row r="86" spans="1:6" x14ac:dyDescent="0.3">
      <c r="A86" s="17"/>
      <c r="B86" s="18"/>
      <c r="C86" s="18"/>
      <c r="D86" s="19"/>
      <c r="E86" s="10" t="str">
        <f t="shared" si="1"/>
        <v/>
      </c>
      <c r="F86" s="18"/>
    </row>
    <row r="87" spans="1:6" x14ac:dyDescent="0.3">
      <c r="A87" s="17"/>
      <c r="B87" s="18"/>
      <c r="C87" s="18"/>
      <c r="D87" s="19"/>
      <c r="E87" s="10" t="str">
        <f t="shared" si="1"/>
        <v/>
      </c>
      <c r="F87" s="18"/>
    </row>
    <row r="88" spans="1:6" x14ac:dyDescent="0.3">
      <c r="A88" s="17"/>
      <c r="B88" s="18"/>
      <c r="C88" s="18"/>
      <c r="D88" s="19"/>
      <c r="E88" s="10" t="str">
        <f t="shared" si="1"/>
        <v/>
      </c>
      <c r="F88" s="18"/>
    </row>
    <row r="89" spans="1:6" x14ac:dyDescent="0.3">
      <c r="A89" s="17"/>
      <c r="B89" s="18"/>
      <c r="C89" s="18"/>
      <c r="D89" s="19"/>
      <c r="E89" s="10" t="str">
        <f t="shared" si="1"/>
        <v/>
      </c>
      <c r="F89" s="18"/>
    </row>
    <row r="90" spans="1:6" x14ac:dyDescent="0.3">
      <c r="A90" s="17"/>
      <c r="B90" s="18"/>
      <c r="C90" s="18"/>
      <c r="D90" s="19"/>
      <c r="E90" s="10" t="str">
        <f t="shared" si="1"/>
        <v/>
      </c>
      <c r="F90" s="18"/>
    </row>
    <row r="91" spans="1:6" x14ac:dyDescent="0.3">
      <c r="A91" s="17"/>
      <c r="B91" s="18"/>
      <c r="C91" s="18"/>
      <c r="D91" s="19"/>
      <c r="E91" s="10" t="str">
        <f t="shared" si="1"/>
        <v/>
      </c>
      <c r="F91" s="18"/>
    </row>
    <row r="92" spans="1:6" x14ac:dyDescent="0.3">
      <c r="A92" s="17"/>
      <c r="B92" s="18"/>
      <c r="C92" s="18"/>
      <c r="D92" s="19"/>
      <c r="E92" s="10" t="str">
        <f t="shared" si="1"/>
        <v/>
      </c>
      <c r="F92" s="18"/>
    </row>
    <row r="93" spans="1:6" x14ac:dyDescent="0.3">
      <c r="A93" s="17"/>
      <c r="B93" s="18"/>
      <c r="C93" s="18"/>
      <c r="D93" s="19"/>
      <c r="E93" s="10" t="str">
        <f t="shared" si="1"/>
        <v/>
      </c>
      <c r="F93" s="18"/>
    </row>
    <row r="94" spans="1:6" x14ac:dyDescent="0.3">
      <c r="A94" s="17"/>
      <c r="B94" s="18"/>
      <c r="C94" s="18"/>
      <c r="D94" s="19"/>
      <c r="E94" s="10" t="str">
        <f t="shared" si="1"/>
        <v/>
      </c>
      <c r="F94" s="18"/>
    </row>
    <row r="95" spans="1:6" x14ac:dyDescent="0.3">
      <c r="A95" s="17"/>
      <c r="B95" s="18"/>
      <c r="C95" s="18"/>
      <c r="D95" s="19"/>
      <c r="E95" s="10" t="str">
        <f t="shared" si="1"/>
        <v/>
      </c>
      <c r="F95" s="18"/>
    </row>
    <row r="96" spans="1:6" x14ac:dyDescent="0.3">
      <c r="A96" s="17"/>
      <c r="B96" s="18"/>
      <c r="C96" s="18"/>
      <c r="D96" s="19"/>
      <c r="E96" s="10" t="str">
        <f t="shared" si="1"/>
        <v/>
      </c>
      <c r="F96" s="18"/>
    </row>
    <row r="97" spans="1:6" x14ac:dyDescent="0.3">
      <c r="A97" s="17"/>
      <c r="B97" s="18"/>
      <c r="C97" s="18"/>
      <c r="D97" s="19"/>
      <c r="E97" s="10" t="str">
        <f t="shared" si="1"/>
        <v/>
      </c>
      <c r="F97" s="18"/>
    </row>
    <row r="98" spans="1:6" x14ac:dyDescent="0.3">
      <c r="A98" s="17"/>
      <c r="B98" s="18"/>
      <c r="C98" s="18"/>
      <c r="D98" s="19"/>
      <c r="E98" s="10" t="str">
        <f t="shared" si="1"/>
        <v/>
      </c>
      <c r="F98" s="18"/>
    </row>
    <row r="99" spans="1:6" x14ac:dyDescent="0.3">
      <c r="A99" s="17"/>
      <c r="B99" s="18"/>
      <c r="C99" s="18"/>
      <c r="D99" s="19"/>
      <c r="E99" s="10" t="str">
        <f t="shared" si="1"/>
        <v/>
      </c>
      <c r="F99" s="18"/>
    </row>
    <row r="100" spans="1:6" x14ac:dyDescent="0.3">
      <c r="A100" s="17"/>
      <c r="B100" s="18"/>
      <c r="C100" s="18"/>
      <c r="D100" s="19"/>
      <c r="E100" s="10" t="str">
        <f t="shared" si="1"/>
        <v/>
      </c>
      <c r="F100" s="18"/>
    </row>
    <row r="101" spans="1:6" x14ac:dyDescent="0.3">
      <c r="A101" s="17"/>
      <c r="B101" s="18"/>
      <c r="C101" s="18"/>
      <c r="D101" s="19"/>
      <c r="E101" s="10" t="str">
        <f t="shared" si="1"/>
        <v/>
      </c>
      <c r="F101" s="18"/>
    </row>
    <row r="102" spans="1:6" x14ac:dyDescent="0.3">
      <c r="A102" s="17"/>
      <c r="B102" s="18"/>
      <c r="C102" s="18"/>
      <c r="D102" s="19"/>
      <c r="E102" s="10" t="str">
        <f t="shared" si="1"/>
        <v/>
      </c>
      <c r="F102" s="18"/>
    </row>
    <row r="103" spans="1:6" x14ac:dyDescent="0.3">
      <c r="A103" s="17"/>
      <c r="B103" s="18"/>
      <c r="C103" s="18"/>
      <c r="D103" s="19"/>
      <c r="E103" s="10" t="str">
        <f t="shared" si="1"/>
        <v/>
      </c>
      <c r="F103" s="18"/>
    </row>
    <row r="104" spans="1:6" x14ac:dyDescent="0.3">
      <c r="A104" s="17"/>
      <c r="B104" s="18"/>
      <c r="C104" s="18"/>
      <c r="D104" s="19"/>
      <c r="E104" s="10" t="str">
        <f t="shared" si="1"/>
        <v/>
      </c>
      <c r="F104" s="18"/>
    </row>
    <row r="105" spans="1:6" x14ac:dyDescent="0.3">
      <c r="A105" s="17"/>
      <c r="B105" s="18"/>
      <c r="C105" s="18"/>
      <c r="D105" s="19"/>
      <c r="E105" s="10" t="str">
        <f t="shared" si="1"/>
        <v/>
      </c>
      <c r="F105" s="18"/>
    </row>
    <row r="106" spans="1:6" x14ac:dyDescent="0.3">
      <c r="A106" s="17"/>
      <c r="B106" s="18"/>
      <c r="C106" s="18"/>
      <c r="D106" s="19"/>
      <c r="E106" s="10" t="str">
        <f t="shared" si="1"/>
        <v/>
      </c>
      <c r="F106" s="18"/>
    </row>
    <row r="107" spans="1:6" x14ac:dyDescent="0.3">
      <c r="A107" s="17"/>
      <c r="B107" s="18"/>
      <c r="C107" s="18"/>
      <c r="D107" s="19"/>
      <c r="E107" s="10" t="str">
        <f t="shared" si="1"/>
        <v/>
      </c>
      <c r="F107" s="18"/>
    </row>
    <row r="108" spans="1:6" x14ac:dyDescent="0.3">
      <c r="A108" s="17"/>
      <c r="B108" s="18"/>
      <c r="C108" s="18"/>
      <c r="D108" s="19"/>
      <c r="E108" s="10" t="str">
        <f t="shared" si="1"/>
        <v/>
      </c>
      <c r="F108" s="18"/>
    </row>
    <row r="109" spans="1:6" x14ac:dyDescent="0.3">
      <c r="A109" s="17"/>
      <c r="B109" s="18"/>
      <c r="C109" s="18"/>
      <c r="D109" s="19"/>
      <c r="E109" s="10" t="str">
        <f t="shared" si="1"/>
        <v/>
      </c>
      <c r="F109" s="18"/>
    </row>
    <row r="110" spans="1:6" x14ac:dyDescent="0.3">
      <c r="A110" s="17"/>
      <c r="B110" s="18"/>
      <c r="C110" s="18"/>
      <c r="D110" s="19"/>
      <c r="E110" s="10" t="str">
        <f t="shared" si="1"/>
        <v/>
      </c>
      <c r="F110" s="18"/>
    </row>
    <row r="111" spans="1:6" x14ac:dyDescent="0.3">
      <c r="A111" s="17"/>
      <c r="B111" s="18"/>
      <c r="C111" s="18"/>
      <c r="D111" s="19"/>
      <c r="E111" s="10" t="str">
        <f t="shared" si="1"/>
        <v/>
      </c>
      <c r="F111" s="18"/>
    </row>
    <row r="112" spans="1:6" x14ac:dyDescent="0.3">
      <c r="A112" s="17"/>
      <c r="B112" s="18"/>
      <c r="C112" s="18"/>
      <c r="D112" s="19"/>
      <c r="E112" s="10" t="str">
        <f t="shared" si="1"/>
        <v/>
      </c>
      <c r="F112" s="18"/>
    </row>
    <row r="113" spans="1:6" x14ac:dyDescent="0.3">
      <c r="A113" s="17"/>
      <c r="B113" s="18"/>
      <c r="C113" s="18"/>
      <c r="D113" s="19"/>
      <c r="E113" s="10" t="str">
        <f t="shared" si="1"/>
        <v/>
      </c>
      <c r="F113" s="18"/>
    </row>
    <row r="114" spans="1:6" x14ac:dyDescent="0.3">
      <c r="A114" s="17"/>
      <c r="B114" s="18"/>
      <c r="C114" s="18"/>
      <c r="D114" s="19"/>
      <c r="E114" s="10" t="str">
        <f t="shared" si="1"/>
        <v/>
      </c>
      <c r="F114" s="18"/>
    </row>
    <row r="115" spans="1:6" x14ac:dyDescent="0.3">
      <c r="A115" s="17"/>
      <c r="B115" s="18"/>
      <c r="C115" s="18"/>
      <c r="D115" s="19"/>
      <c r="E115" s="10" t="str">
        <f t="shared" si="1"/>
        <v/>
      </c>
      <c r="F115" s="18"/>
    </row>
    <row r="116" spans="1:6" x14ac:dyDescent="0.3">
      <c r="A116" s="17"/>
      <c r="B116" s="18"/>
      <c r="C116" s="18"/>
      <c r="D116" s="19"/>
      <c r="E116" s="10" t="str">
        <f t="shared" si="1"/>
        <v/>
      </c>
      <c r="F116" s="18"/>
    </row>
    <row r="117" spans="1:6" x14ac:dyDescent="0.3">
      <c r="A117" s="17"/>
      <c r="B117" s="18"/>
      <c r="C117" s="18"/>
      <c r="D117" s="19"/>
      <c r="E117" s="10" t="str">
        <f t="shared" si="1"/>
        <v/>
      </c>
      <c r="F117" s="18"/>
    </row>
    <row r="118" spans="1:6" x14ac:dyDescent="0.3">
      <c r="A118" s="17"/>
      <c r="B118" s="18"/>
      <c r="C118" s="18"/>
      <c r="D118" s="19"/>
      <c r="E118" s="10" t="str">
        <f t="shared" si="1"/>
        <v/>
      </c>
      <c r="F118" s="18"/>
    </row>
    <row r="119" spans="1:6" x14ac:dyDescent="0.3">
      <c r="A119" s="17"/>
      <c r="B119" s="18"/>
      <c r="C119" s="18"/>
      <c r="D119" s="19"/>
      <c r="E119" s="10" t="str">
        <f t="shared" si="1"/>
        <v/>
      </c>
      <c r="F119" s="18"/>
    </row>
    <row r="120" spans="1:6" x14ac:dyDescent="0.3">
      <c r="A120" s="17"/>
      <c r="B120" s="18"/>
      <c r="C120" s="18"/>
      <c r="D120" s="19"/>
      <c r="E120" s="10" t="str">
        <f t="shared" si="1"/>
        <v/>
      </c>
      <c r="F120" s="18"/>
    </row>
    <row r="121" spans="1:6" x14ac:dyDescent="0.3">
      <c r="A121" s="17"/>
      <c r="B121" s="18"/>
      <c r="C121" s="18"/>
      <c r="D121" s="19"/>
      <c r="E121" s="10" t="str">
        <f t="shared" si="1"/>
        <v/>
      </c>
      <c r="F121" s="18"/>
    </row>
    <row r="122" spans="1:6" x14ac:dyDescent="0.3">
      <c r="A122" s="17"/>
      <c r="B122" s="18"/>
      <c r="C122" s="18"/>
      <c r="D122" s="19"/>
      <c r="E122" s="10" t="str">
        <f t="shared" si="1"/>
        <v/>
      </c>
      <c r="F122" s="18"/>
    </row>
    <row r="123" spans="1:6" x14ac:dyDescent="0.3">
      <c r="A123" s="17"/>
      <c r="B123" s="18"/>
      <c r="C123" s="18"/>
      <c r="D123" s="19"/>
      <c r="E123" s="10" t="str">
        <f t="shared" si="1"/>
        <v/>
      </c>
      <c r="F123" s="18"/>
    </row>
    <row r="124" spans="1:6" x14ac:dyDescent="0.3">
      <c r="A124" s="17"/>
      <c r="B124" s="18"/>
      <c r="C124" s="18"/>
      <c r="D124" s="19"/>
      <c r="E124" s="10" t="str">
        <f t="shared" si="1"/>
        <v/>
      </c>
      <c r="F124" s="18"/>
    </row>
    <row r="125" spans="1:6" x14ac:dyDescent="0.3">
      <c r="A125" s="17"/>
      <c r="B125" s="18"/>
      <c r="C125" s="18"/>
      <c r="D125" s="19"/>
      <c r="E125" s="10" t="str">
        <f t="shared" si="1"/>
        <v/>
      </c>
      <c r="F125" s="18"/>
    </row>
    <row r="126" spans="1:6" x14ac:dyDescent="0.3">
      <c r="A126" s="17"/>
      <c r="B126" s="18"/>
      <c r="C126" s="18"/>
      <c r="D126" s="19"/>
      <c r="E126" s="10" t="str">
        <f t="shared" si="1"/>
        <v/>
      </c>
      <c r="F126" s="18"/>
    </row>
    <row r="127" spans="1:6" x14ac:dyDescent="0.3">
      <c r="A127" s="17"/>
      <c r="B127" s="18"/>
      <c r="C127" s="18"/>
      <c r="D127" s="19"/>
      <c r="E127" s="10" t="str">
        <f t="shared" si="1"/>
        <v/>
      </c>
      <c r="F127" s="18"/>
    </row>
    <row r="128" spans="1:6" x14ac:dyDescent="0.3">
      <c r="A128" s="17"/>
      <c r="B128" s="18"/>
      <c r="C128" s="18"/>
      <c r="D128" s="19"/>
      <c r="E128" s="10" t="str">
        <f t="shared" si="1"/>
        <v/>
      </c>
      <c r="F128" s="18"/>
    </row>
    <row r="129" spans="1:6" x14ac:dyDescent="0.3">
      <c r="A129" s="17"/>
      <c r="B129" s="18"/>
      <c r="C129" s="18"/>
      <c r="D129" s="19"/>
      <c r="E129" s="10" t="str">
        <f t="shared" si="1"/>
        <v/>
      </c>
      <c r="F129" s="18"/>
    </row>
    <row r="130" spans="1:6" x14ac:dyDescent="0.3">
      <c r="A130" s="17"/>
      <c r="B130" s="18"/>
      <c r="C130" s="18"/>
      <c r="D130" s="19"/>
      <c r="E130" s="10" t="str">
        <f t="shared" si="1"/>
        <v/>
      </c>
      <c r="F130" s="18"/>
    </row>
    <row r="131" spans="1:6" x14ac:dyDescent="0.3">
      <c r="A131" s="17"/>
      <c r="B131" s="18"/>
      <c r="C131" s="18"/>
      <c r="D131" s="19"/>
      <c r="E131" s="10" t="str">
        <f t="shared" si="1"/>
        <v/>
      </c>
      <c r="F131" s="18"/>
    </row>
    <row r="132" spans="1:6" x14ac:dyDescent="0.3">
      <c r="A132" s="17"/>
      <c r="B132" s="18"/>
      <c r="C132" s="18"/>
      <c r="D132" s="19"/>
      <c r="E132" s="10" t="str">
        <f t="shared" si="1"/>
        <v/>
      </c>
      <c r="F132" s="18"/>
    </row>
    <row r="133" spans="1:6" x14ac:dyDescent="0.3">
      <c r="A133" s="17"/>
      <c r="B133" s="18"/>
      <c r="C133" s="18"/>
      <c r="D133" s="19"/>
      <c r="E133" s="10" t="str">
        <f t="shared" si="1"/>
        <v/>
      </c>
      <c r="F133" s="18"/>
    </row>
    <row r="134" spans="1:6" x14ac:dyDescent="0.3">
      <c r="A134" s="17"/>
      <c r="B134" s="18"/>
      <c r="C134" s="18"/>
      <c r="D134" s="19"/>
      <c r="E134" s="10" t="str">
        <f t="shared" ref="E134:E197" si="2">IF(OR(C134="",D134=""),"",C134*D134)</f>
        <v/>
      </c>
      <c r="F134" s="18"/>
    </row>
    <row r="135" spans="1:6" x14ac:dyDescent="0.3">
      <c r="A135" s="17"/>
      <c r="B135" s="18"/>
      <c r="C135" s="18"/>
      <c r="D135" s="19"/>
      <c r="E135" s="10" t="str">
        <f t="shared" si="2"/>
        <v/>
      </c>
      <c r="F135" s="18"/>
    </row>
    <row r="136" spans="1:6" x14ac:dyDescent="0.3">
      <c r="A136" s="17"/>
      <c r="B136" s="18"/>
      <c r="C136" s="18"/>
      <c r="D136" s="19"/>
      <c r="E136" s="10" t="str">
        <f t="shared" si="2"/>
        <v/>
      </c>
      <c r="F136" s="18"/>
    </row>
    <row r="137" spans="1:6" x14ac:dyDescent="0.3">
      <c r="A137" s="17"/>
      <c r="B137" s="18"/>
      <c r="C137" s="18"/>
      <c r="D137" s="19"/>
      <c r="E137" s="10" t="str">
        <f t="shared" si="2"/>
        <v/>
      </c>
      <c r="F137" s="18"/>
    </row>
    <row r="138" spans="1:6" x14ac:dyDescent="0.3">
      <c r="A138" s="17"/>
      <c r="B138" s="18"/>
      <c r="C138" s="18"/>
      <c r="D138" s="19"/>
      <c r="E138" s="10" t="str">
        <f t="shared" si="2"/>
        <v/>
      </c>
      <c r="F138" s="18"/>
    </row>
    <row r="139" spans="1:6" x14ac:dyDescent="0.3">
      <c r="A139" s="17"/>
      <c r="B139" s="18"/>
      <c r="C139" s="18"/>
      <c r="D139" s="19"/>
      <c r="E139" s="10" t="str">
        <f t="shared" si="2"/>
        <v/>
      </c>
      <c r="F139" s="18"/>
    </row>
    <row r="140" spans="1:6" x14ac:dyDescent="0.3">
      <c r="A140" s="17"/>
      <c r="B140" s="18"/>
      <c r="C140" s="18"/>
      <c r="D140" s="19"/>
      <c r="E140" s="10" t="str">
        <f t="shared" si="2"/>
        <v/>
      </c>
      <c r="F140" s="18"/>
    </row>
    <row r="141" spans="1:6" x14ac:dyDescent="0.3">
      <c r="A141" s="17"/>
      <c r="B141" s="18"/>
      <c r="C141" s="18"/>
      <c r="D141" s="19"/>
      <c r="E141" s="10" t="str">
        <f t="shared" si="2"/>
        <v/>
      </c>
      <c r="F141" s="18"/>
    </row>
    <row r="142" spans="1:6" x14ac:dyDescent="0.3">
      <c r="A142" s="17"/>
      <c r="B142" s="18"/>
      <c r="C142" s="18"/>
      <c r="D142" s="19"/>
      <c r="E142" s="10" t="str">
        <f t="shared" si="2"/>
        <v/>
      </c>
      <c r="F142" s="18"/>
    </row>
    <row r="143" spans="1:6" x14ac:dyDescent="0.3">
      <c r="A143" s="17"/>
      <c r="B143" s="18"/>
      <c r="C143" s="18"/>
      <c r="D143" s="19"/>
      <c r="E143" s="10" t="str">
        <f t="shared" si="2"/>
        <v/>
      </c>
      <c r="F143" s="18"/>
    </row>
    <row r="144" spans="1:6" x14ac:dyDescent="0.3">
      <c r="A144" s="17"/>
      <c r="B144" s="18"/>
      <c r="C144" s="18"/>
      <c r="D144" s="19"/>
      <c r="E144" s="10" t="str">
        <f t="shared" si="2"/>
        <v/>
      </c>
      <c r="F144" s="18"/>
    </row>
    <row r="145" spans="1:6" x14ac:dyDescent="0.3">
      <c r="A145" s="17"/>
      <c r="B145" s="18"/>
      <c r="C145" s="18"/>
      <c r="D145" s="19"/>
      <c r="E145" s="10" t="str">
        <f t="shared" si="2"/>
        <v/>
      </c>
      <c r="F145" s="18"/>
    </row>
    <row r="146" spans="1:6" x14ac:dyDescent="0.3">
      <c r="A146" s="17"/>
      <c r="B146" s="18"/>
      <c r="C146" s="18"/>
      <c r="D146" s="19"/>
      <c r="E146" s="10" t="str">
        <f t="shared" si="2"/>
        <v/>
      </c>
      <c r="F146" s="18"/>
    </row>
    <row r="147" spans="1:6" x14ac:dyDescent="0.3">
      <c r="A147" s="17"/>
      <c r="B147" s="18"/>
      <c r="C147" s="18"/>
      <c r="D147" s="19"/>
      <c r="E147" s="10" t="str">
        <f t="shared" si="2"/>
        <v/>
      </c>
      <c r="F147" s="18"/>
    </row>
    <row r="148" spans="1:6" x14ac:dyDescent="0.3">
      <c r="A148" s="17"/>
      <c r="B148" s="18"/>
      <c r="C148" s="18"/>
      <c r="D148" s="19"/>
      <c r="E148" s="10" t="str">
        <f t="shared" si="2"/>
        <v/>
      </c>
      <c r="F148" s="18"/>
    </row>
    <row r="149" spans="1:6" x14ac:dyDescent="0.3">
      <c r="A149" s="17"/>
      <c r="B149" s="18"/>
      <c r="C149" s="18"/>
      <c r="D149" s="19"/>
      <c r="E149" s="10" t="str">
        <f t="shared" si="2"/>
        <v/>
      </c>
      <c r="F149" s="18"/>
    </row>
    <row r="150" spans="1:6" x14ac:dyDescent="0.3">
      <c r="A150" s="17"/>
      <c r="B150" s="18"/>
      <c r="C150" s="18"/>
      <c r="D150" s="19"/>
      <c r="E150" s="10" t="str">
        <f t="shared" si="2"/>
        <v/>
      </c>
      <c r="F150" s="18"/>
    </row>
    <row r="151" spans="1:6" x14ac:dyDescent="0.3">
      <c r="A151" s="17"/>
      <c r="B151" s="18"/>
      <c r="C151" s="18"/>
      <c r="D151" s="19"/>
      <c r="E151" s="10" t="str">
        <f t="shared" si="2"/>
        <v/>
      </c>
      <c r="F151" s="18"/>
    </row>
    <row r="152" spans="1:6" x14ac:dyDescent="0.3">
      <c r="A152" s="17"/>
      <c r="B152" s="18"/>
      <c r="C152" s="18"/>
      <c r="D152" s="19"/>
      <c r="E152" s="10" t="str">
        <f t="shared" si="2"/>
        <v/>
      </c>
      <c r="F152" s="18"/>
    </row>
    <row r="153" spans="1:6" x14ac:dyDescent="0.3">
      <c r="A153" s="17"/>
      <c r="B153" s="18"/>
      <c r="C153" s="18"/>
      <c r="D153" s="19"/>
      <c r="E153" s="10" t="str">
        <f t="shared" si="2"/>
        <v/>
      </c>
      <c r="F153" s="18"/>
    </row>
    <row r="154" spans="1:6" x14ac:dyDescent="0.3">
      <c r="A154" s="17"/>
      <c r="B154" s="18"/>
      <c r="C154" s="18"/>
      <c r="D154" s="19"/>
      <c r="E154" s="10" t="str">
        <f t="shared" si="2"/>
        <v/>
      </c>
      <c r="F154" s="18"/>
    </row>
    <row r="155" spans="1:6" x14ac:dyDescent="0.3">
      <c r="A155" s="17"/>
      <c r="B155" s="18"/>
      <c r="C155" s="18"/>
      <c r="D155" s="19"/>
      <c r="E155" s="10" t="str">
        <f t="shared" si="2"/>
        <v/>
      </c>
      <c r="F155" s="18"/>
    </row>
    <row r="156" spans="1:6" x14ac:dyDescent="0.3">
      <c r="A156" s="17"/>
      <c r="B156" s="18"/>
      <c r="C156" s="18"/>
      <c r="D156" s="19"/>
      <c r="E156" s="10" t="str">
        <f t="shared" si="2"/>
        <v/>
      </c>
      <c r="F156" s="18"/>
    </row>
    <row r="157" spans="1:6" x14ac:dyDescent="0.3">
      <c r="A157" s="17"/>
      <c r="B157" s="18"/>
      <c r="C157" s="18"/>
      <c r="D157" s="19"/>
      <c r="E157" s="10" t="str">
        <f t="shared" si="2"/>
        <v/>
      </c>
      <c r="F157" s="18"/>
    </row>
    <row r="158" spans="1:6" x14ac:dyDescent="0.3">
      <c r="A158" s="17"/>
      <c r="B158" s="18"/>
      <c r="C158" s="18"/>
      <c r="D158" s="19"/>
      <c r="E158" s="10" t="str">
        <f t="shared" si="2"/>
        <v/>
      </c>
      <c r="F158" s="18"/>
    </row>
    <row r="159" spans="1:6" x14ac:dyDescent="0.3">
      <c r="A159" s="17"/>
      <c r="B159" s="18"/>
      <c r="C159" s="18"/>
      <c r="D159" s="19"/>
      <c r="E159" s="10" t="str">
        <f t="shared" si="2"/>
        <v/>
      </c>
      <c r="F159" s="18"/>
    </row>
    <row r="160" spans="1:6" x14ac:dyDescent="0.3">
      <c r="A160" s="17"/>
      <c r="B160" s="18"/>
      <c r="C160" s="18"/>
      <c r="D160" s="19"/>
      <c r="E160" s="10" t="str">
        <f t="shared" si="2"/>
        <v/>
      </c>
      <c r="F160" s="18"/>
    </row>
    <row r="161" spans="1:6" x14ac:dyDescent="0.3">
      <c r="A161" s="17"/>
      <c r="B161" s="18"/>
      <c r="C161" s="18"/>
      <c r="D161" s="19"/>
      <c r="E161" s="10" t="str">
        <f t="shared" si="2"/>
        <v/>
      </c>
      <c r="F161" s="18"/>
    </row>
    <row r="162" spans="1:6" x14ac:dyDescent="0.3">
      <c r="A162" s="17"/>
      <c r="B162" s="18"/>
      <c r="C162" s="18"/>
      <c r="D162" s="19"/>
      <c r="E162" s="10" t="str">
        <f t="shared" si="2"/>
        <v/>
      </c>
      <c r="F162" s="18"/>
    </row>
    <row r="163" spans="1:6" x14ac:dyDescent="0.3">
      <c r="A163" s="17"/>
      <c r="B163" s="18"/>
      <c r="C163" s="18"/>
      <c r="D163" s="19"/>
      <c r="E163" s="10" t="str">
        <f t="shared" si="2"/>
        <v/>
      </c>
      <c r="F163" s="18"/>
    </row>
    <row r="164" spans="1:6" x14ac:dyDescent="0.3">
      <c r="A164" s="17"/>
      <c r="B164" s="18"/>
      <c r="C164" s="18"/>
      <c r="D164" s="19"/>
      <c r="E164" s="10" t="str">
        <f t="shared" si="2"/>
        <v/>
      </c>
      <c r="F164" s="18"/>
    </row>
    <row r="165" spans="1:6" x14ac:dyDescent="0.3">
      <c r="A165" s="17"/>
      <c r="B165" s="18"/>
      <c r="C165" s="18"/>
      <c r="D165" s="19"/>
      <c r="E165" s="10" t="str">
        <f t="shared" si="2"/>
        <v/>
      </c>
      <c r="F165" s="18"/>
    </row>
    <row r="166" spans="1:6" x14ac:dyDescent="0.3">
      <c r="A166" s="17"/>
      <c r="B166" s="18"/>
      <c r="C166" s="18"/>
      <c r="D166" s="19"/>
      <c r="E166" s="10" t="str">
        <f t="shared" si="2"/>
        <v/>
      </c>
      <c r="F166" s="18"/>
    </row>
    <row r="167" spans="1:6" x14ac:dyDescent="0.3">
      <c r="A167" s="17"/>
      <c r="B167" s="18"/>
      <c r="C167" s="18"/>
      <c r="D167" s="19"/>
      <c r="E167" s="10" t="str">
        <f t="shared" si="2"/>
        <v/>
      </c>
      <c r="F167" s="18"/>
    </row>
    <row r="168" spans="1:6" x14ac:dyDescent="0.3">
      <c r="A168" s="17"/>
      <c r="B168" s="18"/>
      <c r="C168" s="18"/>
      <c r="D168" s="19"/>
      <c r="E168" s="10" t="str">
        <f t="shared" si="2"/>
        <v/>
      </c>
      <c r="F168" s="18"/>
    </row>
    <row r="169" spans="1:6" x14ac:dyDescent="0.3">
      <c r="A169" s="17"/>
      <c r="B169" s="18"/>
      <c r="C169" s="18"/>
      <c r="D169" s="19"/>
      <c r="E169" s="10" t="str">
        <f t="shared" si="2"/>
        <v/>
      </c>
      <c r="F169" s="18"/>
    </row>
    <row r="170" spans="1:6" x14ac:dyDescent="0.3">
      <c r="A170" s="17"/>
      <c r="B170" s="18"/>
      <c r="C170" s="18"/>
      <c r="D170" s="19"/>
      <c r="E170" s="10" t="str">
        <f t="shared" si="2"/>
        <v/>
      </c>
      <c r="F170" s="18"/>
    </row>
    <row r="171" spans="1:6" x14ac:dyDescent="0.3">
      <c r="A171" s="17"/>
      <c r="B171" s="18"/>
      <c r="C171" s="18"/>
      <c r="D171" s="19"/>
      <c r="E171" s="10" t="str">
        <f t="shared" si="2"/>
        <v/>
      </c>
      <c r="F171" s="18"/>
    </row>
    <row r="172" spans="1:6" x14ac:dyDescent="0.3">
      <c r="A172" s="17"/>
      <c r="B172" s="18"/>
      <c r="C172" s="18"/>
      <c r="D172" s="19"/>
      <c r="E172" s="10" t="str">
        <f t="shared" si="2"/>
        <v/>
      </c>
      <c r="F172" s="18"/>
    </row>
    <row r="173" spans="1:6" x14ac:dyDescent="0.3">
      <c r="A173" s="17"/>
      <c r="B173" s="18"/>
      <c r="C173" s="18"/>
      <c r="D173" s="19"/>
      <c r="E173" s="10" t="str">
        <f t="shared" si="2"/>
        <v/>
      </c>
      <c r="F173" s="18"/>
    </row>
    <row r="174" spans="1:6" x14ac:dyDescent="0.3">
      <c r="A174" s="17"/>
      <c r="B174" s="18"/>
      <c r="C174" s="18"/>
      <c r="D174" s="19"/>
      <c r="E174" s="10" t="str">
        <f t="shared" si="2"/>
        <v/>
      </c>
      <c r="F174" s="18"/>
    </row>
    <row r="175" spans="1:6" x14ac:dyDescent="0.3">
      <c r="A175" s="17"/>
      <c r="B175" s="18"/>
      <c r="C175" s="18"/>
      <c r="D175" s="19"/>
      <c r="E175" s="10" t="str">
        <f t="shared" si="2"/>
        <v/>
      </c>
      <c r="F175" s="18"/>
    </row>
    <row r="176" spans="1:6" x14ac:dyDescent="0.3">
      <c r="A176" s="17"/>
      <c r="B176" s="18"/>
      <c r="C176" s="18"/>
      <c r="D176" s="19"/>
      <c r="E176" s="10" t="str">
        <f t="shared" si="2"/>
        <v/>
      </c>
      <c r="F176" s="18"/>
    </row>
    <row r="177" spans="1:6" x14ac:dyDescent="0.3">
      <c r="A177" s="17"/>
      <c r="B177" s="18"/>
      <c r="C177" s="18"/>
      <c r="D177" s="19"/>
      <c r="E177" s="10" t="str">
        <f t="shared" si="2"/>
        <v/>
      </c>
      <c r="F177" s="18"/>
    </row>
    <row r="178" spans="1:6" x14ac:dyDescent="0.3">
      <c r="A178" s="17"/>
      <c r="B178" s="18"/>
      <c r="C178" s="18"/>
      <c r="D178" s="19"/>
      <c r="E178" s="10" t="str">
        <f t="shared" si="2"/>
        <v/>
      </c>
      <c r="F178" s="18"/>
    </row>
    <row r="179" spans="1:6" x14ac:dyDescent="0.3">
      <c r="A179" s="17"/>
      <c r="B179" s="18"/>
      <c r="C179" s="18"/>
      <c r="D179" s="19"/>
      <c r="E179" s="10" t="str">
        <f t="shared" si="2"/>
        <v/>
      </c>
      <c r="F179" s="18"/>
    </row>
    <row r="180" spans="1:6" x14ac:dyDescent="0.3">
      <c r="A180" s="17"/>
      <c r="B180" s="18"/>
      <c r="C180" s="18"/>
      <c r="D180" s="19"/>
      <c r="E180" s="10" t="str">
        <f t="shared" si="2"/>
        <v/>
      </c>
      <c r="F180" s="18"/>
    </row>
    <row r="181" spans="1:6" x14ac:dyDescent="0.3">
      <c r="A181" s="17"/>
      <c r="B181" s="18"/>
      <c r="C181" s="18"/>
      <c r="D181" s="19"/>
      <c r="E181" s="10" t="str">
        <f t="shared" si="2"/>
        <v/>
      </c>
      <c r="F181" s="18"/>
    </row>
    <row r="182" spans="1:6" x14ac:dyDescent="0.3">
      <c r="A182" s="17"/>
      <c r="B182" s="18"/>
      <c r="C182" s="18"/>
      <c r="D182" s="19"/>
      <c r="E182" s="10" t="str">
        <f t="shared" si="2"/>
        <v/>
      </c>
      <c r="F182" s="18"/>
    </row>
    <row r="183" spans="1:6" x14ac:dyDescent="0.3">
      <c r="A183" s="17"/>
      <c r="B183" s="18"/>
      <c r="C183" s="18"/>
      <c r="D183" s="19"/>
      <c r="E183" s="10" t="str">
        <f t="shared" si="2"/>
        <v/>
      </c>
      <c r="F183" s="18"/>
    </row>
    <row r="184" spans="1:6" x14ac:dyDescent="0.3">
      <c r="A184" s="17"/>
      <c r="B184" s="18"/>
      <c r="C184" s="18"/>
      <c r="D184" s="19"/>
      <c r="E184" s="10" t="str">
        <f t="shared" si="2"/>
        <v/>
      </c>
      <c r="F184" s="18"/>
    </row>
    <row r="185" spans="1:6" x14ac:dyDescent="0.3">
      <c r="A185" s="17"/>
      <c r="B185" s="18"/>
      <c r="C185" s="18"/>
      <c r="D185" s="19"/>
      <c r="E185" s="10" t="str">
        <f t="shared" si="2"/>
        <v/>
      </c>
      <c r="F185" s="18"/>
    </row>
    <row r="186" spans="1:6" x14ac:dyDescent="0.3">
      <c r="A186" s="17"/>
      <c r="B186" s="18"/>
      <c r="C186" s="18"/>
      <c r="D186" s="19"/>
      <c r="E186" s="10" t="str">
        <f t="shared" si="2"/>
        <v/>
      </c>
      <c r="F186" s="18"/>
    </row>
    <row r="187" spans="1:6" x14ac:dyDescent="0.3">
      <c r="A187" s="17"/>
      <c r="B187" s="18"/>
      <c r="C187" s="18"/>
      <c r="D187" s="19"/>
      <c r="E187" s="10" t="str">
        <f t="shared" si="2"/>
        <v/>
      </c>
      <c r="F187" s="18"/>
    </row>
    <row r="188" spans="1:6" x14ac:dyDescent="0.3">
      <c r="A188" s="17"/>
      <c r="B188" s="18"/>
      <c r="C188" s="18"/>
      <c r="D188" s="19"/>
      <c r="E188" s="10" t="str">
        <f t="shared" si="2"/>
        <v/>
      </c>
      <c r="F188" s="18"/>
    </row>
    <row r="189" spans="1:6" x14ac:dyDescent="0.3">
      <c r="A189" s="17"/>
      <c r="B189" s="18"/>
      <c r="C189" s="18"/>
      <c r="D189" s="19"/>
      <c r="E189" s="10" t="str">
        <f t="shared" si="2"/>
        <v/>
      </c>
      <c r="F189" s="18"/>
    </row>
    <row r="190" spans="1:6" x14ac:dyDescent="0.3">
      <c r="A190" s="17"/>
      <c r="B190" s="18"/>
      <c r="C190" s="18"/>
      <c r="D190" s="19"/>
      <c r="E190" s="10" t="str">
        <f t="shared" si="2"/>
        <v/>
      </c>
      <c r="F190" s="18"/>
    </row>
    <row r="191" spans="1:6" x14ac:dyDescent="0.3">
      <c r="A191" s="17"/>
      <c r="B191" s="18"/>
      <c r="C191" s="18"/>
      <c r="D191" s="19"/>
      <c r="E191" s="10" t="str">
        <f t="shared" si="2"/>
        <v/>
      </c>
      <c r="F191" s="18"/>
    </row>
    <row r="192" spans="1:6" x14ac:dyDescent="0.3">
      <c r="A192" s="17"/>
      <c r="B192" s="18"/>
      <c r="C192" s="18"/>
      <c r="D192" s="19"/>
      <c r="E192" s="10" t="str">
        <f t="shared" si="2"/>
        <v/>
      </c>
      <c r="F192" s="18"/>
    </row>
    <row r="193" spans="1:6" x14ac:dyDescent="0.3">
      <c r="A193" s="17"/>
      <c r="B193" s="18"/>
      <c r="C193" s="18"/>
      <c r="D193" s="19"/>
      <c r="E193" s="10" t="str">
        <f t="shared" si="2"/>
        <v/>
      </c>
      <c r="F193" s="18"/>
    </row>
    <row r="194" spans="1:6" x14ac:dyDescent="0.3">
      <c r="A194" s="17"/>
      <c r="B194" s="18"/>
      <c r="C194" s="18"/>
      <c r="D194" s="19"/>
      <c r="E194" s="10" t="str">
        <f t="shared" si="2"/>
        <v/>
      </c>
      <c r="F194" s="18"/>
    </row>
    <row r="195" spans="1:6" x14ac:dyDescent="0.3">
      <c r="A195" s="17"/>
      <c r="B195" s="18"/>
      <c r="C195" s="18"/>
      <c r="D195" s="19"/>
      <c r="E195" s="10" t="str">
        <f t="shared" si="2"/>
        <v/>
      </c>
      <c r="F195" s="18"/>
    </row>
    <row r="196" spans="1:6" x14ac:dyDescent="0.3">
      <c r="A196" s="17"/>
      <c r="B196" s="18"/>
      <c r="C196" s="18"/>
      <c r="D196" s="19"/>
      <c r="E196" s="10" t="str">
        <f t="shared" si="2"/>
        <v/>
      </c>
      <c r="F196" s="18"/>
    </row>
    <row r="197" spans="1:6" x14ac:dyDescent="0.3">
      <c r="A197" s="17"/>
      <c r="B197" s="18"/>
      <c r="C197" s="18"/>
      <c r="D197" s="19"/>
      <c r="E197" s="10" t="str">
        <f t="shared" si="2"/>
        <v/>
      </c>
      <c r="F197" s="18"/>
    </row>
    <row r="198" spans="1:6" x14ac:dyDescent="0.3">
      <c r="A198" s="17"/>
      <c r="B198" s="18"/>
      <c r="C198" s="18"/>
      <c r="D198" s="19"/>
      <c r="E198" s="10" t="str">
        <f t="shared" ref="E198:E261" si="3">IF(OR(C198="",D198=""),"",C198*D198)</f>
        <v/>
      </c>
      <c r="F198" s="18"/>
    </row>
    <row r="199" spans="1:6" x14ac:dyDescent="0.3">
      <c r="A199" s="17"/>
      <c r="B199" s="18"/>
      <c r="C199" s="18"/>
      <c r="D199" s="19"/>
      <c r="E199" s="10" t="str">
        <f t="shared" si="3"/>
        <v/>
      </c>
      <c r="F199" s="18"/>
    </row>
    <row r="200" spans="1:6" x14ac:dyDescent="0.3">
      <c r="A200" s="17"/>
      <c r="B200" s="18"/>
      <c r="C200" s="18"/>
      <c r="D200" s="19"/>
      <c r="E200" s="10" t="str">
        <f t="shared" si="3"/>
        <v/>
      </c>
      <c r="F200" s="18"/>
    </row>
    <row r="201" spans="1:6" x14ac:dyDescent="0.3">
      <c r="A201" s="17"/>
      <c r="B201" s="18"/>
      <c r="C201" s="18"/>
      <c r="D201" s="19"/>
      <c r="E201" s="10" t="str">
        <f t="shared" si="3"/>
        <v/>
      </c>
      <c r="F201" s="18"/>
    </row>
    <row r="202" spans="1:6" x14ac:dyDescent="0.3">
      <c r="A202" s="17"/>
      <c r="B202" s="18"/>
      <c r="C202" s="18"/>
      <c r="D202" s="19"/>
      <c r="E202" s="10" t="str">
        <f t="shared" si="3"/>
        <v/>
      </c>
      <c r="F202" s="18"/>
    </row>
    <row r="203" spans="1:6" x14ac:dyDescent="0.3">
      <c r="A203" s="17"/>
      <c r="B203" s="18"/>
      <c r="C203" s="18"/>
      <c r="D203" s="19"/>
      <c r="E203" s="10" t="str">
        <f t="shared" si="3"/>
        <v/>
      </c>
      <c r="F203" s="18"/>
    </row>
    <row r="204" spans="1:6" x14ac:dyDescent="0.3">
      <c r="A204" s="17"/>
      <c r="B204" s="18"/>
      <c r="C204" s="18"/>
      <c r="D204" s="19"/>
      <c r="E204" s="10" t="str">
        <f t="shared" si="3"/>
        <v/>
      </c>
      <c r="F204" s="18"/>
    </row>
    <row r="205" spans="1:6" x14ac:dyDescent="0.3">
      <c r="A205" s="17"/>
      <c r="B205" s="18"/>
      <c r="C205" s="18"/>
      <c r="D205" s="19"/>
      <c r="E205" s="10" t="str">
        <f t="shared" si="3"/>
        <v/>
      </c>
      <c r="F205" s="18"/>
    </row>
    <row r="206" spans="1:6" x14ac:dyDescent="0.3">
      <c r="A206" s="17"/>
      <c r="B206" s="18"/>
      <c r="C206" s="18"/>
      <c r="D206" s="19"/>
      <c r="E206" s="10" t="str">
        <f t="shared" si="3"/>
        <v/>
      </c>
      <c r="F206" s="18"/>
    </row>
    <row r="207" spans="1:6" x14ac:dyDescent="0.3">
      <c r="A207" s="17"/>
      <c r="B207" s="18"/>
      <c r="C207" s="18"/>
      <c r="D207" s="19"/>
      <c r="E207" s="10" t="str">
        <f t="shared" si="3"/>
        <v/>
      </c>
      <c r="F207" s="18"/>
    </row>
    <row r="208" spans="1:6" x14ac:dyDescent="0.3">
      <c r="A208" s="17"/>
      <c r="B208" s="18"/>
      <c r="C208" s="18"/>
      <c r="D208" s="19"/>
      <c r="E208" s="10" t="str">
        <f t="shared" si="3"/>
        <v/>
      </c>
      <c r="F208" s="18"/>
    </row>
    <row r="209" spans="1:6" x14ac:dyDescent="0.3">
      <c r="A209" s="17"/>
      <c r="B209" s="18"/>
      <c r="C209" s="18"/>
      <c r="D209" s="19"/>
      <c r="E209" s="10" t="str">
        <f t="shared" si="3"/>
        <v/>
      </c>
      <c r="F209" s="18"/>
    </row>
    <row r="210" spans="1:6" x14ac:dyDescent="0.3">
      <c r="A210" s="17"/>
      <c r="B210" s="18"/>
      <c r="C210" s="18"/>
      <c r="D210" s="19"/>
      <c r="E210" s="10" t="str">
        <f t="shared" si="3"/>
        <v/>
      </c>
      <c r="F210" s="18"/>
    </row>
    <row r="211" spans="1:6" x14ac:dyDescent="0.3">
      <c r="A211" s="17"/>
      <c r="B211" s="18"/>
      <c r="C211" s="18"/>
      <c r="D211" s="19"/>
      <c r="E211" s="10" t="str">
        <f t="shared" si="3"/>
        <v/>
      </c>
      <c r="F211" s="18"/>
    </row>
    <row r="212" spans="1:6" x14ac:dyDescent="0.3">
      <c r="A212" s="17"/>
      <c r="B212" s="18"/>
      <c r="C212" s="18"/>
      <c r="D212" s="19"/>
      <c r="E212" s="10" t="str">
        <f t="shared" si="3"/>
        <v/>
      </c>
      <c r="F212" s="18"/>
    </row>
    <row r="213" spans="1:6" x14ac:dyDescent="0.3">
      <c r="A213" s="17"/>
      <c r="B213" s="18"/>
      <c r="C213" s="18"/>
      <c r="D213" s="19"/>
      <c r="E213" s="10" t="str">
        <f t="shared" si="3"/>
        <v/>
      </c>
      <c r="F213" s="18"/>
    </row>
    <row r="214" spans="1:6" x14ac:dyDescent="0.3">
      <c r="A214" s="17"/>
      <c r="B214" s="18"/>
      <c r="C214" s="18"/>
      <c r="D214" s="19"/>
      <c r="E214" s="10" t="str">
        <f t="shared" si="3"/>
        <v/>
      </c>
      <c r="F214" s="18"/>
    </row>
    <row r="215" spans="1:6" x14ac:dyDescent="0.3">
      <c r="A215" s="17"/>
      <c r="B215" s="18"/>
      <c r="C215" s="18"/>
      <c r="D215" s="19"/>
      <c r="E215" s="10" t="str">
        <f t="shared" si="3"/>
        <v/>
      </c>
      <c r="F215" s="18"/>
    </row>
    <row r="216" spans="1:6" x14ac:dyDescent="0.3">
      <c r="A216" s="17"/>
      <c r="B216" s="18"/>
      <c r="C216" s="18"/>
      <c r="D216" s="19"/>
      <c r="E216" s="10" t="str">
        <f t="shared" si="3"/>
        <v/>
      </c>
      <c r="F216" s="18"/>
    </row>
    <row r="217" spans="1:6" x14ac:dyDescent="0.3">
      <c r="A217" s="17"/>
      <c r="B217" s="18"/>
      <c r="C217" s="18"/>
      <c r="D217" s="19"/>
      <c r="E217" s="10" t="str">
        <f t="shared" si="3"/>
        <v/>
      </c>
      <c r="F217" s="18"/>
    </row>
    <row r="218" spans="1:6" x14ac:dyDescent="0.3">
      <c r="A218" s="17"/>
      <c r="B218" s="18"/>
      <c r="C218" s="18"/>
      <c r="D218" s="19"/>
      <c r="E218" s="10" t="str">
        <f t="shared" si="3"/>
        <v/>
      </c>
      <c r="F218" s="18"/>
    </row>
    <row r="219" spans="1:6" x14ac:dyDescent="0.3">
      <c r="A219" s="17"/>
      <c r="B219" s="18"/>
      <c r="C219" s="18"/>
      <c r="D219" s="19"/>
      <c r="E219" s="10" t="str">
        <f t="shared" si="3"/>
        <v/>
      </c>
      <c r="F219" s="18"/>
    </row>
    <row r="220" spans="1:6" x14ac:dyDescent="0.3">
      <c r="A220" s="17"/>
      <c r="B220" s="18"/>
      <c r="C220" s="18"/>
      <c r="D220" s="19"/>
      <c r="E220" s="10" t="str">
        <f t="shared" si="3"/>
        <v/>
      </c>
      <c r="F220" s="18"/>
    </row>
    <row r="221" spans="1:6" x14ac:dyDescent="0.3">
      <c r="A221" s="17"/>
      <c r="B221" s="18"/>
      <c r="C221" s="18"/>
      <c r="D221" s="19"/>
      <c r="E221" s="10" t="str">
        <f t="shared" si="3"/>
        <v/>
      </c>
      <c r="F221" s="18"/>
    </row>
    <row r="222" spans="1:6" x14ac:dyDescent="0.3">
      <c r="A222" s="17"/>
      <c r="B222" s="18"/>
      <c r="C222" s="18"/>
      <c r="D222" s="19"/>
      <c r="E222" s="10" t="str">
        <f t="shared" si="3"/>
        <v/>
      </c>
      <c r="F222" s="18"/>
    </row>
    <row r="223" spans="1:6" x14ac:dyDescent="0.3">
      <c r="A223" s="17"/>
      <c r="B223" s="18"/>
      <c r="C223" s="18"/>
      <c r="D223" s="19"/>
      <c r="E223" s="10" t="str">
        <f t="shared" si="3"/>
        <v/>
      </c>
      <c r="F223" s="18"/>
    </row>
    <row r="224" spans="1:6" x14ac:dyDescent="0.3">
      <c r="A224" s="17"/>
      <c r="B224" s="18"/>
      <c r="C224" s="18"/>
      <c r="D224" s="19"/>
      <c r="E224" s="10" t="str">
        <f t="shared" si="3"/>
        <v/>
      </c>
      <c r="F224" s="18"/>
    </row>
    <row r="225" spans="1:6" x14ac:dyDescent="0.3">
      <c r="A225" s="17"/>
      <c r="B225" s="18"/>
      <c r="C225" s="18"/>
      <c r="D225" s="19"/>
      <c r="E225" s="10" t="str">
        <f t="shared" si="3"/>
        <v/>
      </c>
      <c r="F225" s="18"/>
    </row>
    <row r="226" spans="1:6" x14ac:dyDescent="0.3">
      <c r="A226" s="17"/>
      <c r="B226" s="18"/>
      <c r="C226" s="18"/>
      <c r="D226" s="19"/>
      <c r="E226" s="10" t="str">
        <f t="shared" si="3"/>
        <v/>
      </c>
      <c r="F226" s="18"/>
    </row>
    <row r="227" spans="1:6" x14ac:dyDescent="0.3">
      <c r="A227" s="17"/>
      <c r="B227" s="18"/>
      <c r="C227" s="18"/>
      <c r="D227" s="19"/>
      <c r="E227" s="10" t="str">
        <f t="shared" si="3"/>
        <v/>
      </c>
      <c r="F227" s="18"/>
    </row>
    <row r="228" spans="1:6" x14ac:dyDescent="0.3">
      <c r="A228" s="17"/>
      <c r="B228" s="18"/>
      <c r="C228" s="18"/>
      <c r="D228" s="19"/>
      <c r="E228" s="10" t="str">
        <f t="shared" si="3"/>
        <v/>
      </c>
      <c r="F228" s="18"/>
    </row>
    <row r="229" spans="1:6" x14ac:dyDescent="0.3">
      <c r="A229" s="17"/>
      <c r="B229" s="18"/>
      <c r="C229" s="18"/>
      <c r="D229" s="19"/>
      <c r="E229" s="10" t="str">
        <f t="shared" si="3"/>
        <v/>
      </c>
      <c r="F229" s="18"/>
    </row>
    <row r="230" spans="1:6" x14ac:dyDescent="0.3">
      <c r="A230" s="17"/>
      <c r="B230" s="18"/>
      <c r="C230" s="18"/>
      <c r="D230" s="19"/>
      <c r="E230" s="10" t="str">
        <f t="shared" si="3"/>
        <v/>
      </c>
      <c r="F230" s="18"/>
    </row>
    <row r="231" spans="1:6" x14ac:dyDescent="0.3">
      <c r="A231" s="17"/>
      <c r="B231" s="18"/>
      <c r="C231" s="18"/>
      <c r="D231" s="19"/>
      <c r="E231" s="10" t="str">
        <f t="shared" si="3"/>
        <v/>
      </c>
      <c r="F231" s="18"/>
    </row>
    <row r="232" spans="1:6" x14ac:dyDescent="0.3">
      <c r="A232" s="17"/>
      <c r="B232" s="18"/>
      <c r="C232" s="18"/>
      <c r="D232" s="19"/>
      <c r="E232" s="10" t="str">
        <f t="shared" si="3"/>
        <v/>
      </c>
      <c r="F232" s="18"/>
    </row>
    <row r="233" spans="1:6" x14ac:dyDescent="0.3">
      <c r="A233" s="17"/>
      <c r="B233" s="18"/>
      <c r="C233" s="18"/>
      <c r="D233" s="19"/>
      <c r="E233" s="10" t="str">
        <f t="shared" si="3"/>
        <v/>
      </c>
      <c r="F233" s="18"/>
    </row>
    <row r="234" spans="1:6" x14ac:dyDescent="0.3">
      <c r="A234" s="17"/>
      <c r="B234" s="18"/>
      <c r="C234" s="18"/>
      <c r="D234" s="19"/>
      <c r="E234" s="10" t="str">
        <f t="shared" si="3"/>
        <v/>
      </c>
      <c r="F234" s="18"/>
    </row>
    <row r="235" spans="1:6" x14ac:dyDescent="0.3">
      <c r="A235" s="17"/>
      <c r="B235" s="18"/>
      <c r="C235" s="18"/>
      <c r="D235" s="19"/>
      <c r="E235" s="10" t="str">
        <f t="shared" si="3"/>
        <v/>
      </c>
      <c r="F235" s="18"/>
    </row>
    <row r="236" spans="1:6" x14ac:dyDescent="0.3">
      <c r="A236" s="17"/>
      <c r="B236" s="18"/>
      <c r="C236" s="18"/>
      <c r="D236" s="19"/>
      <c r="E236" s="10" t="str">
        <f t="shared" si="3"/>
        <v/>
      </c>
      <c r="F236" s="18"/>
    </row>
    <row r="237" spans="1:6" x14ac:dyDescent="0.3">
      <c r="A237" s="17"/>
      <c r="B237" s="18"/>
      <c r="C237" s="18"/>
      <c r="D237" s="19"/>
      <c r="E237" s="10" t="str">
        <f t="shared" si="3"/>
        <v/>
      </c>
      <c r="F237" s="18"/>
    </row>
    <row r="238" spans="1:6" x14ac:dyDescent="0.3">
      <c r="A238" s="17"/>
      <c r="B238" s="18"/>
      <c r="C238" s="18"/>
      <c r="D238" s="19"/>
      <c r="E238" s="10" t="str">
        <f t="shared" si="3"/>
        <v/>
      </c>
      <c r="F238" s="18"/>
    </row>
    <row r="239" spans="1:6" x14ac:dyDescent="0.3">
      <c r="A239" s="17"/>
      <c r="B239" s="18"/>
      <c r="C239" s="18"/>
      <c r="D239" s="19"/>
      <c r="E239" s="10" t="str">
        <f t="shared" si="3"/>
        <v/>
      </c>
      <c r="F239" s="18"/>
    </row>
    <row r="240" spans="1:6" x14ac:dyDescent="0.3">
      <c r="A240" s="17"/>
      <c r="B240" s="18"/>
      <c r="C240" s="18"/>
      <c r="D240" s="19"/>
      <c r="E240" s="10" t="str">
        <f t="shared" si="3"/>
        <v/>
      </c>
      <c r="F240" s="18"/>
    </row>
    <row r="241" spans="1:6" x14ac:dyDescent="0.3">
      <c r="A241" s="17"/>
      <c r="B241" s="18"/>
      <c r="C241" s="18"/>
      <c r="D241" s="19"/>
      <c r="E241" s="10" t="str">
        <f t="shared" si="3"/>
        <v/>
      </c>
      <c r="F241" s="18"/>
    </row>
    <row r="242" spans="1:6" x14ac:dyDescent="0.3">
      <c r="A242" s="17"/>
      <c r="B242" s="18"/>
      <c r="C242" s="18"/>
      <c r="D242" s="19"/>
      <c r="E242" s="10" t="str">
        <f t="shared" si="3"/>
        <v/>
      </c>
      <c r="F242" s="18"/>
    </row>
    <row r="243" spans="1:6" x14ac:dyDescent="0.3">
      <c r="A243" s="17"/>
      <c r="B243" s="18"/>
      <c r="C243" s="18"/>
      <c r="D243" s="19"/>
      <c r="E243" s="10" t="str">
        <f t="shared" si="3"/>
        <v/>
      </c>
      <c r="F243" s="18"/>
    </row>
    <row r="244" spans="1:6" x14ac:dyDescent="0.3">
      <c r="A244" s="17"/>
      <c r="B244" s="18"/>
      <c r="C244" s="18"/>
      <c r="D244" s="19"/>
      <c r="E244" s="10" t="str">
        <f t="shared" si="3"/>
        <v/>
      </c>
      <c r="F244" s="18"/>
    </row>
    <row r="245" spans="1:6" x14ac:dyDescent="0.3">
      <c r="A245" s="17"/>
      <c r="B245" s="18"/>
      <c r="C245" s="18"/>
      <c r="D245" s="19"/>
      <c r="E245" s="10" t="str">
        <f t="shared" si="3"/>
        <v/>
      </c>
      <c r="F245" s="18"/>
    </row>
    <row r="246" spans="1:6" x14ac:dyDescent="0.3">
      <c r="A246" s="17"/>
      <c r="B246" s="18"/>
      <c r="C246" s="18"/>
      <c r="D246" s="19"/>
      <c r="E246" s="10" t="str">
        <f t="shared" si="3"/>
        <v/>
      </c>
      <c r="F246" s="18"/>
    </row>
    <row r="247" spans="1:6" x14ac:dyDescent="0.3">
      <c r="A247" s="17"/>
      <c r="B247" s="18"/>
      <c r="C247" s="18"/>
      <c r="D247" s="19"/>
      <c r="E247" s="10" t="str">
        <f t="shared" si="3"/>
        <v/>
      </c>
      <c r="F247" s="18"/>
    </row>
    <row r="248" spans="1:6" x14ac:dyDescent="0.3">
      <c r="A248" s="17"/>
      <c r="B248" s="18"/>
      <c r="C248" s="18"/>
      <c r="D248" s="19"/>
      <c r="E248" s="10" t="str">
        <f t="shared" si="3"/>
        <v/>
      </c>
      <c r="F248" s="18"/>
    </row>
    <row r="249" spans="1:6" x14ac:dyDescent="0.3">
      <c r="A249" s="17"/>
      <c r="B249" s="18"/>
      <c r="C249" s="18"/>
      <c r="D249" s="19"/>
      <c r="E249" s="10" t="str">
        <f t="shared" si="3"/>
        <v/>
      </c>
      <c r="F249" s="18"/>
    </row>
    <row r="250" spans="1:6" x14ac:dyDescent="0.3">
      <c r="A250" s="17"/>
      <c r="B250" s="18"/>
      <c r="C250" s="18"/>
      <c r="D250" s="19"/>
      <c r="E250" s="10" t="str">
        <f t="shared" si="3"/>
        <v/>
      </c>
      <c r="F250" s="18"/>
    </row>
    <row r="251" spans="1:6" x14ac:dyDescent="0.3">
      <c r="A251" s="17"/>
      <c r="B251" s="18"/>
      <c r="C251" s="18"/>
      <c r="D251" s="19"/>
      <c r="E251" s="10" t="str">
        <f t="shared" si="3"/>
        <v/>
      </c>
      <c r="F251" s="18"/>
    </row>
    <row r="252" spans="1:6" x14ac:dyDescent="0.3">
      <c r="A252" s="17"/>
      <c r="B252" s="18"/>
      <c r="C252" s="18"/>
      <c r="D252" s="19"/>
      <c r="E252" s="10" t="str">
        <f t="shared" si="3"/>
        <v/>
      </c>
      <c r="F252" s="18"/>
    </row>
    <row r="253" spans="1:6" x14ac:dyDescent="0.3">
      <c r="A253" s="17"/>
      <c r="B253" s="18"/>
      <c r="C253" s="18"/>
      <c r="D253" s="19"/>
      <c r="E253" s="10" t="str">
        <f t="shared" si="3"/>
        <v/>
      </c>
      <c r="F253" s="18"/>
    </row>
    <row r="254" spans="1:6" x14ac:dyDescent="0.3">
      <c r="A254" s="17"/>
      <c r="B254" s="18"/>
      <c r="C254" s="18"/>
      <c r="D254" s="19"/>
      <c r="E254" s="10" t="str">
        <f t="shared" si="3"/>
        <v/>
      </c>
      <c r="F254" s="18"/>
    </row>
    <row r="255" spans="1:6" x14ac:dyDescent="0.3">
      <c r="A255" s="17"/>
      <c r="B255" s="18"/>
      <c r="C255" s="18"/>
      <c r="D255" s="19"/>
      <c r="E255" s="10" t="str">
        <f t="shared" si="3"/>
        <v/>
      </c>
      <c r="F255" s="18"/>
    </row>
    <row r="256" spans="1:6" x14ac:dyDescent="0.3">
      <c r="A256" s="17"/>
      <c r="B256" s="18"/>
      <c r="C256" s="18"/>
      <c r="D256" s="19"/>
      <c r="E256" s="10" t="str">
        <f t="shared" si="3"/>
        <v/>
      </c>
      <c r="F256" s="18"/>
    </row>
    <row r="257" spans="1:6" x14ac:dyDescent="0.3">
      <c r="A257" s="17"/>
      <c r="B257" s="18"/>
      <c r="C257" s="18"/>
      <c r="D257" s="19"/>
      <c r="E257" s="10" t="str">
        <f t="shared" si="3"/>
        <v/>
      </c>
      <c r="F257" s="18"/>
    </row>
    <row r="258" spans="1:6" x14ac:dyDescent="0.3">
      <c r="A258" s="17"/>
      <c r="B258" s="18"/>
      <c r="C258" s="18"/>
      <c r="D258" s="19"/>
      <c r="E258" s="10" t="str">
        <f t="shared" si="3"/>
        <v/>
      </c>
      <c r="F258" s="18"/>
    </row>
    <row r="259" spans="1:6" x14ac:dyDescent="0.3">
      <c r="A259" s="17"/>
      <c r="B259" s="18"/>
      <c r="C259" s="18"/>
      <c r="D259" s="19"/>
      <c r="E259" s="10" t="str">
        <f t="shared" si="3"/>
        <v/>
      </c>
      <c r="F259" s="18"/>
    </row>
    <row r="260" spans="1:6" x14ac:dyDescent="0.3">
      <c r="A260" s="17"/>
      <c r="B260" s="18"/>
      <c r="C260" s="18"/>
      <c r="D260" s="19"/>
      <c r="E260" s="10" t="str">
        <f t="shared" si="3"/>
        <v/>
      </c>
      <c r="F260" s="18"/>
    </row>
    <row r="261" spans="1:6" x14ac:dyDescent="0.3">
      <c r="A261" s="17"/>
      <c r="B261" s="18"/>
      <c r="C261" s="18"/>
      <c r="D261" s="19"/>
      <c r="E261" s="10" t="str">
        <f t="shared" si="3"/>
        <v/>
      </c>
      <c r="F261" s="18"/>
    </row>
    <row r="262" spans="1:6" x14ac:dyDescent="0.3">
      <c r="A262" s="17"/>
      <c r="B262" s="18"/>
      <c r="C262" s="18"/>
      <c r="D262" s="19"/>
      <c r="E262" s="10" t="str">
        <f t="shared" ref="E262:E325" si="4">IF(OR(C262="",D262=""),"",C262*D262)</f>
        <v/>
      </c>
      <c r="F262" s="18"/>
    </row>
    <row r="263" spans="1:6" x14ac:dyDescent="0.3">
      <c r="A263" s="17"/>
      <c r="B263" s="18"/>
      <c r="C263" s="18"/>
      <c r="D263" s="19"/>
      <c r="E263" s="10" t="str">
        <f t="shared" si="4"/>
        <v/>
      </c>
      <c r="F263" s="18"/>
    </row>
    <row r="264" spans="1:6" x14ac:dyDescent="0.3">
      <c r="A264" s="17"/>
      <c r="B264" s="18"/>
      <c r="C264" s="18"/>
      <c r="D264" s="19"/>
      <c r="E264" s="10" t="str">
        <f t="shared" si="4"/>
        <v/>
      </c>
      <c r="F264" s="18"/>
    </row>
    <row r="265" spans="1:6" x14ac:dyDescent="0.3">
      <c r="A265" s="17"/>
      <c r="B265" s="18"/>
      <c r="C265" s="18"/>
      <c r="D265" s="19"/>
      <c r="E265" s="10" t="str">
        <f t="shared" si="4"/>
        <v/>
      </c>
      <c r="F265" s="18"/>
    </row>
    <row r="266" spans="1:6" x14ac:dyDescent="0.3">
      <c r="A266" s="17"/>
      <c r="B266" s="18"/>
      <c r="C266" s="18"/>
      <c r="D266" s="19"/>
      <c r="E266" s="10" t="str">
        <f t="shared" si="4"/>
        <v/>
      </c>
      <c r="F266" s="18"/>
    </row>
    <row r="267" spans="1:6" x14ac:dyDescent="0.3">
      <c r="A267" s="17"/>
      <c r="B267" s="18"/>
      <c r="C267" s="18"/>
      <c r="D267" s="19"/>
      <c r="E267" s="10" t="str">
        <f t="shared" si="4"/>
        <v/>
      </c>
      <c r="F267" s="18"/>
    </row>
    <row r="268" spans="1:6" x14ac:dyDescent="0.3">
      <c r="A268" s="17"/>
      <c r="B268" s="18"/>
      <c r="C268" s="18"/>
      <c r="D268" s="19"/>
      <c r="E268" s="10" t="str">
        <f t="shared" si="4"/>
        <v/>
      </c>
      <c r="F268" s="18"/>
    </row>
    <row r="269" spans="1:6" x14ac:dyDescent="0.3">
      <c r="A269" s="17"/>
      <c r="B269" s="18"/>
      <c r="C269" s="18"/>
      <c r="D269" s="19"/>
      <c r="E269" s="10" t="str">
        <f t="shared" si="4"/>
        <v/>
      </c>
      <c r="F269" s="18"/>
    </row>
    <row r="270" spans="1:6" x14ac:dyDescent="0.3">
      <c r="A270" s="17"/>
      <c r="B270" s="18"/>
      <c r="C270" s="18"/>
      <c r="D270" s="19"/>
      <c r="E270" s="10" t="str">
        <f t="shared" si="4"/>
        <v/>
      </c>
      <c r="F270" s="18"/>
    </row>
    <row r="271" spans="1:6" x14ac:dyDescent="0.3">
      <c r="A271" s="17"/>
      <c r="B271" s="18"/>
      <c r="C271" s="18"/>
      <c r="D271" s="19"/>
      <c r="E271" s="10" t="str">
        <f t="shared" si="4"/>
        <v/>
      </c>
      <c r="F271" s="18"/>
    </row>
    <row r="272" spans="1:6" x14ac:dyDescent="0.3">
      <c r="A272" s="17"/>
      <c r="B272" s="18"/>
      <c r="C272" s="18"/>
      <c r="D272" s="19"/>
      <c r="E272" s="10" t="str">
        <f t="shared" si="4"/>
        <v/>
      </c>
      <c r="F272" s="18"/>
    </row>
    <row r="273" spans="1:6" x14ac:dyDescent="0.3">
      <c r="A273" s="17"/>
      <c r="B273" s="18"/>
      <c r="C273" s="18"/>
      <c r="D273" s="19"/>
      <c r="E273" s="10" t="str">
        <f t="shared" si="4"/>
        <v/>
      </c>
      <c r="F273" s="18"/>
    </row>
    <row r="274" spans="1:6" x14ac:dyDescent="0.3">
      <c r="A274" s="17"/>
      <c r="B274" s="18"/>
      <c r="C274" s="18"/>
      <c r="D274" s="19"/>
      <c r="E274" s="10" t="str">
        <f t="shared" si="4"/>
        <v/>
      </c>
      <c r="F274" s="18"/>
    </row>
    <row r="275" spans="1:6" x14ac:dyDescent="0.3">
      <c r="A275" s="17"/>
      <c r="B275" s="18"/>
      <c r="C275" s="18"/>
      <c r="D275" s="19"/>
      <c r="E275" s="10" t="str">
        <f t="shared" si="4"/>
        <v/>
      </c>
      <c r="F275" s="18"/>
    </row>
    <row r="276" spans="1:6" x14ac:dyDescent="0.3">
      <c r="A276" s="17"/>
      <c r="B276" s="18"/>
      <c r="C276" s="18"/>
      <c r="D276" s="19"/>
      <c r="E276" s="10" t="str">
        <f t="shared" si="4"/>
        <v/>
      </c>
      <c r="F276" s="18"/>
    </row>
    <row r="277" spans="1:6" x14ac:dyDescent="0.3">
      <c r="A277" s="17"/>
      <c r="B277" s="18"/>
      <c r="C277" s="18"/>
      <c r="D277" s="19"/>
      <c r="E277" s="10" t="str">
        <f t="shared" si="4"/>
        <v/>
      </c>
      <c r="F277" s="18"/>
    </row>
    <row r="278" spans="1:6" x14ac:dyDescent="0.3">
      <c r="A278" s="17"/>
      <c r="B278" s="18"/>
      <c r="C278" s="18"/>
      <c r="D278" s="19"/>
      <c r="E278" s="10" t="str">
        <f t="shared" si="4"/>
        <v/>
      </c>
      <c r="F278" s="18"/>
    </row>
    <row r="279" spans="1:6" x14ac:dyDescent="0.3">
      <c r="A279" s="17"/>
      <c r="B279" s="18"/>
      <c r="C279" s="18"/>
      <c r="D279" s="19"/>
      <c r="E279" s="10" t="str">
        <f t="shared" si="4"/>
        <v/>
      </c>
      <c r="F279" s="18"/>
    </row>
    <row r="280" spans="1:6" x14ac:dyDescent="0.3">
      <c r="A280" s="17"/>
      <c r="B280" s="18"/>
      <c r="C280" s="18"/>
      <c r="D280" s="19"/>
      <c r="E280" s="10" t="str">
        <f t="shared" si="4"/>
        <v/>
      </c>
      <c r="F280" s="18"/>
    </row>
    <row r="281" spans="1:6" x14ac:dyDescent="0.3">
      <c r="A281" s="17"/>
      <c r="B281" s="18"/>
      <c r="C281" s="18"/>
      <c r="D281" s="19"/>
      <c r="E281" s="10" t="str">
        <f t="shared" si="4"/>
        <v/>
      </c>
      <c r="F281" s="18"/>
    </row>
    <row r="282" spans="1:6" x14ac:dyDescent="0.3">
      <c r="A282" s="17"/>
      <c r="B282" s="18"/>
      <c r="C282" s="18"/>
      <c r="D282" s="19"/>
      <c r="E282" s="10" t="str">
        <f t="shared" si="4"/>
        <v/>
      </c>
      <c r="F282" s="18"/>
    </row>
    <row r="283" spans="1:6" x14ac:dyDescent="0.3">
      <c r="A283" s="17"/>
      <c r="B283" s="18"/>
      <c r="C283" s="18"/>
      <c r="D283" s="19"/>
      <c r="E283" s="10" t="str">
        <f t="shared" si="4"/>
        <v/>
      </c>
      <c r="F283" s="18"/>
    </row>
    <row r="284" spans="1:6" x14ac:dyDescent="0.3">
      <c r="A284" s="17"/>
      <c r="B284" s="18"/>
      <c r="C284" s="18"/>
      <c r="D284" s="19"/>
      <c r="E284" s="10" t="str">
        <f t="shared" si="4"/>
        <v/>
      </c>
      <c r="F284" s="18"/>
    </row>
    <row r="285" spans="1:6" x14ac:dyDescent="0.3">
      <c r="A285" s="17"/>
      <c r="B285" s="18"/>
      <c r="C285" s="18"/>
      <c r="D285" s="19"/>
      <c r="E285" s="10" t="str">
        <f t="shared" si="4"/>
        <v/>
      </c>
      <c r="F285" s="18"/>
    </row>
    <row r="286" spans="1:6" x14ac:dyDescent="0.3">
      <c r="A286" s="17"/>
      <c r="B286" s="18"/>
      <c r="C286" s="18"/>
      <c r="D286" s="19"/>
      <c r="E286" s="10" t="str">
        <f t="shared" si="4"/>
        <v/>
      </c>
      <c r="F286" s="18"/>
    </row>
    <row r="287" spans="1:6" x14ac:dyDescent="0.3">
      <c r="A287" s="17"/>
      <c r="B287" s="18"/>
      <c r="C287" s="18"/>
      <c r="D287" s="19"/>
      <c r="E287" s="10" t="str">
        <f t="shared" si="4"/>
        <v/>
      </c>
      <c r="F287" s="18"/>
    </row>
    <row r="288" spans="1:6" x14ac:dyDescent="0.3">
      <c r="A288" s="17"/>
      <c r="B288" s="18"/>
      <c r="C288" s="18"/>
      <c r="D288" s="19"/>
      <c r="E288" s="10" t="str">
        <f t="shared" si="4"/>
        <v/>
      </c>
      <c r="F288" s="18"/>
    </row>
    <row r="289" spans="1:6" x14ac:dyDescent="0.3">
      <c r="A289" s="17"/>
      <c r="B289" s="18"/>
      <c r="C289" s="18"/>
      <c r="D289" s="19"/>
      <c r="E289" s="10" t="str">
        <f t="shared" si="4"/>
        <v/>
      </c>
      <c r="F289" s="18"/>
    </row>
    <row r="290" spans="1:6" x14ac:dyDescent="0.3">
      <c r="A290" s="17"/>
      <c r="B290" s="18"/>
      <c r="C290" s="18"/>
      <c r="D290" s="19"/>
      <c r="E290" s="10" t="str">
        <f t="shared" si="4"/>
        <v/>
      </c>
      <c r="F290" s="18"/>
    </row>
    <row r="291" spans="1:6" x14ac:dyDescent="0.3">
      <c r="A291" s="17"/>
      <c r="B291" s="18"/>
      <c r="C291" s="18"/>
      <c r="D291" s="19"/>
      <c r="E291" s="10" t="str">
        <f t="shared" si="4"/>
        <v/>
      </c>
      <c r="F291" s="18"/>
    </row>
    <row r="292" spans="1:6" x14ac:dyDescent="0.3">
      <c r="A292" s="17"/>
      <c r="B292" s="18"/>
      <c r="C292" s="18"/>
      <c r="D292" s="19"/>
      <c r="E292" s="10" t="str">
        <f t="shared" si="4"/>
        <v/>
      </c>
      <c r="F292" s="18"/>
    </row>
    <row r="293" spans="1:6" x14ac:dyDescent="0.3">
      <c r="A293" s="17"/>
      <c r="B293" s="18"/>
      <c r="C293" s="18"/>
      <c r="D293" s="19"/>
      <c r="E293" s="10" t="str">
        <f t="shared" si="4"/>
        <v/>
      </c>
      <c r="F293" s="18"/>
    </row>
    <row r="294" spans="1:6" x14ac:dyDescent="0.3">
      <c r="A294" s="17"/>
      <c r="B294" s="18"/>
      <c r="C294" s="18"/>
      <c r="D294" s="19"/>
      <c r="E294" s="10" t="str">
        <f t="shared" si="4"/>
        <v/>
      </c>
      <c r="F294" s="18"/>
    </row>
    <row r="295" spans="1:6" x14ac:dyDescent="0.3">
      <c r="A295" s="17"/>
      <c r="B295" s="18"/>
      <c r="C295" s="18"/>
      <c r="D295" s="19"/>
      <c r="E295" s="10" t="str">
        <f t="shared" si="4"/>
        <v/>
      </c>
      <c r="F295" s="18"/>
    </row>
    <row r="296" spans="1:6" x14ac:dyDescent="0.3">
      <c r="A296" s="17"/>
      <c r="B296" s="18"/>
      <c r="C296" s="18"/>
      <c r="D296" s="19"/>
      <c r="E296" s="10" t="str">
        <f t="shared" si="4"/>
        <v/>
      </c>
      <c r="F296" s="18"/>
    </row>
    <row r="297" spans="1:6" x14ac:dyDescent="0.3">
      <c r="A297" s="17"/>
      <c r="B297" s="18"/>
      <c r="C297" s="18"/>
      <c r="D297" s="19"/>
      <c r="E297" s="10" t="str">
        <f t="shared" si="4"/>
        <v/>
      </c>
      <c r="F297" s="18"/>
    </row>
    <row r="298" spans="1:6" x14ac:dyDescent="0.3">
      <c r="A298" s="17"/>
      <c r="B298" s="18"/>
      <c r="C298" s="18"/>
      <c r="D298" s="19"/>
      <c r="E298" s="10" t="str">
        <f t="shared" si="4"/>
        <v/>
      </c>
      <c r="F298" s="18"/>
    </row>
    <row r="299" spans="1:6" x14ac:dyDescent="0.3">
      <c r="A299" s="17"/>
      <c r="B299" s="18"/>
      <c r="C299" s="18"/>
      <c r="D299" s="19"/>
      <c r="E299" s="10" t="str">
        <f t="shared" si="4"/>
        <v/>
      </c>
      <c r="F299" s="18"/>
    </row>
    <row r="300" spans="1:6" x14ac:dyDescent="0.3">
      <c r="A300" s="17"/>
      <c r="B300" s="18"/>
      <c r="C300" s="18"/>
      <c r="D300" s="19"/>
      <c r="E300" s="10" t="str">
        <f t="shared" si="4"/>
        <v/>
      </c>
      <c r="F300" s="18"/>
    </row>
    <row r="301" spans="1:6" x14ac:dyDescent="0.3">
      <c r="A301" s="17"/>
      <c r="B301" s="18"/>
      <c r="C301" s="18"/>
      <c r="D301" s="19"/>
      <c r="E301" s="10" t="str">
        <f t="shared" si="4"/>
        <v/>
      </c>
      <c r="F301" s="18"/>
    </row>
    <row r="302" spans="1:6" x14ac:dyDescent="0.3">
      <c r="A302" s="17"/>
      <c r="B302" s="18"/>
      <c r="C302" s="18"/>
      <c r="D302" s="19"/>
      <c r="E302" s="10" t="str">
        <f t="shared" si="4"/>
        <v/>
      </c>
      <c r="F302" s="18"/>
    </row>
    <row r="303" spans="1:6" x14ac:dyDescent="0.3">
      <c r="A303" s="17"/>
      <c r="B303" s="18"/>
      <c r="C303" s="18"/>
      <c r="D303" s="19"/>
      <c r="E303" s="10" t="str">
        <f t="shared" si="4"/>
        <v/>
      </c>
      <c r="F303" s="18"/>
    </row>
    <row r="304" spans="1:6" x14ac:dyDescent="0.3">
      <c r="A304" s="17"/>
      <c r="B304" s="18"/>
      <c r="C304" s="18"/>
      <c r="D304" s="19"/>
      <c r="E304" s="10" t="str">
        <f t="shared" si="4"/>
        <v/>
      </c>
      <c r="F304" s="18"/>
    </row>
    <row r="305" spans="1:6" x14ac:dyDescent="0.3">
      <c r="A305" s="17"/>
      <c r="B305" s="18"/>
      <c r="C305" s="18"/>
      <c r="D305" s="19"/>
      <c r="E305" s="10" t="str">
        <f t="shared" si="4"/>
        <v/>
      </c>
      <c r="F305" s="18"/>
    </row>
    <row r="306" spans="1:6" x14ac:dyDescent="0.3">
      <c r="A306" s="17"/>
      <c r="B306" s="18"/>
      <c r="C306" s="18"/>
      <c r="D306" s="19"/>
      <c r="E306" s="10" t="str">
        <f t="shared" si="4"/>
        <v/>
      </c>
      <c r="F306" s="18"/>
    </row>
    <row r="307" spans="1:6" x14ac:dyDescent="0.3">
      <c r="A307" s="17"/>
      <c r="B307" s="18"/>
      <c r="C307" s="18"/>
      <c r="D307" s="19"/>
      <c r="E307" s="10" t="str">
        <f t="shared" si="4"/>
        <v/>
      </c>
      <c r="F307" s="18"/>
    </row>
    <row r="308" spans="1:6" x14ac:dyDescent="0.3">
      <c r="A308" s="17"/>
      <c r="B308" s="18"/>
      <c r="C308" s="18"/>
      <c r="D308" s="19"/>
      <c r="E308" s="10" t="str">
        <f t="shared" si="4"/>
        <v/>
      </c>
      <c r="F308" s="18"/>
    </row>
    <row r="309" spans="1:6" x14ac:dyDescent="0.3">
      <c r="A309" s="17"/>
      <c r="B309" s="18"/>
      <c r="C309" s="18"/>
      <c r="D309" s="19"/>
      <c r="E309" s="10" t="str">
        <f t="shared" si="4"/>
        <v/>
      </c>
      <c r="F309" s="18"/>
    </row>
    <row r="310" spans="1:6" x14ac:dyDescent="0.3">
      <c r="A310" s="17"/>
      <c r="B310" s="18"/>
      <c r="C310" s="18"/>
      <c r="D310" s="19"/>
      <c r="E310" s="10" t="str">
        <f t="shared" si="4"/>
        <v/>
      </c>
      <c r="F310" s="18"/>
    </row>
    <row r="311" spans="1:6" x14ac:dyDescent="0.3">
      <c r="A311" s="17"/>
      <c r="B311" s="18"/>
      <c r="C311" s="18"/>
      <c r="D311" s="19"/>
      <c r="E311" s="10" t="str">
        <f t="shared" si="4"/>
        <v/>
      </c>
      <c r="F311" s="18"/>
    </row>
    <row r="312" spans="1:6" x14ac:dyDescent="0.3">
      <c r="A312" s="17"/>
      <c r="B312" s="18"/>
      <c r="C312" s="18"/>
      <c r="D312" s="19"/>
      <c r="E312" s="10" t="str">
        <f t="shared" si="4"/>
        <v/>
      </c>
      <c r="F312" s="18"/>
    </row>
    <row r="313" spans="1:6" x14ac:dyDescent="0.3">
      <c r="A313" s="17"/>
      <c r="B313" s="18"/>
      <c r="C313" s="18"/>
      <c r="D313" s="19"/>
      <c r="E313" s="10" t="str">
        <f t="shared" si="4"/>
        <v/>
      </c>
      <c r="F313" s="18"/>
    </row>
    <row r="314" spans="1:6" x14ac:dyDescent="0.3">
      <c r="A314" s="17"/>
      <c r="B314" s="18"/>
      <c r="C314" s="18"/>
      <c r="D314" s="19"/>
      <c r="E314" s="10" t="str">
        <f t="shared" si="4"/>
        <v/>
      </c>
      <c r="F314" s="18"/>
    </row>
    <row r="315" spans="1:6" x14ac:dyDescent="0.3">
      <c r="A315" s="17"/>
      <c r="B315" s="18"/>
      <c r="C315" s="18"/>
      <c r="D315" s="19"/>
      <c r="E315" s="10" t="str">
        <f t="shared" si="4"/>
        <v/>
      </c>
      <c r="F315" s="18"/>
    </row>
    <row r="316" spans="1:6" x14ac:dyDescent="0.3">
      <c r="A316" s="17"/>
      <c r="B316" s="18"/>
      <c r="C316" s="18"/>
      <c r="D316" s="19"/>
      <c r="E316" s="10" t="str">
        <f t="shared" si="4"/>
        <v/>
      </c>
      <c r="F316" s="18"/>
    </row>
    <row r="317" spans="1:6" x14ac:dyDescent="0.3">
      <c r="A317" s="17"/>
      <c r="B317" s="18"/>
      <c r="C317" s="18"/>
      <c r="D317" s="19"/>
      <c r="E317" s="10" t="str">
        <f t="shared" si="4"/>
        <v/>
      </c>
      <c r="F317" s="18"/>
    </row>
    <row r="318" spans="1:6" x14ac:dyDescent="0.3">
      <c r="A318" s="17"/>
      <c r="B318" s="18"/>
      <c r="C318" s="18"/>
      <c r="D318" s="19"/>
      <c r="E318" s="10" t="str">
        <f t="shared" si="4"/>
        <v/>
      </c>
      <c r="F318" s="18"/>
    </row>
    <row r="319" spans="1:6" x14ac:dyDescent="0.3">
      <c r="A319" s="17"/>
      <c r="B319" s="18"/>
      <c r="C319" s="18"/>
      <c r="D319" s="19"/>
      <c r="E319" s="10" t="str">
        <f t="shared" si="4"/>
        <v/>
      </c>
      <c r="F319" s="18"/>
    </row>
    <row r="320" spans="1:6" x14ac:dyDescent="0.3">
      <c r="A320" s="17"/>
      <c r="B320" s="18"/>
      <c r="C320" s="18"/>
      <c r="D320" s="19"/>
      <c r="E320" s="10" t="str">
        <f t="shared" si="4"/>
        <v/>
      </c>
      <c r="F320" s="18"/>
    </row>
    <row r="321" spans="1:6" x14ac:dyDescent="0.3">
      <c r="A321" s="17"/>
      <c r="B321" s="18"/>
      <c r="C321" s="18"/>
      <c r="D321" s="19"/>
      <c r="E321" s="10" t="str">
        <f t="shared" si="4"/>
        <v/>
      </c>
      <c r="F321" s="18"/>
    </row>
    <row r="322" spans="1:6" x14ac:dyDescent="0.3">
      <c r="A322" s="17"/>
      <c r="B322" s="18"/>
      <c r="C322" s="18"/>
      <c r="D322" s="19"/>
      <c r="E322" s="10" t="str">
        <f t="shared" si="4"/>
        <v/>
      </c>
      <c r="F322" s="18"/>
    </row>
    <row r="323" spans="1:6" x14ac:dyDescent="0.3">
      <c r="A323" s="17"/>
      <c r="B323" s="18"/>
      <c r="C323" s="18"/>
      <c r="D323" s="19"/>
      <c r="E323" s="10" t="str">
        <f t="shared" si="4"/>
        <v/>
      </c>
      <c r="F323" s="18"/>
    </row>
    <row r="324" spans="1:6" x14ac:dyDescent="0.3">
      <c r="A324" s="17"/>
      <c r="B324" s="18"/>
      <c r="C324" s="18"/>
      <c r="D324" s="19"/>
      <c r="E324" s="10" t="str">
        <f t="shared" si="4"/>
        <v/>
      </c>
      <c r="F324" s="18"/>
    </row>
    <row r="325" spans="1:6" x14ac:dyDescent="0.3">
      <c r="A325" s="17"/>
      <c r="B325" s="18"/>
      <c r="C325" s="18"/>
      <c r="D325" s="19"/>
      <c r="E325" s="10" t="str">
        <f t="shared" si="4"/>
        <v/>
      </c>
      <c r="F325" s="18"/>
    </row>
    <row r="326" spans="1:6" x14ac:dyDescent="0.3">
      <c r="A326" s="17"/>
      <c r="B326" s="18"/>
      <c r="C326" s="18"/>
      <c r="D326" s="19"/>
      <c r="E326" s="10" t="str">
        <f t="shared" ref="E326:E389" si="5">IF(OR(C326="",D326=""),"",C326*D326)</f>
        <v/>
      </c>
      <c r="F326" s="18"/>
    </row>
    <row r="327" spans="1:6" x14ac:dyDescent="0.3">
      <c r="A327" s="17"/>
      <c r="B327" s="18"/>
      <c r="C327" s="18"/>
      <c r="D327" s="19"/>
      <c r="E327" s="10" t="str">
        <f t="shared" si="5"/>
        <v/>
      </c>
      <c r="F327" s="18"/>
    </row>
    <row r="328" spans="1:6" x14ac:dyDescent="0.3">
      <c r="A328" s="17"/>
      <c r="B328" s="18"/>
      <c r="C328" s="18"/>
      <c r="D328" s="19"/>
      <c r="E328" s="10" t="str">
        <f t="shared" si="5"/>
        <v/>
      </c>
      <c r="F328" s="18"/>
    </row>
    <row r="329" spans="1:6" x14ac:dyDescent="0.3">
      <c r="A329" s="17"/>
      <c r="B329" s="18"/>
      <c r="C329" s="18"/>
      <c r="D329" s="19"/>
      <c r="E329" s="10" t="str">
        <f t="shared" si="5"/>
        <v/>
      </c>
      <c r="F329" s="18"/>
    </row>
    <row r="330" spans="1:6" x14ac:dyDescent="0.3">
      <c r="A330" s="17"/>
      <c r="B330" s="18"/>
      <c r="C330" s="18"/>
      <c r="D330" s="19"/>
      <c r="E330" s="10" t="str">
        <f t="shared" si="5"/>
        <v/>
      </c>
      <c r="F330" s="18"/>
    </row>
    <row r="331" spans="1:6" x14ac:dyDescent="0.3">
      <c r="A331" s="17"/>
      <c r="B331" s="18"/>
      <c r="C331" s="18"/>
      <c r="D331" s="19"/>
      <c r="E331" s="10" t="str">
        <f t="shared" si="5"/>
        <v/>
      </c>
      <c r="F331" s="18"/>
    </row>
    <row r="332" spans="1:6" x14ac:dyDescent="0.3">
      <c r="A332" s="17"/>
      <c r="B332" s="18"/>
      <c r="C332" s="18"/>
      <c r="D332" s="19"/>
      <c r="E332" s="10" t="str">
        <f t="shared" si="5"/>
        <v/>
      </c>
      <c r="F332" s="18"/>
    </row>
    <row r="333" spans="1:6" x14ac:dyDescent="0.3">
      <c r="A333" s="17"/>
      <c r="B333" s="18"/>
      <c r="C333" s="18"/>
      <c r="D333" s="19"/>
      <c r="E333" s="10" t="str">
        <f t="shared" si="5"/>
        <v/>
      </c>
      <c r="F333" s="18"/>
    </row>
    <row r="334" spans="1:6" x14ac:dyDescent="0.3">
      <c r="A334" s="17"/>
      <c r="B334" s="18"/>
      <c r="C334" s="18"/>
      <c r="D334" s="19"/>
      <c r="E334" s="10" t="str">
        <f t="shared" si="5"/>
        <v/>
      </c>
      <c r="F334" s="18"/>
    </row>
    <row r="335" spans="1:6" x14ac:dyDescent="0.3">
      <c r="A335" s="17"/>
      <c r="B335" s="18"/>
      <c r="C335" s="18"/>
      <c r="D335" s="19"/>
      <c r="E335" s="10" t="str">
        <f t="shared" si="5"/>
        <v/>
      </c>
      <c r="F335" s="18"/>
    </row>
    <row r="336" spans="1:6" x14ac:dyDescent="0.3">
      <c r="A336" s="17"/>
      <c r="B336" s="18"/>
      <c r="C336" s="18"/>
      <c r="D336" s="19"/>
      <c r="E336" s="10" t="str">
        <f t="shared" si="5"/>
        <v/>
      </c>
      <c r="F336" s="18"/>
    </row>
    <row r="337" spans="1:6" x14ac:dyDescent="0.3">
      <c r="A337" s="17"/>
      <c r="B337" s="18"/>
      <c r="C337" s="18"/>
      <c r="D337" s="19"/>
      <c r="E337" s="10" t="str">
        <f t="shared" si="5"/>
        <v/>
      </c>
      <c r="F337" s="18"/>
    </row>
    <row r="338" spans="1:6" x14ac:dyDescent="0.3">
      <c r="A338" s="17"/>
      <c r="B338" s="18"/>
      <c r="C338" s="18"/>
      <c r="D338" s="19"/>
      <c r="E338" s="10" t="str">
        <f t="shared" si="5"/>
        <v/>
      </c>
      <c r="F338" s="18"/>
    </row>
    <row r="339" spans="1:6" x14ac:dyDescent="0.3">
      <c r="A339" s="17"/>
      <c r="B339" s="18"/>
      <c r="C339" s="18"/>
      <c r="D339" s="19"/>
      <c r="E339" s="10" t="str">
        <f t="shared" si="5"/>
        <v/>
      </c>
      <c r="F339" s="18"/>
    </row>
    <row r="340" spans="1:6" x14ac:dyDescent="0.3">
      <c r="A340" s="17"/>
      <c r="B340" s="18"/>
      <c r="C340" s="18"/>
      <c r="D340" s="19"/>
      <c r="E340" s="10" t="str">
        <f t="shared" si="5"/>
        <v/>
      </c>
      <c r="F340" s="18"/>
    </row>
    <row r="341" spans="1:6" x14ac:dyDescent="0.3">
      <c r="A341" s="17"/>
      <c r="B341" s="18"/>
      <c r="C341" s="18"/>
      <c r="D341" s="19"/>
      <c r="E341" s="10" t="str">
        <f t="shared" si="5"/>
        <v/>
      </c>
      <c r="F341" s="18"/>
    </row>
    <row r="342" spans="1:6" x14ac:dyDescent="0.3">
      <c r="A342" s="17"/>
      <c r="B342" s="18"/>
      <c r="C342" s="18"/>
      <c r="D342" s="19"/>
      <c r="E342" s="10" t="str">
        <f t="shared" si="5"/>
        <v/>
      </c>
      <c r="F342" s="18"/>
    </row>
    <row r="343" spans="1:6" x14ac:dyDescent="0.3">
      <c r="A343" s="17"/>
      <c r="B343" s="18"/>
      <c r="C343" s="18"/>
      <c r="D343" s="19"/>
      <c r="E343" s="10" t="str">
        <f t="shared" si="5"/>
        <v/>
      </c>
      <c r="F343" s="18"/>
    </row>
    <row r="344" spans="1:6" x14ac:dyDescent="0.3">
      <c r="A344" s="17"/>
      <c r="B344" s="18"/>
      <c r="C344" s="18"/>
      <c r="D344" s="19"/>
      <c r="E344" s="10" t="str">
        <f t="shared" si="5"/>
        <v/>
      </c>
      <c r="F344" s="18"/>
    </row>
    <row r="345" spans="1:6" x14ac:dyDescent="0.3">
      <c r="A345" s="17"/>
      <c r="B345" s="18"/>
      <c r="C345" s="18"/>
      <c r="D345" s="19"/>
      <c r="E345" s="10" t="str">
        <f t="shared" si="5"/>
        <v/>
      </c>
      <c r="F345" s="18"/>
    </row>
    <row r="346" spans="1:6" x14ac:dyDescent="0.3">
      <c r="A346" s="17"/>
      <c r="B346" s="18"/>
      <c r="C346" s="18"/>
      <c r="D346" s="19"/>
      <c r="E346" s="10" t="str">
        <f t="shared" si="5"/>
        <v/>
      </c>
      <c r="F346" s="18"/>
    </row>
    <row r="347" spans="1:6" x14ac:dyDescent="0.3">
      <c r="A347" s="17"/>
      <c r="B347" s="18"/>
      <c r="C347" s="18"/>
      <c r="D347" s="19"/>
      <c r="E347" s="10" t="str">
        <f t="shared" si="5"/>
        <v/>
      </c>
      <c r="F347" s="18"/>
    </row>
    <row r="348" spans="1:6" x14ac:dyDescent="0.3">
      <c r="A348" s="17"/>
      <c r="B348" s="18"/>
      <c r="C348" s="18"/>
      <c r="D348" s="19"/>
      <c r="E348" s="10" t="str">
        <f t="shared" si="5"/>
        <v/>
      </c>
      <c r="F348" s="18"/>
    </row>
    <row r="349" spans="1:6" x14ac:dyDescent="0.3">
      <c r="A349" s="17"/>
      <c r="B349" s="18"/>
      <c r="C349" s="18"/>
      <c r="D349" s="19"/>
      <c r="E349" s="10" t="str">
        <f t="shared" si="5"/>
        <v/>
      </c>
      <c r="F349" s="18"/>
    </row>
    <row r="350" spans="1:6" x14ac:dyDescent="0.3">
      <c r="A350" s="17"/>
      <c r="B350" s="18"/>
      <c r="C350" s="18"/>
      <c r="D350" s="19"/>
      <c r="E350" s="10" t="str">
        <f t="shared" si="5"/>
        <v/>
      </c>
      <c r="F350" s="18"/>
    </row>
    <row r="351" spans="1:6" x14ac:dyDescent="0.3">
      <c r="A351" s="17"/>
      <c r="B351" s="18"/>
      <c r="C351" s="18"/>
      <c r="D351" s="19"/>
      <c r="E351" s="10" t="str">
        <f t="shared" si="5"/>
        <v/>
      </c>
      <c r="F351" s="18"/>
    </row>
    <row r="352" spans="1:6" x14ac:dyDescent="0.3">
      <c r="A352" s="17"/>
      <c r="B352" s="18"/>
      <c r="C352" s="18"/>
      <c r="D352" s="19"/>
      <c r="E352" s="10" t="str">
        <f t="shared" si="5"/>
        <v/>
      </c>
      <c r="F352" s="18"/>
    </row>
    <row r="353" spans="1:6" x14ac:dyDescent="0.3">
      <c r="A353" s="17"/>
      <c r="B353" s="18"/>
      <c r="C353" s="18"/>
      <c r="D353" s="19"/>
      <c r="E353" s="10" t="str">
        <f t="shared" si="5"/>
        <v/>
      </c>
      <c r="F353" s="18"/>
    </row>
    <row r="354" spans="1:6" x14ac:dyDescent="0.3">
      <c r="A354" s="17"/>
      <c r="B354" s="18"/>
      <c r="C354" s="18"/>
      <c r="D354" s="19"/>
      <c r="E354" s="10" t="str">
        <f t="shared" si="5"/>
        <v/>
      </c>
      <c r="F354" s="18"/>
    </row>
    <row r="355" spans="1:6" x14ac:dyDescent="0.3">
      <c r="A355" s="17"/>
      <c r="B355" s="18"/>
      <c r="C355" s="18"/>
      <c r="D355" s="19"/>
      <c r="E355" s="10" t="str">
        <f t="shared" si="5"/>
        <v/>
      </c>
      <c r="F355" s="18"/>
    </row>
    <row r="356" spans="1:6" x14ac:dyDescent="0.3">
      <c r="A356" s="17"/>
      <c r="B356" s="18"/>
      <c r="C356" s="18"/>
      <c r="D356" s="19"/>
      <c r="E356" s="10" t="str">
        <f t="shared" si="5"/>
        <v/>
      </c>
      <c r="F356" s="18"/>
    </row>
    <row r="357" spans="1:6" x14ac:dyDescent="0.3">
      <c r="A357" s="17"/>
      <c r="B357" s="18"/>
      <c r="C357" s="18"/>
      <c r="D357" s="19"/>
      <c r="E357" s="10" t="str">
        <f t="shared" si="5"/>
        <v/>
      </c>
      <c r="F357" s="18"/>
    </row>
    <row r="358" spans="1:6" x14ac:dyDescent="0.3">
      <c r="A358" s="17"/>
      <c r="B358" s="18"/>
      <c r="C358" s="18"/>
      <c r="D358" s="19"/>
      <c r="E358" s="10" t="str">
        <f t="shared" si="5"/>
        <v/>
      </c>
      <c r="F358" s="18"/>
    </row>
    <row r="359" spans="1:6" x14ac:dyDescent="0.3">
      <c r="A359" s="17"/>
      <c r="B359" s="18"/>
      <c r="C359" s="18"/>
      <c r="D359" s="19"/>
      <c r="E359" s="10" t="str">
        <f t="shared" si="5"/>
        <v/>
      </c>
      <c r="F359" s="18"/>
    </row>
    <row r="360" spans="1:6" x14ac:dyDescent="0.3">
      <c r="A360" s="17"/>
      <c r="B360" s="18"/>
      <c r="C360" s="18"/>
      <c r="D360" s="19"/>
      <c r="E360" s="10" t="str">
        <f t="shared" si="5"/>
        <v/>
      </c>
      <c r="F360" s="18"/>
    </row>
    <row r="361" spans="1:6" x14ac:dyDescent="0.3">
      <c r="A361" s="17"/>
      <c r="B361" s="18"/>
      <c r="C361" s="18"/>
      <c r="D361" s="19"/>
      <c r="E361" s="10" t="str">
        <f t="shared" si="5"/>
        <v/>
      </c>
      <c r="F361" s="18"/>
    </row>
    <row r="362" spans="1:6" x14ac:dyDescent="0.3">
      <c r="A362" s="17"/>
      <c r="B362" s="18"/>
      <c r="C362" s="18"/>
      <c r="D362" s="19"/>
      <c r="E362" s="10" t="str">
        <f t="shared" si="5"/>
        <v/>
      </c>
      <c r="F362" s="18"/>
    </row>
    <row r="363" spans="1:6" x14ac:dyDescent="0.3">
      <c r="A363" s="17"/>
      <c r="B363" s="18"/>
      <c r="C363" s="18"/>
      <c r="D363" s="19"/>
      <c r="E363" s="10" t="str">
        <f t="shared" si="5"/>
        <v/>
      </c>
      <c r="F363" s="18"/>
    </row>
    <row r="364" spans="1:6" x14ac:dyDescent="0.3">
      <c r="A364" s="17"/>
      <c r="B364" s="18"/>
      <c r="C364" s="18"/>
      <c r="D364" s="19"/>
      <c r="E364" s="10" t="str">
        <f t="shared" si="5"/>
        <v/>
      </c>
      <c r="F364" s="18"/>
    </row>
    <row r="365" spans="1:6" x14ac:dyDescent="0.3">
      <c r="A365" s="17"/>
      <c r="B365" s="18"/>
      <c r="C365" s="18"/>
      <c r="D365" s="19"/>
      <c r="E365" s="10" t="str">
        <f t="shared" si="5"/>
        <v/>
      </c>
      <c r="F365" s="18"/>
    </row>
    <row r="366" spans="1:6" x14ac:dyDescent="0.3">
      <c r="A366" s="17"/>
      <c r="B366" s="18"/>
      <c r="C366" s="18"/>
      <c r="D366" s="19"/>
      <c r="E366" s="10" t="str">
        <f t="shared" si="5"/>
        <v/>
      </c>
      <c r="F366" s="18"/>
    </row>
    <row r="367" spans="1:6" x14ac:dyDescent="0.3">
      <c r="A367" s="17"/>
      <c r="B367" s="18"/>
      <c r="C367" s="18"/>
      <c r="D367" s="19"/>
      <c r="E367" s="10" t="str">
        <f t="shared" si="5"/>
        <v/>
      </c>
      <c r="F367" s="18"/>
    </row>
    <row r="368" spans="1:6" x14ac:dyDescent="0.3">
      <c r="A368" s="17"/>
      <c r="B368" s="18"/>
      <c r="C368" s="18"/>
      <c r="D368" s="19"/>
      <c r="E368" s="10" t="str">
        <f t="shared" si="5"/>
        <v/>
      </c>
      <c r="F368" s="18"/>
    </row>
    <row r="369" spans="1:6" x14ac:dyDescent="0.3">
      <c r="A369" s="17"/>
      <c r="B369" s="18"/>
      <c r="C369" s="18"/>
      <c r="D369" s="19"/>
      <c r="E369" s="10" t="str">
        <f t="shared" si="5"/>
        <v/>
      </c>
      <c r="F369" s="18"/>
    </row>
    <row r="370" spans="1:6" x14ac:dyDescent="0.3">
      <c r="A370" s="17"/>
      <c r="B370" s="18"/>
      <c r="C370" s="18"/>
      <c r="D370" s="19"/>
      <c r="E370" s="10" t="str">
        <f t="shared" si="5"/>
        <v/>
      </c>
      <c r="F370" s="18"/>
    </row>
    <row r="371" spans="1:6" x14ac:dyDescent="0.3">
      <c r="A371" s="17"/>
      <c r="B371" s="18"/>
      <c r="C371" s="18"/>
      <c r="D371" s="19"/>
      <c r="E371" s="10" t="str">
        <f t="shared" si="5"/>
        <v/>
      </c>
      <c r="F371" s="18"/>
    </row>
    <row r="372" spans="1:6" x14ac:dyDescent="0.3">
      <c r="A372" s="17"/>
      <c r="B372" s="18"/>
      <c r="C372" s="18"/>
      <c r="D372" s="19"/>
      <c r="E372" s="10" t="str">
        <f t="shared" si="5"/>
        <v/>
      </c>
      <c r="F372" s="18"/>
    </row>
    <row r="373" spans="1:6" x14ac:dyDescent="0.3">
      <c r="A373" s="17"/>
      <c r="B373" s="18"/>
      <c r="C373" s="18"/>
      <c r="D373" s="19"/>
      <c r="E373" s="10" t="str">
        <f t="shared" si="5"/>
        <v/>
      </c>
      <c r="F373" s="18"/>
    </row>
    <row r="374" spans="1:6" x14ac:dyDescent="0.3">
      <c r="A374" s="17"/>
      <c r="B374" s="18"/>
      <c r="C374" s="18"/>
      <c r="D374" s="19"/>
      <c r="E374" s="10" t="str">
        <f t="shared" si="5"/>
        <v/>
      </c>
      <c r="F374" s="18"/>
    </row>
    <row r="375" spans="1:6" x14ac:dyDescent="0.3">
      <c r="A375" s="17"/>
      <c r="B375" s="18"/>
      <c r="C375" s="18"/>
      <c r="D375" s="19"/>
      <c r="E375" s="10" t="str">
        <f t="shared" si="5"/>
        <v/>
      </c>
      <c r="F375" s="18"/>
    </row>
    <row r="376" spans="1:6" x14ac:dyDescent="0.3">
      <c r="A376" s="17"/>
      <c r="B376" s="18"/>
      <c r="C376" s="18"/>
      <c r="D376" s="19"/>
      <c r="E376" s="10" t="str">
        <f t="shared" si="5"/>
        <v/>
      </c>
      <c r="F376" s="18"/>
    </row>
    <row r="377" spans="1:6" x14ac:dyDescent="0.3">
      <c r="A377" s="17"/>
      <c r="B377" s="18"/>
      <c r="C377" s="18"/>
      <c r="D377" s="19"/>
      <c r="E377" s="10" t="str">
        <f t="shared" si="5"/>
        <v/>
      </c>
      <c r="F377" s="18"/>
    </row>
    <row r="378" spans="1:6" x14ac:dyDescent="0.3">
      <c r="A378" s="17"/>
      <c r="B378" s="18"/>
      <c r="C378" s="18"/>
      <c r="D378" s="19"/>
      <c r="E378" s="10" t="str">
        <f t="shared" si="5"/>
        <v/>
      </c>
      <c r="F378" s="18"/>
    </row>
    <row r="379" spans="1:6" x14ac:dyDescent="0.3">
      <c r="A379" s="17"/>
      <c r="B379" s="18"/>
      <c r="C379" s="18"/>
      <c r="D379" s="19"/>
      <c r="E379" s="10" t="str">
        <f t="shared" si="5"/>
        <v/>
      </c>
      <c r="F379" s="18"/>
    </row>
    <row r="380" spans="1:6" x14ac:dyDescent="0.3">
      <c r="A380" s="17"/>
      <c r="B380" s="18"/>
      <c r="C380" s="18"/>
      <c r="D380" s="19"/>
      <c r="E380" s="10" t="str">
        <f t="shared" si="5"/>
        <v/>
      </c>
      <c r="F380" s="18"/>
    </row>
    <row r="381" spans="1:6" x14ac:dyDescent="0.3">
      <c r="A381" s="17"/>
      <c r="B381" s="18"/>
      <c r="C381" s="18"/>
      <c r="D381" s="19"/>
      <c r="E381" s="10" t="str">
        <f t="shared" si="5"/>
        <v/>
      </c>
      <c r="F381" s="18"/>
    </row>
    <row r="382" spans="1:6" x14ac:dyDescent="0.3">
      <c r="A382" s="17"/>
      <c r="B382" s="18"/>
      <c r="C382" s="18"/>
      <c r="D382" s="19"/>
      <c r="E382" s="10" t="str">
        <f t="shared" si="5"/>
        <v/>
      </c>
      <c r="F382" s="18"/>
    </row>
    <row r="383" spans="1:6" x14ac:dyDescent="0.3">
      <c r="A383" s="17"/>
      <c r="B383" s="18"/>
      <c r="C383" s="18"/>
      <c r="D383" s="19"/>
      <c r="E383" s="10" t="str">
        <f t="shared" si="5"/>
        <v/>
      </c>
      <c r="F383" s="18"/>
    </row>
    <row r="384" spans="1:6" x14ac:dyDescent="0.3">
      <c r="A384" s="17"/>
      <c r="B384" s="18"/>
      <c r="C384" s="18"/>
      <c r="D384" s="19"/>
      <c r="E384" s="10" t="str">
        <f t="shared" si="5"/>
        <v/>
      </c>
      <c r="F384" s="18"/>
    </row>
    <row r="385" spans="1:6" x14ac:dyDescent="0.3">
      <c r="A385" s="17"/>
      <c r="B385" s="18"/>
      <c r="C385" s="18"/>
      <c r="D385" s="19"/>
      <c r="E385" s="10" t="str">
        <f t="shared" si="5"/>
        <v/>
      </c>
      <c r="F385" s="18"/>
    </row>
    <row r="386" spans="1:6" x14ac:dyDescent="0.3">
      <c r="A386" s="17"/>
      <c r="B386" s="18"/>
      <c r="C386" s="18"/>
      <c r="D386" s="19"/>
      <c r="E386" s="10" t="str">
        <f t="shared" si="5"/>
        <v/>
      </c>
      <c r="F386" s="18"/>
    </row>
    <row r="387" spans="1:6" x14ac:dyDescent="0.3">
      <c r="A387" s="17"/>
      <c r="B387" s="18"/>
      <c r="C387" s="18"/>
      <c r="D387" s="19"/>
      <c r="E387" s="10" t="str">
        <f t="shared" si="5"/>
        <v/>
      </c>
      <c r="F387" s="18"/>
    </row>
    <row r="388" spans="1:6" x14ac:dyDescent="0.3">
      <c r="A388" s="17"/>
      <c r="B388" s="18"/>
      <c r="C388" s="18"/>
      <c r="D388" s="19"/>
      <c r="E388" s="10" t="str">
        <f t="shared" si="5"/>
        <v/>
      </c>
      <c r="F388" s="18"/>
    </row>
    <row r="389" spans="1:6" x14ac:dyDescent="0.3">
      <c r="A389" s="17"/>
      <c r="B389" s="18"/>
      <c r="C389" s="18"/>
      <c r="D389" s="19"/>
      <c r="E389" s="10" t="str">
        <f t="shared" si="5"/>
        <v/>
      </c>
      <c r="F389" s="18"/>
    </row>
    <row r="390" spans="1:6" x14ac:dyDescent="0.3">
      <c r="A390" s="17"/>
      <c r="B390" s="18"/>
      <c r="C390" s="18"/>
      <c r="D390" s="19"/>
      <c r="E390" s="10" t="str">
        <f t="shared" ref="E390:E453" si="6">IF(OR(C390="",D390=""),"",C390*D390)</f>
        <v/>
      </c>
      <c r="F390" s="18"/>
    </row>
    <row r="391" spans="1:6" x14ac:dyDescent="0.3">
      <c r="A391" s="17"/>
      <c r="B391" s="18"/>
      <c r="C391" s="18"/>
      <c r="D391" s="19"/>
      <c r="E391" s="10" t="str">
        <f t="shared" si="6"/>
        <v/>
      </c>
      <c r="F391" s="18"/>
    </row>
    <row r="392" spans="1:6" x14ac:dyDescent="0.3">
      <c r="A392" s="17"/>
      <c r="B392" s="18"/>
      <c r="C392" s="18"/>
      <c r="D392" s="19"/>
      <c r="E392" s="10" t="str">
        <f t="shared" si="6"/>
        <v/>
      </c>
      <c r="F392" s="18"/>
    </row>
    <row r="393" spans="1:6" x14ac:dyDescent="0.3">
      <c r="A393" s="17"/>
      <c r="B393" s="18"/>
      <c r="C393" s="18"/>
      <c r="D393" s="19"/>
      <c r="E393" s="10" t="str">
        <f t="shared" si="6"/>
        <v/>
      </c>
      <c r="F393" s="18"/>
    </row>
    <row r="394" spans="1:6" x14ac:dyDescent="0.3">
      <c r="A394" s="17"/>
      <c r="B394" s="18"/>
      <c r="C394" s="18"/>
      <c r="D394" s="19"/>
      <c r="E394" s="10" t="str">
        <f t="shared" si="6"/>
        <v/>
      </c>
      <c r="F394" s="18"/>
    </row>
    <row r="395" spans="1:6" x14ac:dyDescent="0.3">
      <c r="A395" s="17"/>
      <c r="B395" s="18"/>
      <c r="C395" s="18"/>
      <c r="D395" s="19"/>
      <c r="E395" s="10" t="str">
        <f t="shared" si="6"/>
        <v/>
      </c>
      <c r="F395" s="18"/>
    </row>
    <row r="396" spans="1:6" x14ac:dyDescent="0.3">
      <c r="A396" s="17"/>
      <c r="B396" s="18"/>
      <c r="C396" s="18"/>
      <c r="D396" s="19"/>
      <c r="E396" s="10" t="str">
        <f t="shared" si="6"/>
        <v/>
      </c>
      <c r="F396" s="18"/>
    </row>
    <row r="397" spans="1:6" x14ac:dyDescent="0.3">
      <c r="A397" s="17"/>
      <c r="B397" s="18"/>
      <c r="C397" s="18"/>
      <c r="D397" s="19"/>
      <c r="E397" s="10" t="str">
        <f t="shared" si="6"/>
        <v/>
      </c>
      <c r="F397" s="18"/>
    </row>
    <row r="398" spans="1:6" x14ac:dyDescent="0.3">
      <c r="A398" s="17"/>
      <c r="B398" s="18"/>
      <c r="C398" s="18"/>
      <c r="D398" s="19"/>
      <c r="E398" s="10" t="str">
        <f t="shared" si="6"/>
        <v/>
      </c>
      <c r="F398" s="18"/>
    </row>
    <row r="399" spans="1:6" x14ac:dyDescent="0.3">
      <c r="A399" s="17"/>
      <c r="B399" s="18"/>
      <c r="C399" s="18"/>
      <c r="D399" s="19"/>
      <c r="E399" s="10" t="str">
        <f t="shared" si="6"/>
        <v/>
      </c>
      <c r="F399" s="18"/>
    </row>
    <row r="400" spans="1:6" x14ac:dyDescent="0.3">
      <c r="A400" s="17"/>
      <c r="B400" s="18"/>
      <c r="C400" s="18"/>
      <c r="D400" s="19"/>
      <c r="E400" s="10" t="str">
        <f t="shared" si="6"/>
        <v/>
      </c>
      <c r="F400" s="18"/>
    </row>
    <row r="401" spans="1:6" x14ac:dyDescent="0.3">
      <c r="A401" s="17"/>
      <c r="B401" s="18"/>
      <c r="C401" s="18"/>
      <c r="D401" s="19"/>
      <c r="E401" s="10" t="str">
        <f t="shared" si="6"/>
        <v/>
      </c>
      <c r="F401" s="18"/>
    </row>
    <row r="402" spans="1:6" x14ac:dyDescent="0.3">
      <c r="A402" s="17"/>
      <c r="B402" s="18"/>
      <c r="C402" s="18"/>
      <c r="D402" s="19"/>
      <c r="E402" s="10" t="str">
        <f t="shared" si="6"/>
        <v/>
      </c>
      <c r="F402" s="18"/>
    </row>
    <row r="403" spans="1:6" x14ac:dyDescent="0.3">
      <c r="A403" s="17"/>
      <c r="B403" s="18"/>
      <c r="C403" s="18"/>
      <c r="D403" s="19"/>
      <c r="E403" s="10" t="str">
        <f t="shared" si="6"/>
        <v/>
      </c>
      <c r="F403" s="18"/>
    </row>
    <row r="404" spans="1:6" x14ac:dyDescent="0.3">
      <c r="A404" s="17"/>
      <c r="B404" s="18"/>
      <c r="C404" s="18"/>
      <c r="D404" s="19"/>
      <c r="E404" s="10" t="str">
        <f t="shared" si="6"/>
        <v/>
      </c>
      <c r="F404" s="18"/>
    </row>
    <row r="405" spans="1:6" x14ac:dyDescent="0.3">
      <c r="A405" s="17"/>
      <c r="B405" s="18"/>
      <c r="C405" s="18"/>
      <c r="D405" s="19"/>
      <c r="E405" s="10" t="str">
        <f t="shared" si="6"/>
        <v/>
      </c>
      <c r="F405" s="18"/>
    </row>
    <row r="406" spans="1:6" x14ac:dyDescent="0.3">
      <c r="A406" s="17"/>
      <c r="B406" s="18"/>
      <c r="C406" s="18"/>
      <c r="D406" s="19"/>
      <c r="E406" s="10" t="str">
        <f t="shared" si="6"/>
        <v/>
      </c>
      <c r="F406" s="18"/>
    </row>
    <row r="407" spans="1:6" x14ac:dyDescent="0.3">
      <c r="A407" s="17"/>
      <c r="B407" s="18"/>
      <c r="C407" s="18"/>
      <c r="D407" s="19"/>
      <c r="E407" s="10" t="str">
        <f t="shared" si="6"/>
        <v/>
      </c>
      <c r="F407" s="18"/>
    </row>
    <row r="408" spans="1:6" x14ac:dyDescent="0.3">
      <c r="A408" s="17"/>
      <c r="B408" s="18"/>
      <c r="C408" s="18"/>
      <c r="D408" s="19"/>
      <c r="E408" s="10" t="str">
        <f t="shared" si="6"/>
        <v/>
      </c>
      <c r="F408" s="18"/>
    </row>
    <row r="409" spans="1:6" x14ac:dyDescent="0.3">
      <c r="A409" s="17"/>
      <c r="B409" s="18"/>
      <c r="C409" s="18"/>
      <c r="D409" s="19"/>
      <c r="E409" s="10" t="str">
        <f t="shared" si="6"/>
        <v/>
      </c>
      <c r="F409" s="18"/>
    </row>
    <row r="410" spans="1:6" x14ac:dyDescent="0.3">
      <c r="A410" s="17"/>
      <c r="B410" s="18"/>
      <c r="C410" s="18"/>
      <c r="D410" s="19"/>
      <c r="E410" s="10" t="str">
        <f t="shared" si="6"/>
        <v/>
      </c>
      <c r="F410" s="18"/>
    </row>
    <row r="411" spans="1:6" x14ac:dyDescent="0.3">
      <c r="A411" s="17"/>
      <c r="B411" s="18"/>
      <c r="C411" s="18"/>
      <c r="D411" s="19"/>
      <c r="E411" s="10" t="str">
        <f t="shared" si="6"/>
        <v/>
      </c>
      <c r="F411" s="18"/>
    </row>
    <row r="412" spans="1:6" x14ac:dyDescent="0.3">
      <c r="A412" s="17"/>
      <c r="B412" s="18"/>
      <c r="C412" s="18"/>
      <c r="D412" s="19"/>
      <c r="E412" s="10" t="str">
        <f t="shared" si="6"/>
        <v/>
      </c>
      <c r="F412" s="18"/>
    </row>
    <row r="413" spans="1:6" x14ac:dyDescent="0.3">
      <c r="A413" s="17"/>
      <c r="B413" s="18"/>
      <c r="C413" s="18"/>
      <c r="D413" s="19"/>
      <c r="E413" s="10" t="str">
        <f t="shared" si="6"/>
        <v/>
      </c>
      <c r="F413" s="18"/>
    </row>
    <row r="414" spans="1:6" x14ac:dyDescent="0.3">
      <c r="A414" s="17"/>
      <c r="B414" s="18"/>
      <c r="C414" s="18"/>
      <c r="D414" s="19"/>
      <c r="E414" s="10" t="str">
        <f t="shared" si="6"/>
        <v/>
      </c>
      <c r="F414" s="18"/>
    </row>
    <row r="415" spans="1:6" x14ac:dyDescent="0.3">
      <c r="A415" s="17"/>
      <c r="B415" s="18"/>
      <c r="C415" s="18"/>
      <c r="D415" s="19"/>
      <c r="E415" s="10" t="str">
        <f t="shared" si="6"/>
        <v/>
      </c>
      <c r="F415" s="18"/>
    </row>
    <row r="416" spans="1:6" x14ac:dyDescent="0.3">
      <c r="A416" s="17"/>
      <c r="B416" s="18"/>
      <c r="C416" s="18"/>
      <c r="D416" s="19"/>
      <c r="E416" s="10" t="str">
        <f t="shared" si="6"/>
        <v/>
      </c>
      <c r="F416" s="18"/>
    </row>
    <row r="417" spans="1:6" x14ac:dyDescent="0.3">
      <c r="A417" s="17"/>
      <c r="B417" s="18"/>
      <c r="C417" s="18"/>
      <c r="D417" s="19"/>
      <c r="E417" s="10" t="str">
        <f t="shared" si="6"/>
        <v/>
      </c>
      <c r="F417" s="18"/>
    </row>
    <row r="418" spans="1:6" x14ac:dyDescent="0.3">
      <c r="A418" s="17"/>
      <c r="B418" s="18"/>
      <c r="C418" s="18"/>
      <c r="D418" s="19"/>
      <c r="E418" s="10" t="str">
        <f t="shared" si="6"/>
        <v/>
      </c>
      <c r="F418" s="18"/>
    </row>
    <row r="419" spans="1:6" x14ac:dyDescent="0.3">
      <c r="A419" s="17"/>
      <c r="B419" s="18"/>
      <c r="C419" s="18"/>
      <c r="D419" s="19"/>
      <c r="E419" s="10" t="str">
        <f t="shared" si="6"/>
        <v/>
      </c>
      <c r="F419" s="18"/>
    </row>
    <row r="420" spans="1:6" x14ac:dyDescent="0.3">
      <c r="A420" s="17"/>
      <c r="B420" s="18"/>
      <c r="C420" s="18"/>
      <c r="D420" s="19"/>
      <c r="E420" s="10" t="str">
        <f t="shared" si="6"/>
        <v/>
      </c>
      <c r="F420" s="18"/>
    </row>
    <row r="421" spans="1:6" x14ac:dyDescent="0.3">
      <c r="A421" s="17"/>
      <c r="B421" s="18"/>
      <c r="C421" s="18"/>
      <c r="D421" s="19"/>
      <c r="E421" s="10" t="str">
        <f t="shared" si="6"/>
        <v/>
      </c>
      <c r="F421" s="18"/>
    </row>
    <row r="422" spans="1:6" x14ac:dyDescent="0.3">
      <c r="A422" s="17"/>
      <c r="B422" s="18"/>
      <c r="C422" s="18"/>
      <c r="D422" s="19"/>
      <c r="E422" s="10" t="str">
        <f t="shared" si="6"/>
        <v/>
      </c>
      <c r="F422" s="18"/>
    </row>
    <row r="423" spans="1:6" x14ac:dyDescent="0.3">
      <c r="A423" s="17"/>
      <c r="B423" s="18"/>
      <c r="C423" s="18"/>
      <c r="D423" s="19"/>
      <c r="E423" s="10" t="str">
        <f t="shared" si="6"/>
        <v/>
      </c>
      <c r="F423" s="18"/>
    </row>
    <row r="424" spans="1:6" x14ac:dyDescent="0.3">
      <c r="A424" s="17"/>
      <c r="B424" s="18"/>
      <c r="C424" s="18"/>
      <c r="D424" s="19"/>
      <c r="E424" s="10" t="str">
        <f t="shared" si="6"/>
        <v/>
      </c>
      <c r="F424" s="18"/>
    </row>
    <row r="425" spans="1:6" x14ac:dyDescent="0.3">
      <c r="A425" s="17"/>
      <c r="B425" s="18"/>
      <c r="C425" s="18"/>
      <c r="D425" s="19"/>
      <c r="E425" s="10" t="str">
        <f t="shared" si="6"/>
        <v/>
      </c>
      <c r="F425" s="18"/>
    </row>
    <row r="426" spans="1:6" x14ac:dyDescent="0.3">
      <c r="A426" s="17"/>
      <c r="B426" s="18"/>
      <c r="C426" s="18"/>
      <c r="D426" s="19"/>
      <c r="E426" s="10" t="str">
        <f t="shared" si="6"/>
        <v/>
      </c>
      <c r="F426" s="18"/>
    </row>
    <row r="427" spans="1:6" x14ac:dyDescent="0.3">
      <c r="A427" s="17"/>
      <c r="B427" s="18"/>
      <c r="C427" s="18"/>
      <c r="D427" s="19"/>
      <c r="E427" s="10" t="str">
        <f t="shared" si="6"/>
        <v/>
      </c>
      <c r="F427" s="18"/>
    </row>
    <row r="428" spans="1:6" x14ac:dyDescent="0.3">
      <c r="A428" s="17"/>
      <c r="B428" s="18"/>
      <c r="C428" s="18"/>
      <c r="D428" s="19"/>
      <c r="E428" s="10" t="str">
        <f t="shared" si="6"/>
        <v/>
      </c>
      <c r="F428" s="18"/>
    </row>
    <row r="429" spans="1:6" x14ac:dyDescent="0.3">
      <c r="A429" s="17"/>
      <c r="B429" s="18"/>
      <c r="C429" s="18"/>
      <c r="D429" s="19"/>
      <c r="E429" s="10" t="str">
        <f t="shared" si="6"/>
        <v/>
      </c>
      <c r="F429" s="18"/>
    </row>
    <row r="430" spans="1:6" x14ac:dyDescent="0.3">
      <c r="A430" s="17"/>
      <c r="B430" s="18"/>
      <c r="C430" s="18"/>
      <c r="D430" s="19"/>
      <c r="E430" s="10" t="str">
        <f t="shared" si="6"/>
        <v/>
      </c>
      <c r="F430" s="18"/>
    </row>
    <row r="431" spans="1:6" x14ac:dyDescent="0.3">
      <c r="A431" s="17"/>
      <c r="B431" s="18"/>
      <c r="C431" s="18"/>
      <c r="D431" s="19"/>
      <c r="E431" s="10" t="str">
        <f t="shared" si="6"/>
        <v/>
      </c>
      <c r="F431" s="18"/>
    </row>
    <row r="432" spans="1:6" x14ac:dyDescent="0.3">
      <c r="A432" s="17"/>
      <c r="B432" s="18"/>
      <c r="C432" s="18"/>
      <c r="D432" s="19"/>
      <c r="E432" s="10" t="str">
        <f t="shared" si="6"/>
        <v/>
      </c>
      <c r="F432" s="18"/>
    </row>
    <row r="433" spans="1:6" x14ac:dyDescent="0.3">
      <c r="A433" s="17"/>
      <c r="B433" s="18"/>
      <c r="C433" s="18"/>
      <c r="D433" s="19"/>
      <c r="E433" s="10" t="str">
        <f t="shared" si="6"/>
        <v/>
      </c>
      <c r="F433" s="18"/>
    </row>
    <row r="434" spans="1:6" x14ac:dyDescent="0.3">
      <c r="A434" s="17"/>
      <c r="B434" s="18"/>
      <c r="C434" s="18"/>
      <c r="D434" s="19"/>
      <c r="E434" s="10" t="str">
        <f t="shared" si="6"/>
        <v/>
      </c>
      <c r="F434" s="18"/>
    </row>
    <row r="435" spans="1:6" x14ac:dyDescent="0.3">
      <c r="A435" s="17"/>
      <c r="B435" s="18"/>
      <c r="C435" s="18"/>
      <c r="D435" s="19"/>
      <c r="E435" s="10" t="str">
        <f t="shared" si="6"/>
        <v/>
      </c>
      <c r="F435" s="18"/>
    </row>
    <row r="436" spans="1:6" x14ac:dyDescent="0.3">
      <c r="A436" s="17"/>
      <c r="B436" s="18"/>
      <c r="C436" s="18"/>
      <c r="D436" s="19"/>
      <c r="E436" s="10" t="str">
        <f t="shared" si="6"/>
        <v/>
      </c>
      <c r="F436" s="18"/>
    </row>
    <row r="437" spans="1:6" x14ac:dyDescent="0.3">
      <c r="A437" s="17"/>
      <c r="B437" s="18"/>
      <c r="C437" s="18"/>
      <c r="D437" s="19"/>
      <c r="E437" s="10" t="str">
        <f t="shared" si="6"/>
        <v/>
      </c>
      <c r="F437" s="18"/>
    </row>
    <row r="438" spans="1:6" x14ac:dyDescent="0.3">
      <c r="A438" s="17"/>
      <c r="B438" s="18"/>
      <c r="C438" s="18"/>
      <c r="D438" s="19"/>
      <c r="E438" s="10" t="str">
        <f t="shared" si="6"/>
        <v/>
      </c>
      <c r="F438" s="18"/>
    </row>
    <row r="439" spans="1:6" x14ac:dyDescent="0.3">
      <c r="A439" s="17"/>
      <c r="B439" s="18"/>
      <c r="C439" s="18"/>
      <c r="D439" s="19"/>
      <c r="E439" s="10" t="str">
        <f t="shared" si="6"/>
        <v/>
      </c>
      <c r="F439" s="18"/>
    </row>
    <row r="440" spans="1:6" x14ac:dyDescent="0.3">
      <c r="A440" s="17"/>
      <c r="B440" s="18"/>
      <c r="C440" s="18"/>
      <c r="D440" s="19"/>
      <c r="E440" s="10" t="str">
        <f t="shared" si="6"/>
        <v/>
      </c>
      <c r="F440" s="18"/>
    </row>
    <row r="441" spans="1:6" x14ac:dyDescent="0.3">
      <c r="A441" s="17"/>
      <c r="B441" s="18"/>
      <c r="C441" s="18"/>
      <c r="D441" s="19"/>
      <c r="E441" s="10" t="str">
        <f t="shared" si="6"/>
        <v/>
      </c>
      <c r="F441" s="18"/>
    </row>
    <row r="442" spans="1:6" x14ac:dyDescent="0.3">
      <c r="A442" s="17"/>
      <c r="B442" s="18"/>
      <c r="C442" s="18"/>
      <c r="D442" s="19"/>
      <c r="E442" s="10" t="str">
        <f t="shared" si="6"/>
        <v/>
      </c>
      <c r="F442" s="18"/>
    </row>
    <row r="443" spans="1:6" x14ac:dyDescent="0.3">
      <c r="A443" s="17"/>
      <c r="B443" s="18"/>
      <c r="C443" s="18"/>
      <c r="D443" s="19"/>
      <c r="E443" s="10" t="str">
        <f t="shared" si="6"/>
        <v/>
      </c>
      <c r="F443" s="18"/>
    </row>
    <row r="444" spans="1:6" x14ac:dyDescent="0.3">
      <c r="A444" s="17"/>
      <c r="B444" s="18"/>
      <c r="C444" s="18"/>
      <c r="D444" s="19"/>
      <c r="E444" s="10" t="str">
        <f t="shared" si="6"/>
        <v/>
      </c>
      <c r="F444" s="18"/>
    </row>
    <row r="445" spans="1:6" x14ac:dyDescent="0.3">
      <c r="A445" s="17"/>
      <c r="B445" s="18"/>
      <c r="C445" s="18"/>
      <c r="D445" s="19"/>
      <c r="E445" s="10" t="str">
        <f t="shared" si="6"/>
        <v/>
      </c>
      <c r="F445" s="18"/>
    </row>
    <row r="446" spans="1:6" x14ac:dyDescent="0.3">
      <c r="A446" s="17"/>
      <c r="B446" s="18"/>
      <c r="C446" s="18"/>
      <c r="D446" s="19"/>
      <c r="E446" s="10" t="str">
        <f t="shared" si="6"/>
        <v/>
      </c>
      <c r="F446" s="18"/>
    </row>
    <row r="447" spans="1:6" x14ac:dyDescent="0.3">
      <c r="A447" s="17"/>
      <c r="B447" s="18"/>
      <c r="C447" s="18"/>
      <c r="D447" s="19"/>
      <c r="E447" s="10" t="str">
        <f t="shared" si="6"/>
        <v/>
      </c>
      <c r="F447" s="18"/>
    </row>
    <row r="448" spans="1:6" x14ac:dyDescent="0.3">
      <c r="A448" s="17"/>
      <c r="B448" s="18"/>
      <c r="C448" s="18"/>
      <c r="D448" s="19"/>
      <c r="E448" s="10" t="str">
        <f t="shared" si="6"/>
        <v/>
      </c>
      <c r="F448" s="18"/>
    </row>
    <row r="449" spans="1:6" x14ac:dyDescent="0.3">
      <c r="A449" s="17"/>
      <c r="B449" s="18"/>
      <c r="C449" s="18"/>
      <c r="D449" s="19"/>
      <c r="E449" s="10" t="str">
        <f t="shared" si="6"/>
        <v/>
      </c>
      <c r="F449" s="18"/>
    </row>
    <row r="450" spans="1:6" x14ac:dyDescent="0.3">
      <c r="A450" s="17"/>
      <c r="B450" s="18"/>
      <c r="C450" s="18"/>
      <c r="D450" s="19"/>
      <c r="E450" s="10" t="str">
        <f t="shared" si="6"/>
        <v/>
      </c>
      <c r="F450" s="18"/>
    </row>
    <row r="451" spans="1:6" x14ac:dyDescent="0.3">
      <c r="A451" s="17"/>
      <c r="B451" s="18"/>
      <c r="C451" s="18"/>
      <c r="D451" s="19"/>
      <c r="E451" s="10" t="str">
        <f t="shared" si="6"/>
        <v/>
      </c>
      <c r="F451" s="18"/>
    </row>
    <row r="452" spans="1:6" x14ac:dyDescent="0.3">
      <c r="A452" s="17"/>
      <c r="B452" s="18"/>
      <c r="C452" s="18"/>
      <c r="D452" s="19"/>
      <c r="E452" s="10" t="str">
        <f t="shared" si="6"/>
        <v/>
      </c>
      <c r="F452" s="18"/>
    </row>
    <row r="453" spans="1:6" x14ac:dyDescent="0.3">
      <c r="A453" s="17"/>
      <c r="B453" s="18"/>
      <c r="C453" s="18"/>
      <c r="D453" s="19"/>
      <c r="E453" s="10" t="str">
        <f t="shared" si="6"/>
        <v/>
      </c>
      <c r="F453" s="18"/>
    </row>
    <row r="454" spans="1:6" x14ac:dyDescent="0.3">
      <c r="A454" s="17"/>
      <c r="B454" s="18"/>
      <c r="C454" s="18"/>
      <c r="D454" s="19"/>
      <c r="E454" s="10" t="str">
        <f t="shared" ref="E454:E517" si="7">IF(OR(C454="",D454=""),"",C454*D454)</f>
        <v/>
      </c>
      <c r="F454" s="18"/>
    </row>
    <row r="455" spans="1:6" x14ac:dyDescent="0.3">
      <c r="A455" s="17"/>
      <c r="B455" s="18"/>
      <c r="C455" s="18"/>
      <c r="D455" s="19"/>
      <c r="E455" s="10" t="str">
        <f t="shared" si="7"/>
        <v/>
      </c>
      <c r="F455" s="18"/>
    </row>
    <row r="456" spans="1:6" x14ac:dyDescent="0.3">
      <c r="A456" s="17"/>
      <c r="B456" s="18"/>
      <c r="C456" s="18"/>
      <c r="D456" s="19"/>
      <c r="E456" s="10" t="str">
        <f t="shared" si="7"/>
        <v/>
      </c>
      <c r="F456" s="18"/>
    </row>
    <row r="457" spans="1:6" x14ac:dyDescent="0.3">
      <c r="A457" s="17"/>
      <c r="B457" s="18"/>
      <c r="C457" s="18"/>
      <c r="D457" s="19"/>
      <c r="E457" s="10" t="str">
        <f t="shared" si="7"/>
        <v/>
      </c>
      <c r="F457" s="18"/>
    </row>
    <row r="458" spans="1:6" x14ac:dyDescent="0.3">
      <c r="A458" s="17"/>
      <c r="B458" s="18"/>
      <c r="C458" s="18"/>
      <c r="D458" s="19"/>
      <c r="E458" s="10" t="str">
        <f t="shared" si="7"/>
        <v/>
      </c>
      <c r="F458" s="18"/>
    </row>
    <row r="459" spans="1:6" x14ac:dyDescent="0.3">
      <c r="A459" s="17"/>
      <c r="B459" s="18"/>
      <c r="C459" s="18"/>
      <c r="D459" s="19"/>
      <c r="E459" s="10" t="str">
        <f t="shared" si="7"/>
        <v/>
      </c>
      <c r="F459" s="18"/>
    </row>
    <row r="460" spans="1:6" x14ac:dyDescent="0.3">
      <c r="A460" s="17"/>
      <c r="B460" s="18"/>
      <c r="C460" s="18"/>
      <c r="D460" s="19"/>
      <c r="E460" s="10" t="str">
        <f t="shared" si="7"/>
        <v/>
      </c>
      <c r="F460" s="18"/>
    </row>
    <row r="461" spans="1:6" x14ac:dyDescent="0.3">
      <c r="A461" s="17"/>
      <c r="B461" s="18"/>
      <c r="C461" s="18"/>
      <c r="D461" s="19"/>
      <c r="E461" s="10" t="str">
        <f t="shared" si="7"/>
        <v/>
      </c>
      <c r="F461" s="18"/>
    </row>
    <row r="462" spans="1:6" x14ac:dyDescent="0.3">
      <c r="A462" s="17"/>
      <c r="B462" s="18"/>
      <c r="C462" s="18"/>
      <c r="D462" s="19"/>
      <c r="E462" s="10" t="str">
        <f t="shared" si="7"/>
        <v/>
      </c>
      <c r="F462" s="18"/>
    </row>
    <row r="463" spans="1:6" x14ac:dyDescent="0.3">
      <c r="A463" s="17"/>
      <c r="B463" s="18"/>
      <c r="C463" s="18"/>
      <c r="D463" s="19"/>
      <c r="E463" s="10" t="str">
        <f t="shared" si="7"/>
        <v/>
      </c>
      <c r="F463" s="18"/>
    </row>
    <row r="464" spans="1:6" x14ac:dyDescent="0.3">
      <c r="A464" s="17"/>
      <c r="B464" s="18"/>
      <c r="C464" s="18"/>
      <c r="D464" s="19"/>
      <c r="E464" s="10" t="str">
        <f t="shared" si="7"/>
        <v/>
      </c>
      <c r="F464" s="18"/>
    </row>
    <row r="465" spans="1:6" x14ac:dyDescent="0.3">
      <c r="A465" s="17"/>
      <c r="B465" s="18"/>
      <c r="C465" s="18"/>
      <c r="D465" s="19"/>
      <c r="E465" s="10" t="str">
        <f t="shared" si="7"/>
        <v/>
      </c>
      <c r="F465" s="18"/>
    </row>
    <row r="466" spans="1:6" x14ac:dyDescent="0.3">
      <c r="A466" s="17"/>
      <c r="B466" s="18"/>
      <c r="C466" s="18"/>
      <c r="D466" s="19"/>
      <c r="E466" s="10" t="str">
        <f t="shared" si="7"/>
        <v/>
      </c>
      <c r="F466" s="18"/>
    </row>
    <row r="467" spans="1:6" x14ac:dyDescent="0.3">
      <c r="A467" s="17"/>
      <c r="B467" s="18"/>
      <c r="C467" s="18"/>
      <c r="D467" s="19"/>
      <c r="E467" s="10" t="str">
        <f t="shared" si="7"/>
        <v/>
      </c>
      <c r="F467" s="18"/>
    </row>
    <row r="468" spans="1:6" x14ac:dyDescent="0.3">
      <c r="A468" s="17"/>
      <c r="B468" s="18"/>
      <c r="C468" s="18"/>
      <c r="D468" s="19"/>
      <c r="E468" s="10" t="str">
        <f t="shared" si="7"/>
        <v/>
      </c>
      <c r="F468" s="18"/>
    </row>
    <row r="469" spans="1:6" x14ac:dyDescent="0.3">
      <c r="A469" s="17"/>
      <c r="B469" s="18"/>
      <c r="C469" s="18"/>
      <c r="D469" s="19"/>
      <c r="E469" s="10" t="str">
        <f t="shared" si="7"/>
        <v/>
      </c>
      <c r="F469" s="18"/>
    </row>
    <row r="470" spans="1:6" x14ac:dyDescent="0.3">
      <c r="A470" s="17"/>
      <c r="B470" s="18"/>
      <c r="C470" s="18"/>
      <c r="D470" s="19"/>
      <c r="E470" s="10" t="str">
        <f t="shared" si="7"/>
        <v/>
      </c>
      <c r="F470" s="18"/>
    </row>
    <row r="471" spans="1:6" x14ac:dyDescent="0.3">
      <c r="A471" s="17"/>
      <c r="B471" s="18"/>
      <c r="C471" s="18"/>
      <c r="D471" s="19"/>
      <c r="E471" s="10" t="str">
        <f t="shared" si="7"/>
        <v/>
      </c>
      <c r="F471" s="18"/>
    </row>
    <row r="472" spans="1:6" x14ac:dyDescent="0.3">
      <c r="A472" s="17"/>
      <c r="B472" s="18"/>
      <c r="C472" s="18"/>
      <c r="D472" s="19"/>
      <c r="E472" s="10" t="str">
        <f t="shared" si="7"/>
        <v/>
      </c>
      <c r="F472" s="18"/>
    </row>
    <row r="473" spans="1:6" x14ac:dyDescent="0.3">
      <c r="A473" s="17"/>
      <c r="B473" s="18"/>
      <c r="C473" s="18"/>
      <c r="D473" s="19"/>
      <c r="E473" s="10" t="str">
        <f t="shared" si="7"/>
        <v/>
      </c>
      <c r="F473" s="18"/>
    </row>
    <row r="474" spans="1:6" x14ac:dyDescent="0.3">
      <c r="A474" s="17"/>
      <c r="B474" s="18"/>
      <c r="C474" s="18"/>
      <c r="D474" s="19"/>
      <c r="E474" s="10" t="str">
        <f t="shared" si="7"/>
        <v/>
      </c>
      <c r="F474" s="18"/>
    </row>
    <row r="475" spans="1:6" x14ac:dyDescent="0.3">
      <c r="A475" s="17"/>
      <c r="B475" s="18"/>
      <c r="C475" s="18"/>
      <c r="D475" s="19"/>
      <c r="E475" s="10" t="str">
        <f t="shared" si="7"/>
        <v/>
      </c>
      <c r="F475" s="18"/>
    </row>
    <row r="476" spans="1:6" x14ac:dyDescent="0.3">
      <c r="A476" s="17"/>
      <c r="B476" s="18"/>
      <c r="C476" s="18"/>
      <c r="D476" s="19"/>
      <c r="E476" s="10" t="str">
        <f t="shared" si="7"/>
        <v/>
      </c>
      <c r="F476" s="18"/>
    </row>
    <row r="477" spans="1:6" x14ac:dyDescent="0.3">
      <c r="A477" s="17"/>
      <c r="B477" s="18"/>
      <c r="C477" s="18"/>
      <c r="D477" s="19"/>
      <c r="E477" s="10" t="str">
        <f t="shared" si="7"/>
        <v/>
      </c>
      <c r="F477" s="18"/>
    </row>
    <row r="478" spans="1:6" x14ac:dyDescent="0.3">
      <c r="A478" s="17"/>
      <c r="B478" s="18"/>
      <c r="C478" s="18"/>
      <c r="D478" s="19"/>
      <c r="E478" s="10" t="str">
        <f t="shared" si="7"/>
        <v/>
      </c>
      <c r="F478" s="18"/>
    </row>
    <row r="479" spans="1:6" x14ac:dyDescent="0.3">
      <c r="A479" s="17"/>
      <c r="B479" s="18"/>
      <c r="C479" s="18"/>
      <c r="D479" s="19"/>
      <c r="E479" s="10" t="str">
        <f t="shared" si="7"/>
        <v/>
      </c>
      <c r="F479" s="18"/>
    </row>
    <row r="480" spans="1:6" x14ac:dyDescent="0.3">
      <c r="A480" s="17"/>
      <c r="B480" s="18"/>
      <c r="C480" s="18"/>
      <c r="D480" s="19"/>
      <c r="E480" s="10" t="str">
        <f t="shared" si="7"/>
        <v/>
      </c>
      <c r="F480" s="18"/>
    </row>
    <row r="481" spans="1:6" x14ac:dyDescent="0.3">
      <c r="A481" s="17"/>
      <c r="B481" s="18"/>
      <c r="C481" s="18"/>
      <c r="D481" s="19"/>
      <c r="E481" s="10" t="str">
        <f t="shared" si="7"/>
        <v/>
      </c>
      <c r="F481" s="18"/>
    </row>
    <row r="482" spans="1:6" x14ac:dyDescent="0.3">
      <c r="A482" s="17"/>
      <c r="B482" s="18"/>
      <c r="C482" s="18"/>
      <c r="D482" s="19"/>
      <c r="E482" s="10" t="str">
        <f t="shared" si="7"/>
        <v/>
      </c>
      <c r="F482" s="18"/>
    </row>
    <row r="483" spans="1:6" x14ac:dyDescent="0.3">
      <c r="A483" s="17"/>
      <c r="B483" s="18"/>
      <c r="C483" s="18"/>
      <c r="D483" s="19"/>
      <c r="E483" s="10" t="str">
        <f t="shared" si="7"/>
        <v/>
      </c>
      <c r="F483" s="18"/>
    </row>
    <row r="484" spans="1:6" x14ac:dyDescent="0.3">
      <c r="A484" s="17"/>
      <c r="B484" s="18"/>
      <c r="C484" s="18"/>
      <c r="D484" s="19"/>
      <c r="E484" s="10" t="str">
        <f t="shared" si="7"/>
        <v/>
      </c>
      <c r="F484" s="18"/>
    </row>
    <row r="485" spans="1:6" x14ac:dyDescent="0.3">
      <c r="A485" s="17"/>
      <c r="B485" s="18"/>
      <c r="C485" s="18"/>
      <c r="D485" s="19"/>
      <c r="E485" s="10" t="str">
        <f t="shared" si="7"/>
        <v/>
      </c>
      <c r="F485" s="18"/>
    </row>
    <row r="486" spans="1:6" x14ac:dyDescent="0.3">
      <c r="A486" s="17"/>
      <c r="B486" s="18"/>
      <c r="C486" s="18"/>
      <c r="D486" s="19"/>
      <c r="E486" s="10" t="str">
        <f t="shared" si="7"/>
        <v/>
      </c>
      <c r="F486" s="18"/>
    </row>
    <row r="487" spans="1:6" x14ac:dyDescent="0.3">
      <c r="A487" s="17"/>
      <c r="B487" s="18"/>
      <c r="C487" s="18"/>
      <c r="D487" s="19"/>
      <c r="E487" s="10" t="str">
        <f t="shared" si="7"/>
        <v/>
      </c>
      <c r="F487" s="18"/>
    </row>
    <row r="488" spans="1:6" x14ac:dyDescent="0.3">
      <c r="A488" s="17"/>
      <c r="B488" s="18"/>
      <c r="C488" s="18"/>
      <c r="D488" s="19"/>
      <c r="E488" s="10" t="str">
        <f t="shared" si="7"/>
        <v/>
      </c>
      <c r="F488" s="18"/>
    </row>
    <row r="489" spans="1:6" x14ac:dyDescent="0.3">
      <c r="A489" s="17"/>
      <c r="B489" s="18"/>
      <c r="C489" s="18"/>
      <c r="D489" s="19"/>
      <c r="E489" s="10" t="str">
        <f t="shared" si="7"/>
        <v/>
      </c>
      <c r="F489" s="18"/>
    </row>
    <row r="490" spans="1:6" x14ac:dyDescent="0.3">
      <c r="A490" s="17"/>
      <c r="B490" s="18"/>
      <c r="C490" s="18"/>
      <c r="D490" s="19"/>
      <c r="E490" s="10" t="str">
        <f t="shared" si="7"/>
        <v/>
      </c>
      <c r="F490" s="18"/>
    </row>
    <row r="491" spans="1:6" x14ac:dyDescent="0.3">
      <c r="A491" s="17"/>
      <c r="B491" s="18"/>
      <c r="C491" s="18"/>
      <c r="D491" s="19"/>
      <c r="E491" s="10" t="str">
        <f t="shared" si="7"/>
        <v/>
      </c>
      <c r="F491" s="18"/>
    </row>
    <row r="492" spans="1:6" x14ac:dyDescent="0.3">
      <c r="A492" s="17"/>
      <c r="B492" s="18"/>
      <c r="C492" s="18"/>
      <c r="D492" s="19"/>
      <c r="E492" s="10" t="str">
        <f t="shared" si="7"/>
        <v/>
      </c>
      <c r="F492" s="18"/>
    </row>
    <row r="493" spans="1:6" x14ac:dyDescent="0.3">
      <c r="A493" s="17"/>
      <c r="B493" s="18"/>
      <c r="C493" s="18"/>
      <c r="D493" s="19"/>
      <c r="E493" s="10" t="str">
        <f t="shared" si="7"/>
        <v/>
      </c>
      <c r="F493" s="18"/>
    </row>
    <row r="494" spans="1:6" x14ac:dyDescent="0.3">
      <c r="A494" s="17"/>
      <c r="B494" s="18"/>
      <c r="C494" s="18"/>
      <c r="D494" s="19"/>
      <c r="E494" s="10" t="str">
        <f t="shared" si="7"/>
        <v/>
      </c>
      <c r="F494" s="18"/>
    </row>
    <row r="495" spans="1:6" x14ac:dyDescent="0.3">
      <c r="A495" s="17"/>
      <c r="B495" s="18"/>
      <c r="C495" s="18"/>
      <c r="D495" s="19"/>
      <c r="E495" s="10" t="str">
        <f t="shared" si="7"/>
        <v/>
      </c>
      <c r="F495" s="18"/>
    </row>
    <row r="496" spans="1:6" x14ac:dyDescent="0.3">
      <c r="A496" s="17"/>
      <c r="B496" s="18"/>
      <c r="C496" s="18"/>
      <c r="D496" s="19"/>
      <c r="E496" s="10" t="str">
        <f t="shared" si="7"/>
        <v/>
      </c>
      <c r="F496" s="18"/>
    </row>
    <row r="497" spans="1:6" x14ac:dyDescent="0.3">
      <c r="A497" s="17"/>
      <c r="B497" s="18"/>
      <c r="C497" s="18"/>
      <c r="D497" s="19"/>
      <c r="E497" s="10" t="str">
        <f t="shared" si="7"/>
        <v/>
      </c>
      <c r="F497" s="18"/>
    </row>
    <row r="498" spans="1:6" x14ac:dyDescent="0.3">
      <c r="A498" s="17"/>
      <c r="B498" s="18"/>
      <c r="C498" s="18"/>
      <c r="D498" s="19"/>
      <c r="E498" s="10" t="str">
        <f t="shared" si="7"/>
        <v/>
      </c>
      <c r="F498" s="18"/>
    </row>
    <row r="499" spans="1:6" x14ac:dyDescent="0.3">
      <c r="A499" s="17"/>
      <c r="B499" s="18"/>
      <c r="C499" s="18"/>
      <c r="D499" s="19"/>
      <c r="E499" s="10" t="str">
        <f t="shared" si="7"/>
        <v/>
      </c>
      <c r="F499" s="18"/>
    </row>
    <row r="500" spans="1:6" x14ac:dyDescent="0.3">
      <c r="A500" s="17"/>
      <c r="B500" s="18"/>
      <c r="C500" s="18"/>
      <c r="D500" s="19"/>
      <c r="E500" s="10" t="str">
        <f t="shared" si="7"/>
        <v/>
      </c>
      <c r="F500" s="18"/>
    </row>
    <row r="501" spans="1:6" x14ac:dyDescent="0.3">
      <c r="A501" s="17"/>
      <c r="B501" s="18"/>
      <c r="C501" s="18"/>
      <c r="D501" s="19"/>
      <c r="E501" s="10" t="str">
        <f t="shared" si="7"/>
        <v/>
      </c>
      <c r="F501" s="18"/>
    </row>
    <row r="502" spans="1:6" x14ac:dyDescent="0.3">
      <c r="A502" s="17"/>
      <c r="B502" s="18"/>
      <c r="C502" s="18"/>
      <c r="D502" s="19"/>
      <c r="E502" s="10" t="str">
        <f t="shared" si="7"/>
        <v/>
      </c>
      <c r="F502" s="18"/>
    </row>
    <row r="503" spans="1:6" x14ac:dyDescent="0.3">
      <c r="A503" s="17"/>
      <c r="B503" s="18"/>
      <c r="C503" s="18"/>
      <c r="D503" s="19"/>
      <c r="E503" s="10" t="str">
        <f t="shared" si="7"/>
        <v/>
      </c>
      <c r="F503" s="18"/>
    </row>
    <row r="504" spans="1:6" x14ac:dyDescent="0.3">
      <c r="A504" s="17"/>
      <c r="B504" s="18"/>
      <c r="C504" s="18"/>
      <c r="D504" s="19"/>
      <c r="E504" s="10" t="str">
        <f t="shared" si="7"/>
        <v/>
      </c>
      <c r="F504" s="18"/>
    </row>
    <row r="505" spans="1:6" x14ac:dyDescent="0.3">
      <c r="A505" s="17"/>
      <c r="B505" s="18"/>
      <c r="C505" s="18"/>
      <c r="D505" s="19"/>
      <c r="E505" s="10" t="str">
        <f t="shared" si="7"/>
        <v/>
      </c>
      <c r="F505" s="18"/>
    </row>
    <row r="506" spans="1:6" x14ac:dyDescent="0.3">
      <c r="A506" s="17"/>
      <c r="B506" s="18"/>
      <c r="C506" s="18"/>
      <c r="D506" s="19"/>
      <c r="E506" s="10" t="str">
        <f t="shared" si="7"/>
        <v/>
      </c>
      <c r="F506" s="18"/>
    </row>
    <row r="507" spans="1:6" x14ac:dyDescent="0.3">
      <c r="A507" s="17"/>
      <c r="B507" s="18"/>
      <c r="C507" s="18"/>
      <c r="D507" s="19"/>
      <c r="E507" s="10" t="str">
        <f t="shared" si="7"/>
        <v/>
      </c>
      <c r="F507" s="18"/>
    </row>
    <row r="508" spans="1:6" x14ac:dyDescent="0.3">
      <c r="A508" s="17"/>
      <c r="B508" s="18"/>
      <c r="C508" s="18"/>
      <c r="D508" s="19"/>
      <c r="E508" s="10" t="str">
        <f t="shared" si="7"/>
        <v/>
      </c>
      <c r="F508" s="18"/>
    </row>
    <row r="509" spans="1:6" x14ac:dyDescent="0.3">
      <c r="A509" s="17"/>
      <c r="B509" s="18"/>
      <c r="C509" s="18"/>
      <c r="D509" s="19"/>
      <c r="E509" s="10" t="str">
        <f t="shared" si="7"/>
        <v/>
      </c>
      <c r="F509" s="18"/>
    </row>
    <row r="510" spans="1:6" x14ac:dyDescent="0.3">
      <c r="A510" s="17"/>
      <c r="B510" s="18"/>
      <c r="C510" s="18"/>
      <c r="D510" s="19"/>
      <c r="E510" s="10" t="str">
        <f t="shared" si="7"/>
        <v/>
      </c>
      <c r="F510" s="18"/>
    </row>
    <row r="511" spans="1:6" x14ac:dyDescent="0.3">
      <c r="A511" s="17"/>
      <c r="B511" s="18"/>
      <c r="C511" s="18"/>
      <c r="D511" s="19"/>
      <c r="E511" s="10" t="str">
        <f t="shared" si="7"/>
        <v/>
      </c>
      <c r="F511" s="18"/>
    </row>
    <row r="512" spans="1:6" x14ac:dyDescent="0.3">
      <c r="A512" s="17"/>
      <c r="B512" s="18"/>
      <c r="C512" s="18"/>
      <c r="D512" s="19"/>
      <c r="E512" s="10" t="str">
        <f t="shared" si="7"/>
        <v/>
      </c>
      <c r="F512" s="18"/>
    </row>
    <row r="513" spans="1:6" x14ac:dyDescent="0.3">
      <c r="A513" s="17"/>
      <c r="B513" s="18"/>
      <c r="C513" s="18"/>
      <c r="D513" s="19"/>
      <c r="E513" s="10" t="str">
        <f t="shared" si="7"/>
        <v/>
      </c>
      <c r="F513" s="18"/>
    </row>
    <row r="514" spans="1:6" x14ac:dyDescent="0.3">
      <c r="A514" s="17"/>
      <c r="B514" s="18"/>
      <c r="C514" s="18"/>
      <c r="D514" s="19"/>
      <c r="E514" s="10" t="str">
        <f t="shared" si="7"/>
        <v/>
      </c>
      <c r="F514" s="18"/>
    </row>
    <row r="515" spans="1:6" x14ac:dyDescent="0.3">
      <c r="A515" s="17"/>
      <c r="B515" s="18"/>
      <c r="C515" s="18"/>
      <c r="D515" s="19"/>
      <c r="E515" s="10" t="str">
        <f t="shared" si="7"/>
        <v/>
      </c>
      <c r="F515" s="18"/>
    </row>
    <row r="516" spans="1:6" x14ac:dyDescent="0.3">
      <c r="A516" s="17"/>
      <c r="B516" s="18"/>
      <c r="C516" s="18"/>
      <c r="D516" s="19"/>
      <c r="E516" s="10" t="str">
        <f t="shared" si="7"/>
        <v/>
      </c>
      <c r="F516" s="18"/>
    </row>
    <row r="517" spans="1:6" x14ac:dyDescent="0.3">
      <c r="A517" s="17"/>
      <c r="B517" s="18"/>
      <c r="C517" s="18"/>
      <c r="D517" s="19"/>
      <c r="E517" s="10" t="str">
        <f t="shared" si="7"/>
        <v/>
      </c>
      <c r="F517" s="18"/>
    </row>
    <row r="518" spans="1:6" x14ac:dyDescent="0.3">
      <c r="A518" s="17"/>
      <c r="B518" s="18"/>
      <c r="C518" s="18"/>
      <c r="D518" s="19"/>
      <c r="E518" s="10" t="str">
        <f t="shared" ref="E518:E581" si="8">IF(OR(C518="",D518=""),"",C518*D518)</f>
        <v/>
      </c>
      <c r="F518" s="18"/>
    </row>
    <row r="519" spans="1:6" x14ac:dyDescent="0.3">
      <c r="A519" s="17"/>
      <c r="B519" s="18"/>
      <c r="C519" s="18"/>
      <c r="D519" s="19"/>
      <c r="E519" s="10" t="str">
        <f t="shared" si="8"/>
        <v/>
      </c>
      <c r="F519" s="18"/>
    </row>
    <row r="520" spans="1:6" x14ac:dyDescent="0.3">
      <c r="A520" s="17"/>
      <c r="B520" s="18"/>
      <c r="C520" s="18"/>
      <c r="D520" s="19"/>
      <c r="E520" s="10" t="str">
        <f t="shared" si="8"/>
        <v/>
      </c>
      <c r="F520" s="18"/>
    </row>
    <row r="521" spans="1:6" x14ac:dyDescent="0.3">
      <c r="A521" s="17"/>
      <c r="B521" s="18"/>
      <c r="C521" s="18"/>
      <c r="D521" s="19"/>
      <c r="E521" s="10" t="str">
        <f t="shared" si="8"/>
        <v/>
      </c>
      <c r="F521" s="18"/>
    </row>
    <row r="522" spans="1:6" x14ac:dyDescent="0.3">
      <c r="A522" s="17"/>
      <c r="B522" s="18"/>
      <c r="C522" s="18"/>
      <c r="D522" s="19"/>
      <c r="E522" s="10" t="str">
        <f t="shared" si="8"/>
        <v/>
      </c>
      <c r="F522" s="18"/>
    </row>
    <row r="523" spans="1:6" x14ac:dyDescent="0.3">
      <c r="A523" s="17"/>
      <c r="B523" s="18"/>
      <c r="C523" s="18"/>
      <c r="D523" s="19"/>
      <c r="E523" s="10" t="str">
        <f t="shared" si="8"/>
        <v/>
      </c>
      <c r="F523" s="18"/>
    </row>
    <row r="524" spans="1:6" x14ac:dyDescent="0.3">
      <c r="A524" s="17"/>
      <c r="B524" s="18"/>
      <c r="C524" s="18"/>
      <c r="D524" s="19"/>
      <c r="E524" s="10" t="str">
        <f t="shared" si="8"/>
        <v/>
      </c>
      <c r="F524" s="18"/>
    </row>
    <row r="525" spans="1:6" x14ac:dyDescent="0.3">
      <c r="A525" s="17"/>
      <c r="B525" s="18"/>
      <c r="C525" s="18"/>
      <c r="D525" s="19"/>
      <c r="E525" s="10" t="str">
        <f t="shared" si="8"/>
        <v/>
      </c>
      <c r="F525" s="18"/>
    </row>
    <row r="526" spans="1:6" x14ac:dyDescent="0.3">
      <c r="A526" s="17"/>
      <c r="B526" s="18"/>
      <c r="C526" s="18"/>
      <c r="D526" s="19"/>
      <c r="E526" s="10" t="str">
        <f t="shared" si="8"/>
        <v/>
      </c>
      <c r="F526" s="18"/>
    </row>
    <row r="527" spans="1:6" x14ac:dyDescent="0.3">
      <c r="A527" s="17"/>
      <c r="B527" s="18"/>
      <c r="C527" s="18"/>
      <c r="D527" s="19"/>
      <c r="E527" s="10" t="str">
        <f t="shared" si="8"/>
        <v/>
      </c>
      <c r="F527" s="18"/>
    </row>
    <row r="528" spans="1:6" x14ac:dyDescent="0.3">
      <c r="A528" s="17"/>
      <c r="B528" s="18"/>
      <c r="C528" s="18"/>
      <c r="D528" s="19"/>
      <c r="E528" s="10" t="str">
        <f t="shared" si="8"/>
        <v/>
      </c>
      <c r="F528" s="18"/>
    </row>
    <row r="529" spans="1:6" x14ac:dyDescent="0.3">
      <c r="A529" s="17"/>
      <c r="B529" s="18"/>
      <c r="C529" s="18"/>
      <c r="D529" s="19"/>
      <c r="E529" s="10" t="str">
        <f t="shared" si="8"/>
        <v/>
      </c>
      <c r="F529" s="18"/>
    </row>
    <row r="530" spans="1:6" x14ac:dyDescent="0.3">
      <c r="A530" s="17"/>
      <c r="B530" s="18"/>
      <c r="C530" s="18"/>
      <c r="D530" s="19"/>
      <c r="E530" s="10" t="str">
        <f t="shared" si="8"/>
        <v/>
      </c>
      <c r="F530" s="18"/>
    </row>
    <row r="531" spans="1:6" x14ac:dyDescent="0.3">
      <c r="A531" s="17"/>
      <c r="B531" s="18"/>
      <c r="C531" s="18"/>
      <c r="D531" s="19"/>
      <c r="E531" s="10" t="str">
        <f t="shared" si="8"/>
        <v/>
      </c>
      <c r="F531" s="18"/>
    </row>
    <row r="532" spans="1:6" x14ac:dyDescent="0.3">
      <c r="A532" s="17"/>
      <c r="B532" s="18"/>
      <c r="C532" s="18"/>
      <c r="D532" s="19"/>
      <c r="E532" s="10" t="str">
        <f t="shared" si="8"/>
        <v/>
      </c>
      <c r="F532" s="18"/>
    </row>
    <row r="533" spans="1:6" x14ac:dyDescent="0.3">
      <c r="A533" s="17"/>
      <c r="B533" s="18"/>
      <c r="C533" s="18"/>
      <c r="D533" s="19"/>
      <c r="E533" s="10" t="str">
        <f t="shared" si="8"/>
        <v/>
      </c>
      <c r="F533" s="18"/>
    </row>
    <row r="534" spans="1:6" x14ac:dyDescent="0.3">
      <c r="A534" s="17"/>
      <c r="B534" s="18"/>
      <c r="C534" s="18"/>
      <c r="D534" s="19"/>
      <c r="E534" s="10" t="str">
        <f t="shared" si="8"/>
        <v/>
      </c>
      <c r="F534" s="18"/>
    </row>
    <row r="535" spans="1:6" x14ac:dyDescent="0.3">
      <c r="A535" s="17"/>
      <c r="B535" s="18"/>
      <c r="C535" s="18"/>
      <c r="D535" s="19"/>
      <c r="E535" s="10" t="str">
        <f t="shared" si="8"/>
        <v/>
      </c>
      <c r="F535" s="18"/>
    </row>
    <row r="536" spans="1:6" x14ac:dyDescent="0.3">
      <c r="A536" s="17"/>
      <c r="B536" s="18"/>
      <c r="C536" s="18"/>
      <c r="D536" s="19"/>
      <c r="E536" s="10" t="str">
        <f t="shared" si="8"/>
        <v/>
      </c>
      <c r="F536" s="18"/>
    </row>
    <row r="537" spans="1:6" x14ac:dyDescent="0.3">
      <c r="A537" s="17"/>
      <c r="B537" s="18"/>
      <c r="C537" s="18"/>
      <c r="D537" s="19"/>
      <c r="E537" s="10" t="str">
        <f t="shared" si="8"/>
        <v/>
      </c>
      <c r="F537" s="18"/>
    </row>
    <row r="538" spans="1:6" x14ac:dyDescent="0.3">
      <c r="A538" s="17"/>
      <c r="B538" s="18"/>
      <c r="C538" s="18"/>
      <c r="D538" s="19"/>
      <c r="E538" s="10" t="str">
        <f t="shared" si="8"/>
        <v/>
      </c>
      <c r="F538" s="18"/>
    </row>
    <row r="539" spans="1:6" x14ac:dyDescent="0.3">
      <c r="A539" s="17"/>
      <c r="B539" s="18"/>
      <c r="C539" s="18"/>
      <c r="D539" s="19"/>
      <c r="E539" s="10" t="str">
        <f t="shared" si="8"/>
        <v/>
      </c>
      <c r="F539" s="18"/>
    </row>
    <row r="540" spans="1:6" x14ac:dyDescent="0.3">
      <c r="A540" s="17"/>
      <c r="B540" s="18"/>
      <c r="C540" s="18"/>
      <c r="D540" s="19"/>
      <c r="E540" s="10" t="str">
        <f t="shared" si="8"/>
        <v/>
      </c>
      <c r="F540" s="18"/>
    </row>
    <row r="541" spans="1:6" x14ac:dyDescent="0.3">
      <c r="A541" s="17"/>
      <c r="B541" s="18"/>
      <c r="C541" s="18"/>
      <c r="D541" s="19"/>
      <c r="E541" s="10" t="str">
        <f t="shared" si="8"/>
        <v/>
      </c>
      <c r="F541" s="18"/>
    </row>
    <row r="542" spans="1:6" x14ac:dyDescent="0.3">
      <c r="A542" s="17"/>
      <c r="B542" s="18"/>
      <c r="C542" s="18"/>
      <c r="D542" s="19"/>
      <c r="E542" s="10" t="str">
        <f t="shared" si="8"/>
        <v/>
      </c>
      <c r="F542" s="18"/>
    </row>
    <row r="543" spans="1:6" x14ac:dyDescent="0.3">
      <c r="A543" s="17"/>
      <c r="B543" s="18"/>
      <c r="C543" s="18"/>
      <c r="D543" s="19"/>
      <c r="E543" s="10" t="str">
        <f t="shared" si="8"/>
        <v/>
      </c>
      <c r="F543" s="18"/>
    </row>
    <row r="544" spans="1:6" x14ac:dyDescent="0.3">
      <c r="A544" s="17"/>
      <c r="B544" s="18"/>
      <c r="C544" s="18"/>
      <c r="D544" s="19"/>
      <c r="E544" s="10" t="str">
        <f t="shared" si="8"/>
        <v/>
      </c>
      <c r="F544" s="18"/>
    </row>
    <row r="545" spans="1:6" x14ac:dyDescent="0.3">
      <c r="A545" s="17"/>
      <c r="B545" s="18"/>
      <c r="C545" s="18"/>
      <c r="D545" s="19"/>
      <c r="E545" s="10" t="str">
        <f t="shared" si="8"/>
        <v/>
      </c>
      <c r="F545" s="18"/>
    </row>
    <row r="546" spans="1:6" x14ac:dyDescent="0.3">
      <c r="A546" s="17"/>
      <c r="B546" s="18"/>
      <c r="C546" s="18"/>
      <c r="D546" s="19"/>
      <c r="E546" s="10" t="str">
        <f t="shared" si="8"/>
        <v/>
      </c>
      <c r="F546" s="18"/>
    </row>
    <row r="547" spans="1:6" x14ac:dyDescent="0.3">
      <c r="A547" s="17"/>
      <c r="B547" s="18"/>
      <c r="C547" s="18"/>
      <c r="D547" s="19"/>
      <c r="E547" s="10" t="str">
        <f t="shared" si="8"/>
        <v/>
      </c>
      <c r="F547" s="18"/>
    </row>
    <row r="548" spans="1:6" x14ac:dyDescent="0.3">
      <c r="A548" s="17"/>
      <c r="B548" s="18"/>
      <c r="C548" s="18"/>
      <c r="D548" s="19"/>
      <c r="E548" s="10" t="str">
        <f t="shared" si="8"/>
        <v/>
      </c>
      <c r="F548" s="18"/>
    </row>
    <row r="549" spans="1:6" x14ac:dyDescent="0.3">
      <c r="A549" s="17"/>
      <c r="B549" s="18"/>
      <c r="C549" s="18"/>
      <c r="D549" s="19"/>
      <c r="E549" s="10" t="str">
        <f t="shared" si="8"/>
        <v/>
      </c>
      <c r="F549" s="18"/>
    </row>
    <row r="550" spans="1:6" x14ac:dyDescent="0.3">
      <c r="A550" s="17"/>
      <c r="B550" s="18"/>
      <c r="C550" s="18"/>
      <c r="D550" s="19"/>
      <c r="E550" s="10" t="str">
        <f t="shared" si="8"/>
        <v/>
      </c>
      <c r="F550" s="18"/>
    </row>
    <row r="551" spans="1:6" x14ac:dyDescent="0.3">
      <c r="A551" s="17"/>
      <c r="B551" s="18"/>
      <c r="C551" s="18"/>
      <c r="D551" s="19"/>
      <c r="E551" s="10" t="str">
        <f t="shared" si="8"/>
        <v/>
      </c>
      <c r="F551" s="18"/>
    </row>
    <row r="552" spans="1:6" x14ac:dyDescent="0.3">
      <c r="A552" s="17"/>
      <c r="B552" s="18"/>
      <c r="C552" s="18"/>
      <c r="D552" s="19"/>
      <c r="E552" s="10" t="str">
        <f t="shared" si="8"/>
        <v/>
      </c>
      <c r="F552" s="18"/>
    </row>
    <row r="553" spans="1:6" x14ac:dyDescent="0.3">
      <c r="A553" s="17"/>
      <c r="B553" s="18"/>
      <c r="C553" s="18"/>
      <c r="D553" s="19"/>
      <c r="E553" s="10" t="str">
        <f t="shared" si="8"/>
        <v/>
      </c>
      <c r="F553" s="18"/>
    </row>
    <row r="554" spans="1:6" x14ac:dyDescent="0.3">
      <c r="A554" s="17"/>
      <c r="B554" s="18"/>
      <c r="C554" s="18"/>
      <c r="D554" s="19"/>
      <c r="E554" s="10" t="str">
        <f t="shared" si="8"/>
        <v/>
      </c>
      <c r="F554" s="18"/>
    </row>
    <row r="555" spans="1:6" x14ac:dyDescent="0.3">
      <c r="A555" s="17"/>
      <c r="B555" s="18"/>
      <c r="C555" s="18"/>
      <c r="D555" s="19"/>
      <c r="E555" s="10" t="str">
        <f t="shared" si="8"/>
        <v/>
      </c>
      <c r="F555" s="18"/>
    </row>
    <row r="556" spans="1:6" x14ac:dyDescent="0.3">
      <c r="A556" s="17"/>
      <c r="B556" s="18"/>
      <c r="C556" s="18"/>
      <c r="D556" s="19"/>
      <c r="E556" s="10" t="str">
        <f t="shared" si="8"/>
        <v/>
      </c>
      <c r="F556" s="18"/>
    </row>
    <row r="557" spans="1:6" x14ac:dyDescent="0.3">
      <c r="A557" s="17"/>
      <c r="B557" s="18"/>
      <c r="C557" s="18"/>
      <c r="D557" s="19"/>
      <c r="E557" s="10" t="str">
        <f t="shared" si="8"/>
        <v/>
      </c>
      <c r="F557" s="18"/>
    </row>
    <row r="558" spans="1:6" x14ac:dyDescent="0.3">
      <c r="A558" s="17"/>
      <c r="B558" s="18"/>
      <c r="C558" s="18"/>
      <c r="D558" s="19"/>
      <c r="E558" s="10" t="str">
        <f t="shared" si="8"/>
        <v/>
      </c>
      <c r="F558" s="18"/>
    </row>
    <row r="559" spans="1:6" x14ac:dyDescent="0.3">
      <c r="A559" s="17"/>
      <c r="B559" s="18"/>
      <c r="C559" s="18"/>
      <c r="D559" s="19"/>
      <c r="E559" s="10" t="str">
        <f t="shared" si="8"/>
        <v/>
      </c>
      <c r="F559" s="18"/>
    </row>
    <row r="560" spans="1:6" x14ac:dyDescent="0.3">
      <c r="A560" s="17"/>
      <c r="B560" s="18"/>
      <c r="C560" s="18"/>
      <c r="D560" s="19"/>
      <c r="E560" s="10" t="str">
        <f t="shared" si="8"/>
        <v/>
      </c>
      <c r="F560" s="18"/>
    </row>
    <row r="561" spans="1:6" x14ac:dyDescent="0.3">
      <c r="A561" s="17"/>
      <c r="B561" s="18"/>
      <c r="C561" s="18"/>
      <c r="D561" s="19"/>
      <c r="E561" s="10" t="str">
        <f t="shared" si="8"/>
        <v/>
      </c>
      <c r="F561" s="18"/>
    </row>
    <row r="562" spans="1:6" x14ac:dyDescent="0.3">
      <c r="A562" s="17"/>
      <c r="B562" s="18"/>
      <c r="C562" s="18"/>
      <c r="D562" s="19"/>
      <c r="E562" s="10" t="str">
        <f t="shared" si="8"/>
        <v/>
      </c>
      <c r="F562" s="18"/>
    </row>
    <row r="563" spans="1:6" x14ac:dyDescent="0.3">
      <c r="A563" s="17"/>
      <c r="B563" s="18"/>
      <c r="C563" s="18"/>
      <c r="D563" s="19"/>
      <c r="E563" s="10" t="str">
        <f t="shared" si="8"/>
        <v/>
      </c>
      <c r="F563" s="18"/>
    </row>
    <row r="564" spans="1:6" x14ac:dyDescent="0.3">
      <c r="A564" s="17"/>
      <c r="B564" s="18"/>
      <c r="C564" s="18"/>
      <c r="D564" s="19"/>
      <c r="E564" s="10" t="str">
        <f t="shared" si="8"/>
        <v/>
      </c>
      <c r="F564" s="18"/>
    </row>
    <row r="565" spans="1:6" x14ac:dyDescent="0.3">
      <c r="A565" s="17"/>
      <c r="B565" s="18"/>
      <c r="C565" s="18"/>
      <c r="D565" s="19"/>
      <c r="E565" s="10" t="str">
        <f t="shared" si="8"/>
        <v/>
      </c>
      <c r="F565" s="18"/>
    </row>
    <row r="566" spans="1:6" x14ac:dyDescent="0.3">
      <c r="A566" s="17"/>
      <c r="B566" s="18"/>
      <c r="C566" s="18"/>
      <c r="D566" s="19"/>
      <c r="E566" s="10" t="str">
        <f t="shared" si="8"/>
        <v/>
      </c>
      <c r="F566" s="18"/>
    </row>
    <row r="567" spans="1:6" x14ac:dyDescent="0.3">
      <c r="A567" s="17"/>
      <c r="B567" s="18"/>
      <c r="C567" s="18"/>
      <c r="D567" s="19"/>
      <c r="E567" s="10" t="str">
        <f t="shared" si="8"/>
        <v/>
      </c>
      <c r="F567" s="18"/>
    </row>
    <row r="568" spans="1:6" x14ac:dyDescent="0.3">
      <c r="A568" s="17"/>
      <c r="B568" s="18"/>
      <c r="C568" s="18"/>
      <c r="D568" s="19"/>
      <c r="E568" s="10" t="str">
        <f t="shared" si="8"/>
        <v/>
      </c>
      <c r="F568" s="18"/>
    </row>
    <row r="569" spans="1:6" x14ac:dyDescent="0.3">
      <c r="A569" s="17"/>
      <c r="B569" s="18"/>
      <c r="C569" s="18"/>
      <c r="D569" s="19"/>
      <c r="E569" s="10" t="str">
        <f t="shared" si="8"/>
        <v/>
      </c>
      <c r="F569" s="18"/>
    </row>
    <row r="570" spans="1:6" x14ac:dyDescent="0.3">
      <c r="A570" s="17"/>
      <c r="B570" s="18"/>
      <c r="C570" s="18"/>
      <c r="D570" s="19"/>
      <c r="E570" s="10" t="str">
        <f t="shared" si="8"/>
        <v/>
      </c>
      <c r="F570" s="18"/>
    </row>
    <row r="571" spans="1:6" x14ac:dyDescent="0.3">
      <c r="A571" s="17"/>
      <c r="B571" s="18"/>
      <c r="C571" s="18"/>
      <c r="D571" s="19"/>
      <c r="E571" s="10" t="str">
        <f t="shared" si="8"/>
        <v/>
      </c>
      <c r="F571" s="18"/>
    </row>
    <row r="572" spans="1:6" x14ac:dyDescent="0.3">
      <c r="A572" s="17"/>
      <c r="B572" s="18"/>
      <c r="C572" s="18"/>
      <c r="D572" s="19"/>
      <c r="E572" s="10" t="str">
        <f t="shared" si="8"/>
        <v/>
      </c>
      <c r="F572" s="18"/>
    </row>
    <row r="573" spans="1:6" x14ac:dyDescent="0.3">
      <c r="A573" s="17"/>
      <c r="B573" s="18"/>
      <c r="C573" s="18"/>
      <c r="D573" s="19"/>
      <c r="E573" s="10" t="str">
        <f t="shared" si="8"/>
        <v/>
      </c>
      <c r="F573" s="18"/>
    </row>
    <row r="574" spans="1:6" x14ac:dyDescent="0.3">
      <c r="A574" s="17"/>
      <c r="B574" s="18"/>
      <c r="C574" s="18"/>
      <c r="D574" s="19"/>
      <c r="E574" s="10" t="str">
        <f t="shared" si="8"/>
        <v/>
      </c>
      <c r="F574" s="18"/>
    </row>
    <row r="575" spans="1:6" x14ac:dyDescent="0.3">
      <c r="A575" s="17"/>
      <c r="B575" s="18"/>
      <c r="C575" s="18"/>
      <c r="D575" s="19"/>
      <c r="E575" s="10" t="str">
        <f t="shared" si="8"/>
        <v/>
      </c>
      <c r="F575" s="18"/>
    </row>
    <row r="576" spans="1:6" x14ac:dyDescent="0.3">
      <c r="A576" s="17"/>
      <c r="B576" s="18"/>
      <c r="C576" s="18"/>
      <c r="D576" s="19"/>
      <c r="E576" s="10" t="str">
        <f t="shared" si="8"/>
        <v/>
      </c>
      <c r="F576" s="18"/>
    </row>
    <row r="577" spans="1:6" x14ac:dyDescent="0.3">
      <c r="A577" s="17"/>
      <c r="B577" s="18"/>
      <c r="C577" s="18"/>
      <c r="D577" s="19"/>
      <c r="E577" s="10" t="str">
        <f t="shared" si="8"/>
        <v/>
      </c>
      <c r="F577" s="18"/>
    </row>
    <row r="578" spans="1:6" x14ac:dyDescent="0.3">
      <c r="A578" s="17"/>
      <c r="B578" s="18"/>
      <c r="C578" s="18"/>
      <c r="D578" s="19"/>
      <c r="E578" s="10" t="str">
        <f t="shared" si="8"/>
        <v/>
      </c>
      <c r="F578" s="18"/>
    </row>
    <row r="579" spans="1:6" x14ac:dyDescent="0.3">
      <c r="A579" s="17"/>
      <c r="B579" s="18"/>
      <c r="C579" s="18"/>
      <c r="D579" s="19"/>
      <c r="E579" s="10" t="str">
        <f t="shared" si="8"/>
        <v/>
      </c>
      <c r="F579" s="18"/>
    </row>
    <row r="580" spans="1:6" x14ac:dyDescent="0.3">
      <c r="A580" s="17"/>
      <c r="B580" s="18"/>
      <c r="C580" s="18"/>
      <c r="D580" s="19"/>
      <c r="E580" s="10" t="str">
        <f t="shared" si="8"/>
        <v/>
      </c>
      <c r="F580" s="18"/>
    </row>
    <row r="581" spans="1:6" x14ac:dyDescent="0.3">
      <c r="A581" s="17"/>
      <c r="B581" s="18"/>
      <c r="C581" s="18"/>
      <c r="D581" s="19"/>
      <c r="E581" s="10" t="str">
        <f t="shared" si="8"/>
        <v/>
      </c>
      <c r="F581" s="18"/>
    </row>
    <row r="582" spans="1:6" x14ac:dyDescent="0.3">
      <c r="A582" s="17"/>
      <c r="B582" s="18"/>
      <c r="C582" s="18"/>
      <c r="D582" s="19"/>
      <c r="E582" s="10" t="str">
        <f t="shared" ref="E582:E645" si="9">IF(OR(C582="",D582=""),"",C582*D582)</f>
        <v/>
      </c>
      <c r="F582" s="18"/>
    </row>
    <row r="583" spans="1:6" x14ac:dyDescent="0.3">
      <c r="A583" s="17"/>
      <c r="B583" s="18"/>
      <c r="C583" s="18"/>
      <c r="D583" s="19"/>
      <c r="E583" s="10" t="str">
        <f t="shared" si="9"/>
        <v/>
      </c>
      <c r="F583" s="18"/>
    </row>
    <row r="584" spans="1:6" x14ac:dyDescent="0.3">
      <c r="A584" s="17"/>
      <c r="B584" s="18"/>
      <c r="C584" s="18"/>
      <c r="D584" s="19"/>
      <c r="E584" s="10" t="str">
        <f t="shared" si="9"/>
        <v/>
      </c>
      <c r="F584" s="18"/>
    </row>
    <row r="585" spans="1:6" x14ac:dyDescent="0.3">
      <c r="A585" s="17"/>
      <c r="B585" s="18"/>
      <c r="C585" s="18"/>
      <c r="D585" s="19"/>
      <c r="E585" s="10" t="str">
        <f t="shared" si="9"/>
        <v/>
      </c>
      <c r="F585" s="18"/>
    </row>
    <row r="586" spans="1:6" x14ac:dyDescent="0.3">
      <c r="A586" s="17"/>
      <c r="B586" s="18"/>
      <c r="C586" s="18"/>
      <c r="D586" s="19"/>
      <c r="E586" s="10" t="str">
        <f t="shared" si="9"/>
        <v/>
      </c>
      <c r="F586" s="18"/>
    </row>
    <row r="587" spans="1:6" x14ac:dyDescent="0.3">
      <c r="A587" s="17"/>
      <c r="B587" s="18"/>
      <c r="C587" s="18"/>
      <c r="D587" s="19"/>
      <c r="E587" s="10" t="str">
        <f t="shared" si="9"/>
        <v/>
      </c>
      <c r="F587" s="18"/>
    </row>
    <row r="588" spans="1:6" x14ac:dyDescent="0.3">
      <c r="A588" s="17"/>
      <c r="B588" s="18"/>
      <c r="C588" s="18"/>
      <c r="D588" s="19"/>
      <c r="E588" s="10" t="str">
        <f t="shared" si="9"/>
        <v/>
      </c>
      <c r="F588" s="18"/>
    </row>
    <row r="589" spans="1:6" x14ac:dyDescent="0.3">
      <c r="A589" s="17"/>
      <c r="B589" s="18"/>
      <c r="C589" s="18"/>
      <c r="D589" s="19"/>
      <c r="E589" s="10" t="str">
        <f t="shared" si="9"/>
        <v/>
      </c>
      <c r="F589" s="18"/>
    </row>
    <row r="590" spans="1:6" x14ac:dyDescent="0.3">
      <c r="A590" s="17"/>
      <c r="B590" s="18"/>
      <c r="C590" s="18"/>
      <c r="D590" s="19"/>
      <c r="E590" s="10" t="str">
        <f t="shared" si="9"/>
        <v/>
      </c>
      <c r="F590" s="18"/>
    </row>
    <row r="591" spans="1:6" x14ac:dyDescent="0.3">
      <c r="A591" s="17"/>
      <c r="B591" s="18"/>
      <c r="C591" s="18"/>
      <c r="D591" s="19"/>
      <c r="E591" s="10" t="str">
        <f t="shared" si="9"/>
        <v/>
      </c>
      <c r="F591" s="18"/>
    </row>
    <row r="592" spans="1:6" x14ac:dyDescent="0.3">
      <c r="A592" s="17"/>
      <c r="B592" s="18"/>
      <c r="C592" s="18"/>
      <c r="D592" s="19"/>
      <c r="E592" s="10" t="str">
        <f t="shared" si="9"/>
        <v/>
      </c>
      <c r="F592" s="18"/>
    </row>
    <row r="593" spans="1:6" x14ac:dyDescent="0.3">
      <c r="A593" s="17"/>
      <c r="B593" s="18"/>
      <c r="C593" s="18"/>
      <c r="D593" s="19"/>
      <c r="E593" s="10" t="str">
        <f t="shared" si="9"/>
        <v/>
      </c>
      <c r="F593" s="18"/>
    </row>
    <row r="594" spans="1:6" x14ac:dyDescent="0.3">
      <c r="A594" s="17"/>
      <c r="B594" s="18"/>
      <c r="C594" s="18"/>
      <c r="D594" s="19"/>
      <c r="E594" s="10" t="str">
        <f t="shared" si="9"/>
        <v/>
      </c>
      <c r="F594" s="18"/>
    </row>
    <row r="595" spans="1:6" x14ac:dyDescent="0.3">
      <c r="A595" s="17"/>
      <c r="B595" s="18"/>
      <c r="C595" s="18"/>
      <c r="D595" s="19"/>
      <c r="E595" s="10" t="str">
        <f t="shared" si="9"/>
        <v/>
      </c>
      <c r="F595" s="18"/>
    </row>
    <row r="596" spans="1:6" x14ac:dyDescent="0.3">
      <c r="A596" s="17"/>
      <c r="B596" s="18"/>
      <c r="C596" s="18"/>
      <c r="D596" s="19"/>
      <c r="E596" s="10" t="str">
        <f t="shared" si="9"/>
        <v/>
      </c>
      <c r="F596" s="18"/>
    </row>
    <row r="597" spans="1:6" x14ac:dyDescent="0.3">
      <c r="A597" s="17"/>
      <c r="B597" s="18"/>
      <c r="C597" s="18"/>
      <c r="D597" s="19"/>
      <c r="E597" s="10" t="str">
        <f t="shared" si="9"/>
        <v/>
      </c>
      <c r="F597" s="18"/>
    </row>
    <row r="598" spans="1:6" x14ac:dyDescent="0.3">
      <c r="A598" s="17"/>
      <c r="B598" s="18"/>
      <c r="C598" s="18"/>
      <c r="D598" s="19"/>
      <c r="E598" s="10" t="str">
        <f t="shared" si="9"/>
        <v/>
      </c>
      <c r="F598" s="18"/>
    </row>
    <row r="599" spans="1:6" x14ac:dyDescent="0.3">
      <c r="A599" s="17"/>
      <c r="B599" s="18"/>
      <c r="C599" s="18"/>
      <c r="D599" s="19"/>
      <c r="E599" s="10" t="str">
        <f t="shared" si="9"/>
        <v/>
      </c>
      <c r="F599" s="18"/>
    </row>
    <row r="600" spans="1:6" x14ac:dyDescent="0.3">
      <c r="A600" s="17"/>
      <c r="B600" s="18"/>
      <c r="C600" s="18"/>
      <c r="D600" s="19"/>
      <c r="E600" s="10" t="str">
        <f t="shared" si="9"/>
        <v/>
      </c>
      <c r="F600" s="18"/>
    </row>
    <row r="601" spans="1:6" x14ac:dyDescent="0.3">
      <c r="A601" s="17"/>
      <c r="B601" s="18"/>
      <c r="C601" s="18"/>
      <c r="D601" s="19"/>
      <c r="E601" s="10" t="str">
        <f t="shared" si="9"/>
        <v/>
      </c>
      <c r="F601" s="18"/>
    </row>
    <row r="602" spans="1:6" x14ac:dyDescent="0.3">
      <c r="A602" s="17"/>
      <c r="B602" s="18"/>
      <c r="C602" s="18"/>
      <c r="D602" s="19"/>
      <c r="E602" s="10" t="str">
        <f t="shared" si="9"/>
        <v/>
      </c>
      <c r="F602" s="18"/>
    </row>
    <row r="603" spans="1:6" x14ac:dyDescent="0.3">
      <c r="A603" s="17"/>
      <c r="B603" s="18"/>
      <c r="C603" s="18"/>
      <c r="D603" s="19"/>
      <c r="E603" s="10" t="str">
        <f t="shared" si="9"/>
        <v/>
      </c>
      <c r="F603" s="18"/>
    </row>
    <row r="604" spans="1:6" x14ac:dyDescent="0.3">
      <c r="A604" s="17"/>
      <c r="B604" s="18"/>
      <c r="C604" s="18"/>
      <c r="D604" s="19"/>
      <c r="E604" s="10" t="str">
        <f t="shared" si="9"/>
        <v/>
      </c>
      <c r="F604" s="18"/>
    </row>
    <row r="605" spans="1:6" x14ac:dyDescent="0.3">
      <c r="A605" s="17"/>
      <c r="B605" s="18"/>
      <c r="C605" s="18"/>
      <c r="D605" s="19"/>
      <c r="E605" s="10" t="str">
        <f t="shared" si="9"/>
        <v/>
      </c>
      <c r="F605" s="18"/>
    </row>
    <row r="606" spans="1:6" x14ac:dyDescent="0.3">
      <c r="A606" s="17"/>
      <c r="B606" s="18"/>
      <c r="C606" s="18"/>
      <c r="D606" s="19"/>
      <c r="E606" s="10" t="str">
        <f t="shared" si="9"/>
        <v/>
      </c>
      <c r="F606" s="18"/>
    </row>
    <row r="607" spans="1:6" x14ac:dyDescent="0.3">
      <c r="A607" s="17"/>
      <c r="B607" s="18"/>
      <c r="C607" s="18"/>
      <c r="D607" s="19"/>
      <c r="E607" s="10" t="str">
        <f t="shared" si="9"/>
        <v/>
      </c>
      <c r="F607" s="18"/>
    </row>
    <row r="608" spans="1:6" x14ac:dyDescent="0.3">
      <c r="A608" s="17"/>
      <c r="B608" s="18"/>
      <c r="C608" s="18"/>
      <c r="D608" s="19"/>
      <c r="E608" s="10" t="str">
        <f t="shared" si="9"/>
        <v/>
      </c>
      <c r="F608" s="18"/>
    </row>
    <row r="609" spans="1:6" x14ac:dyDescent="0.3">
      <c r="A609" s="17"/>
      <c r="B609" s="18"/>
      <c r="C609" s="18"/>
      <c r="D609" s="19"/>
      <c r="E609" s="10" t="str">
        <f t="shared" si="9"/>
        <v/>
      </c>
      <c r="F609" s="18"/>
    </row>
    <row r="610" spans="1:6" x14ac:dyDescent="0.3">
      <c r="A610" s="17"/>
      <c r="B610" s="18"/>
      <c r="C610" s="18"/>
      <c r="D610" s="19"/>
      <c r="E610" s="10" t="str">
        <f t="shared" si="9"/>
        <v/>
      </c>
      <c r="F610" s="18"/>
    </row>
    <row r="611" spans="1:6" x14ac:dyDescent="0.3">
      <c r="A611" s="17"/>
      <c r="B611" s="18"/>
      <c r="C611" s="18"/>
      <c r="D611" s="19"/>
      <c r="E611" s="10" t="str">
        <f t="shared" si="9"/>
        <v/>
      </c>
      <c r="F611" s="18"/>
    </row>
    <row r="612" spans="1:6" x14ac:dyDescent="0.3">
      <c r="A612" s="17"/>
      <c r="B612" s="18"/>
      <c r="C612" s="18"/>
      <c r="D612" s="19"/>
      <c r="E612" s="10" t="str">
        <f t="shared" si="9"/>
        <v/>
      </c>
      <c r="F612" s="18"/>
    </row>
    <row r="613" spans="1:6" x14ac:dyDescent="0.3">
      <c r="A613" s="17"/>
      <c r="B613" s="18"/>
      <c r="C613" s="18"/>
      <c r="D613" s="19"/>
      <c r="E613" s="10" t="str">
        <f t="shared" si="9"/>
        <v/>
      </c>
      <c r="F613" s="18"/>
    </row>
    <row r="614" spans="1:6" x14ac:dyDescent="0.3">
      <c r="A614" s="17"/>
      <c r="B614" s="18"/>
      <c r="C614" s="18"/>
      <c r="D614" s="19"/>
      <c r="E614" s="10" t="str">
        <f t="shared" si="9"/>
        <v/>
      </c>
      <c r="F614" s="18"/>
    </row>
    <row r="615" spans="1:6" x14ac:dyDescent="0.3">
      <c r="A615" s="17"/>
      <c r="B615" s="18"/>
      <c r="C615" s="18"/>
      <c r="D615" s="19"/>
      <c r="E615" s="10" t="str">
        <f t="shared" si="9"/>
        <v/>
      </c>
      <c r="F615" s="18"/>
    </row>
    <row r="616" spans="1:6" x14ac:dyDescent="0.3">
      <c r="A616" s="17"/>
      <c r="B616" s="18"/>
      <c r="C616" s="18"/>
      <c r="D616" s="19"/>
      <c r="E616" s="10" t="str">
        <f t="shared" si="9"/>
        <v/>
      </c>
      <c r="F616" s="18"/>
    </row>
    <row r="617" spans="1:6" x14ac:dyDescent="0.3">
      <c r="A617" s="17"/>
      <c r="B617" s="18"/>
      <c r="C617" s="18"/>
      <c r="D617" s="19"/>
      <c r="E617" s="10" t="str">
        <f t="shared" si="9"/>
        <v/>
      </c>
      <c r="F617" s="18"/>
    </row>
    <row r="618" spans="1:6" x14ac:dyDescent="0.3">
      <c r="A618" s="17"/>
      <c r="B618" s="18"/>
      <c r="C618" s="18"/>
      <c r="D618" s="19"/>
      <c r="E618" s="10" t="str">
        <f t="shared" si="9"/>
        <v/>
      </c>
      <c r="F618" s="18"/>
    </row>
    <row r="619" spans="1:6" x14ac:dyDescent="0.3">
      <c r="A619" s="17"/>
      <c r="B619" s="18"/>
      <c r="C619" s="18"/>
      <c r="D619" s="19"/>
      <c r="E619" s="10" t="str">
        <f t="shared" si="9"/>
        <v/>
      </c>
      <c r="F619" s="18"/>
    </row>
    <row r="620" spans="1:6" x14ac:dyDescent="0.3">
      <c r="A620" s="17"/>
      <c r="B620" s="18"/>
      <c r="C620" s="18"/>
      <c r="D620" s="19"/>
      <c r="E620" s="10" t="str">
        <f t="shared" si="9"/>
        <v/>
      </c>
      <c r="F620" s="18"/>
    </row>
    <row r="621" spans="1:6" x14ac:dyDescent="0.3">
      <c r="A621" s="17"/>
      <c r="B621" s="18"/>
      <c r="C621" s="18"/>
      <c r="D621" s="19"/>
      <c r="E621" s="10" t="str">
        <f t="shared" si="9"/>
        <v/>
      </c>
      <c r="F621" s="18"/>
    </row>
    <row r="622" spans="1:6" x14ac:dyDescent="0.3">
      <c r="A622" s="17"/>
      <c r="B622" s="18"/>
      <c r="C622" s="18"/>
      <c r="D622" s="19"/>
      <c r="E622" s="10" t="str">
        <f t="shared" si="9"/>
        <v/>
      </c>
      <c r="F622" s="18"/>
    </row>
    <row r="623" spans="1:6" x14ac:dyDescent="0.3">
      <c r="A623" s="17"/>
      <c r="B623" s="18"/>
      <c r="C623" s="18"/>
      <c r="D623" s="19"/>
      <c r="E623" s="10" t="str">
        <f t="shared" si="9"/>
        <v/>
      </c>
      <c r="F623" s="18"/>
    </row>
    <row r="624" spans="1:6" x14ac:dyDescent="0.3">
      <c r="A624" s="17"/>
      <c r="B624" s="18"/>
      <c r="C624" s="18"/>
      <c r="D624" s="19"/>
      <c r="E624" s="10" t="str">
        <f t="shared" si="9"/>
        <v/>
      </c>
      <c r="F624" s="18"/>
    </row>
    <row r="625" spans="1:6" x14ac:dyDescent="0.3">
      <c r="A625" s="17"/>
      <c r="B625" s="18"/>
      <c r="C625" s="18"/>
      <c r="D625" s="19"/>
      <c r="E625" s="10" t="str">
        <f t="shared" si="9"/>
        <v/>
      </c>
      <c r="F625" s="18"/>
    </row>
    <row r="626" spans="1:6" x14ac:dyDescent="0.3">
      <c r="A626" s="17"/>
      <c r="B626" s="18"/>
      <c r="C626" s="18"/>
      <c r="D626" s="19"/>
      <c r="E626" s="10" t="str">
        <f t="shared" si="9"/>
        <v/>
      </c>
      <c r="F626" s="18"/>
    </row>
    <row r="627" spans="1:6" x14ac:dyDescent="0.3">
      <c r="A627" s="17"/>
      <c r="B627" s="18"/>
      <c r="C627" s="18"/>
      <c r="D627" s="19"/>
      <c r="E627" s="10" t="str">
        <f t="shared" si="9"/>
        <v/>
      </c>
      <c r="F627" s="18"/>
    </row>
    <row r="628" spans="1:6" x14ac:dyDescent="0.3">
      <c r="A628" s="17"/>
      <c r="B628" s="18"/>
      <c r="C628" s="18"/>
      <c r="D628" s="19"/>
      <c r="E628" s="10" t="str">
        <f t="shared" si="9"/>
        <v/>
      </c>
      <c r="F628" s="18"/>
    </row>
    <row r="629" spans="1:6" x14ac:dyDescent="0.3">
      <c r="A629" s="17"/>
      <c r="B629" s="18"/>
      <c r="C629" s="18"/>
      <c r="D629" s="19"/>
      <c r="E629" s="10" t="str">
        <f t="shared" si="9"/>
        <v/>
      </c>
      <c r="F629" s="18"/>
    </row>
    <row r="630" spans="1:6" x14ac:dyDescent="0.3">
      <c r="A630" s="17"/>
      <c r="B630" s="18"/>
      <c r="C630" s="18"/>
      <c r="D630" s="19"/>
      <c r="E630" s="10" t="str">
        <f t="shared" si="9"/>
        <v/>
      </c>
      <c r="F630" s="18"/>
    </row>
    <row r="631" spans="1:6" x14ac:dyDescent="0.3">
      <c r="A631" s="17"/>
      <c r="B631" s="18"/>
      <c r="C631" s="18"/>
      <c r="D631" s="19"/>
      <c r="E631" s="10" t="str">
        <f t="shared" si="9"/>
        <v/>
      </c>
      <c r="F631" s="18"/>
    </row>
    <row r="632" spans="1:6" x14ac:dyDescent="0.3">
      <c r="A632" s="17"/>
      <c r="B632" s="18"/>
      <c r="C632" s="18"/>
      <c r="D632" s="19"/>
      <c r="E632" s="10" t="str">
        <f t="shared" si="9"/>
        <v/>
      </c>
      <c r="F632" s="18"/>
    </row>
    <row r="633" spans="1:6" x14ac:dyDescent="0.3">
      <c r="A633" s="17"/>
      <c r="B633" s="18"/>
      <c r="C633" s="18"/>
      <c r="D633" s="19"/>
      <c r="E633" s="10" t="str">
        <f t="shared" si="9"/>
        <v/>
      </c>
      <c r="F633" s="18"/>
    </row>
    <row r="634" spans="1:6" x14ac:dyDescent="0.3">
      <c r="A634" s="17"/>
      <c r="B634" s="18"/>
      <c r="C634" s="18"/>
      <c r="D634" s="19"/>
      <c r="E634" s="10" t="str">
        <f t="shared" si="9"/>
        <v/>
      </c>
      <c r="F634" s="18"/>
    </row>
    <row r="635" spans="1:6" x14ac:dyDescent="0.3">
      <c r="A635" s="17"/>
      <c r="B635" s="18"/>
      <c r="C635" s="18"/>
      <c r="D635" s="19"/>
      <c r="E635" s="10" t="str">
        <f t="shared" si="9"/>
        <v/>
      </c>
      <c r="F635" s="18"/>
    </row>
    <row r="636" spans="1:6" x14ac:dyDescent="0.3">
      <c r="A636" s="17"/>
      <c r="B636" s="18"/>
      <c r="C636" s="18"/>
      <c r="D636" s="19"/>
      <c r="E636" s="10" t="str">
        <f t="shared" si="9"/>
        <v/>
      </c>
      <c r="F636" s="18"/>
    </row>
    <row r="637" spans="1:6" x14ac:dyDescent="0.3">
      <c r="A637" s="17"/>
      <c r="B637" s="18"/>
      <c r="C637" s="18"/>
      <c r="D637" s="19"/>
      <c r="E637" s="10" t="str">
        <f t="shared" si="9"/>
        <v/>
      </c>
      <c r="F637" s="18"/>
    </row>
    <row r="638" spans="1:6" x14ac:dyDescent="0.3">
      <c r="A638" s="17"/>
      <c r="B638" s="18"/>
      <c r="C638" s="18"/>
      <c r="D638" s="19"/>
      <c r="E638" s="10" t="str">
        <f t="shared" si="9"/>
        <v/>
      </c>
      <c r="F638" s="18"/>
    </row>
    <row r="639" spans="1:6" x14ac:dyDescent="0.3">
      <c r="A639" s="17"/>
      <c r="B639" s="18"/>
      <c r="C639" s="18"/>
      <c r="D639" s="19"/>
      <c r="E639" s="10" t="str">
        <f t="shared" si="9"/>
        <v/>
      </c>
      <c r="F639" s="18"/>
    </row>
    <row r="640" spans="1:6" x14ac:dyDescent="0.3">
      <c r="A640" s="17"/>
      <c r="B640" s="18"/>
      <c r="C640" s="18"/>
      <c r="D640" s="19"/>
      <c r="E640" s="10" t="str">
        <f t="shared" si="9"/>
        <v/>
      </c>
      <c r="F640" s="18"/>
    </row>
    <row r="641" spans="1:6" x14ac:dyDescent="0.3">
      <c r="A641" s="17"/>
      <c r="B641" s="18"/>
      <c r="C641" s="18"/>
      <c r="D641" s="19"/>
      <c r="E641" s="10" t="str">
        <f t="shared" si="9"/>
        <v/>
      </c>
      <c r="F641" s="18"/>
    </row>
    <row r="642" spans="1:6" x14ac:dyDescent="0.3">
      <c r="A642" s="17"/>
      <c r="B642" s="18"/>
      <c r="C642" s="18"/>
      <c r="D642" s="19"/>
      <c r="E642" s="10" t="str">
        <f t="shared" si="9"/>
        <v/>
      </c>
      <c r="F642" s="18"/>
    </row>
    <row r="643" spans="1:6" x14ac:dyDescent="0.3">
      <c r="A643" s="17"/>
      <c r="B643" s="18"/>
      <c r="C643" s="18"/>
      <c r="D643" s="19"/>
      <c r="E643" s="10" t="str">
        <f t="shared" si="9"/>
        <v/>
      </c>
      <c r="F643" s="18"/>
    </row>
    <row r="644" spans="1:6" x14ac:dyDescent="0.3">
      <c r="A644" s="17"/>
      <c r="B644" s="18"/>
      <c r="C644" s="18"/>
      <c r="D644" s="19"/>
      <c r="E644" s="10" t="str">
        <f t="shared" si="9"/>
        <v/>
      </c>
      <c r="F644" s="18"/>
    </row>
    <row r="645" spans="1:6" x14ac:dyDescent="0.3">
      <c r="A645" s="17"/>
      <c r="B645" s="18"/>
      <c r="C645" s="18"/>
      <c r="D645" s="19"/>
      <c r="E645" s="10" t="str">
        <f t="shared" si="9"/>
        <v/>
      </c>
      <c r="F645" s="18"/>
    </row>
    <row r="646" spans="1:6" x14ac:dyDescent="0.3">
      <c r="A646" s="17"/>
      <c r="B646" s="18"/>
      <c r="C646" s="18"/>
      <c r="D646" s="19"/>
      <c r="E646" s="10" t="str">
        <f t="shared" ref="E646:E709" si="10">IF(OR(C646="",D646=""),"",C646*D646)</f>
        <v/>
      </c>
      <c r="F646" s="18"/>
    </row>
    <row r="647" spans="1:6" x14ac:dyDescent="0.3">
      <c r="A647" s="17"/>
      <c r="B647" s="18"/>
      <c r="C647" s="18"/>
      <c r="D647" s="19"/>
      <c r="E647" s="10" t="str">
        <f t="shared" si="10"/>
        <v/>
      </c>
      <c r="F647" s="18"/>
    </row>
    <row r="648" spans="1:6" x14ac:dyDescent="0.3">
      <c r="A648" s="17"/>
      <c r="B648" s="18"/>
      <c r="C648" s="18"/>
      <c r="D648" s="19"/>
      <c r="E648" s="10" t="str">
        <f t="shared" si="10"/>
        <v/>
      </c>
      <c r="F648" s="18"/>
    </row>
    <row r="649" spans="1:6" x14ac:dyDescent="0.3">
      <c r="A649" s="17"/>
      <c r="B649" s="18"/>
      <c r="C649" s="18"/>
      <c r="D649" s="19"/>
      <c r="E649" s="10" t="str">
        <f t="shared" si="10"/>
        <v/>
      </c>
      <c r="F649" s="18"/>
    </row>
    <row r="650" spans="1:6" x14ac:dyDescent="0.3">
      <c r="A650" s="17"/>
      <c r="B650" s="18"/>
      <c r="C650" s="18"/>
      <c r="D650" s="19"/>
      <c r="E650" s="10" t="str">
        <f t="shared" si="10"/>
        <v/>
      </c>
      <c r="F650" s="18"/>
    </row>
    <row r="651" spans="1:6" x14ac:dyDescent="0.3">
      <c r="A651" s="17"/>
      <c r="B651" s="18"/>
      <c r="C651" s="18"/>
      <c r="D651" s="19"/>
      <c r="E651" s="10" t="str">
        <f t="shared" si="10"/>
        <v/>
      </c>
      <c r="F651" s="18"/>
    </row>
    <row r="652" spans="1:6" x14ac:dyDescent="0.3">
      <c r="A652" s="17"/>
      <c r="B652" s="18"/>
      <c r="C652" s="18"/>
      <c r="D652" s="19"/>
      <c r="E652" s="10" t="str">
        <f t="shared" si="10"/>
        <v/>
      </c>
      <c r="F652" s="18"/>
    </row>
    <row r="653" spans="1:6" x14ac:dyDescent="0.3">
      <c r="A653" s="17"/>
      <c r="B653" s="18"/>
      <c r="C653" s="18"/>
      <c r="D653" s="19"/>
      <c r="E653" s="10" t="str">
        <f t="shared" si="10"/>
        <v/>
      </c>
      <c r="F653" s="18"/>
    </row>
    <row r="654" spans="1:6" x14ac:dyDescent="0.3">
      <c r="A654" s="17"/>
      <c r="B654" s="18"/>
      <c r="C654" s="18"/>
      <c r="D654" s="19"/>
      <c r="E654" s="10" t="str">
        <f t="shared" si="10"/>
        <v/>
      </c>
      <c r="F654" s="18"/>
    </row>
    <row r="655" spans="1:6" x14ac:dyDescent="0.3">
      <c r="A655" s="17"/>
      <c r="B655" s="18"/>
      <c r="C655" s="18"/>
      <c r="D655" s="19"/>
      <c r="E655" s="10" t="str">
        <f t="shared" si="10"/>
        <v/>
      </c>
      <c r="F655" s="18"/>
    </row>
    <row r="656" spans="1:6" x14ac:dyDescent="0.3">
      <c r="A656" s="17"/>
      <c r="B656" s="18"/>
      <c r="C656" s="18"/>
      <c r="D656" s="19"/>
      <c r="E656" s="10" t="str">
        <f t="shared" si="10"/>
        <v/>
      </c>
      <c r="F656" s="18"/>
    </row>
    <row r="657" spans="1:6" x14ac:dyDescent="0.3">
      <c r="A657" s="17"/>
      <c r="B657" s="18"/>
      <c r="C657" s="18"/>
      <c r="D657" s="19"/>
      <c r="E657" s="10" t="str">
        <f t="shared" si="10"/>
        <v/>
      </c>
      <c r="F657" s="18"/>
    </row>
    <row r="658" spans="1:6" x14ac:dyDescent="0.3">
      <c r="A658" s="17"/>
      <c r="B658" s="18"/>
      <c r="C658" s="18"/>
      <c r="D658" s="19"/>
      <c r="E658" s="10" t="str">
        <f t="shared" si="10"/>
        <v/>
      </c>
      <c r="F658" s="18"/>
    </row>
    <row r="659" spans="1:6" x14ac:dyDescent="0.3">
      <c r="A659" s="17"/>
      <c r="B659" s="18"/>
      <c r="C659" s="18"/>
      <c r="D659" s="19"/>
      <c r="E659" s="10" t="str">
        <f t="shared" si="10"/>
        <v/>
      </c>
      <c r="F659" s="18"/>
    </row>
    <row r="660" spans="1:6" x14ac:dyDescent="0.3">
      <c r="A660" s="17"/>
      <c r="B660" s="18"/>
      <c r="C660" s="18"/>
      <c r="D660" s="19"/>
      <c r="E660" s="10" t="str">
        <f t="shared" si="10"/>
        <v/>
      </c>
      <c r="F660" s="18"/>
    </row>
    <row r="661" spans="1:6" x14ac:dyDescent="0.3">
      <c r="A661" s="17"/>
      <c r="B661" s="18"/>
      <c r="C661" s="18"/>
      <c r="D661" s="19"/>
      <c r="E661" s="10" t="str">
        <f t="shared" si="10"/>
        <v/>
      </c>
      <c r="F661" s="18"/>
    </row>
    <row r="662" spans="1:6" x14ac:dyDescent="0.3">
      <c r="A662" s="17"/>
      <c r="B662" s="18"/>
      <c r="C662" s="18"/>
      <c r="D662" s="19"/>
      <c r="E662" s="10" t="str">
        <f t="shared" si="10"/>
        <v/>
      </c>
      <c r="F662" s="18"/>
    </row>
    <row r="663" spans="1:6" x14ac:dyDescent="0.3">
      <c r="A663" s="17"/>
      <c r="B663" s="18"/>
      <c r="C663" s="18"/>
      <c r="D663" s="19"/>
      <c r="E663" s="10" t="str">
        <f t="shared" si="10"/>
        <v/>
      </c>
      <c r="F663" s="18"/>
    </row>
    <row r="664" spans="1:6" x14ac:dyDescent="0.3">
      <c r="A664" s="17"/>
      <c r="B664" s="18"/>
      <c r="C664" s="18"/>
      <c r="D664" s="19"/>
      <c r="E664" s="10" t="str">
        <f t="shared" si="10"/>
        <v/>
      </c>
      <c r="F664" s="18"/>
    </row>
    <row r="665" spans="1:6" x14ac:dyDescent="0.3">
      <c r="A665" s="17"/>
      <c r="B665" s="18"/>
      <c r="C665" s="18"/>
      <c r="D665" s="19"/>
      <c r="E665" s="10" t="str">
        <f t="shared" si="10"/>
        <v/>
      </c>
      <c r="F665" s="18"/>
    </row>
    <row r="666" spans="1:6" x14ac:dyDescent="0.3">
      <c r="A666" s="17"/>
      <c r="B666" s="18"/>
      <c r="C666" s="18"/>
      <c r="D666" s="19"/>
      <c r="E666" s="10" t="str">
        <f t="shared" si="10"/>
        <v/>
      </c>
      <c r="F666" s="18"/>
    </row>
    <row r="667" spans="1:6" x14ac:dyDescent="0.3">
      <c r="A667" s="17"/>
      <c r="B667" s="18"/>
      <c r="C667" s="18"/>
      <c r="D667" s="19"/>
      <c r="E667" s="10" t="str">
        <f t="shared" si="10"/>
        <v/>
      </c>
      <c r="F667" s="18"/>
    </row>
    <row r="668" spans="1:6" x14ac:dyDescent="0.3">
      <c r="A668" s="17"/>
      <c r="B668" s="18"/>
      <c r="C668" s="18"/>
      <c r="D668" s="19"/>
      <c r="E668" s="10" t="str">
        <f t="shared" si="10"/>
        <v/>
      </c>
      <c r="F668" s="18"/>
    </row>
    <row r="669" spans="1:6" x14ac:dyDescent="0.3">
      <c r="A669" s="17"/>
      <c r="B669" s="18"/>
      <c r="C669" s="18"/>
      <c r="D669" s="19"/>
      <c r="E669" s="10" t="str">
        <f t="shared" si="10"/>
        <v/>
      </c>
      <c r="F669" s="18"/>
    </row>
    <row r="670" spans="1:6" x14ac:dyDescent="0.3">
      <c r="A670" s="17"/>
      <c r="B670" s="18"/>
      <c r="C670" s="18"/>
      <c r="D670" s="19"/>
      <c r="E670" s="10" t="str">
        <f t="shared" si="10"/>
        <v/>
      </c>
      <c r="F670" s="18"/>
    </row>
    <row r="671" spans="1:6" x14ac:dyDescent="0.3">
      <c r="A671" s="17"/>
      <c r="B671" s="18"/>
      <c r="C671" s="18"/>
      <c r="D671" s="19"/>
      <c r="E671" s="10" t="str">
        <f t="shared" si="10"/>
        <v/>
      </c>
      <c r="F671" s="18"/>
    </row>
    <row r="672" spans="1:6" x14ac:dyDescent="0.3">
      <c r="A672" s="17"/>
      <c r="B672" s="18"/>
      <c r="C672" s="18"/>
      <c r="D672" s="19"/>
      <c r="E672" s="10" t="str">
        <f t="shared" si="10"/>
        <v/>
      </c>
      <c r="F672" s="18"/>
    </row>
    <row r="673" spans="1:6" x14ac:dyDescent="0.3">
      <c r="A673" s="17"/>
      <c r="B673" s="18"/>
      <c r="C673" s="18"/>
      <c r="D673" s="19"/>
      <c r="E673" s="10" t="str">
        <f t="shared" si="10"/>
        <v/>
      </c>
      <c r="F673" s="18"/>
    </row>
    <row r="674" spans="1:6" x14ac:dyDescent="0.3">
      <c r="A674" s="17"/>
      <c r="B674" s="18"/>
      <c r="C674" s="18"/>
      <c r="D674" s="19"/>
      <c r="E674" s="10" t="str">
        <f t="shared" si="10"/>
        <v/>
      </c>
      <c r="F674" s="18"/>
    </row>
    <row r="675" spans="1:6" x14ac:dyDescent="0.3">
      <c r="A675" s="17"/>
      <c r="B675" s="18"/>
      <c r="C675" s="18"/>
      <c r="D675" s="19"/>
      <c r="E675" s="10" t="str">
        <f t="shared" si="10"/>
        <v/>
      </c>
      <c r="F675" s="18"/>
    </row>
    <row r="676" spans="1:6" x14ac:dyDescent="0.3">
      <c r="A676" s="17"/>
      <c r="B676" s="18"/>
      <c r="C676" s="18"/>
      <c r="D676" s="19"/>
      <c r="E676" s="10" t="str">
        <f t="shared" si="10"/>
        <v/>
      </c>
      <c r="F676" s="18"/>
    </row>
    <row r="677" spans="1:6" x14ac:dyDescent="0.3">
      <c r="A677" s="17"/>
      <c r="B677" s="18"/>
      <c r="C677" s="18"/>
      <c r="D677" s="19"/>
      <c r="E677" s="10" t="str">
        <f t="shared" si="10"/>
        <v/>
      </c>
      <c r="F677" s="18"/>
    </row>
    <row r="678" spans="1:6" x14ac:dyDescent="0.3">
      <c r="A678" s="17"/>
      <c r="B678" s="18"/>
      <c r="C678" s="18"/>
      <c r="D678" s="19"/>
      <c r="E678" s="10" t="str">
        <f t="shared" si="10"/>
        <v/>
      </c>
      <c r="F678" s="18"/>
    </row>
    <row r="679" spans="1:6" x14ac:dyDescent="0.3">
      <c r="A679" s="17"/>
      <c r="B679" s="18"/>
      <c r="C679" s="18"/>
      <c r="D679" s="19"/>
      <c r="E679" s="10" t="str">
        <f t="shared" si="10"/>
        <v/>
      </c>
      <c r="F679" s="18"/>
    </row>
    <row r="680" spans="1:6" x14ac:dyDescent="0.3">
      <c r="A680" s="17"/>
      <c r="B680" s="18"/>
      <c r="C680" s="18"/>
      <c r="D680" s="19"/>
      <c r="E680" s="10" t="str">
        <f t="shared" si="10"/>
        <v/>
      </c>
      <c r="F680" s="18"/>
    </row>
    <row r="681" spans="1:6" x14ac:dyDescent="0.3">
      <c r="A681" s="17"/>
      <c r="B681" s="18"/>
      <c r="C681" s="18"/>
      <c r="D681" s="19"/>
      <c r="E681" s="10" t="str">
        <f t="shared" si="10"/>
        <v/>
      </c>
      <c r="F681" s="18"/>
    </row>
    <row r="682" spans="1:6" x14ac:dyDescent="0.3">
      <c r="A682" s="17"/>
      <c r="B682" s="18"/>
      <c r="C682" s="18"/>
      <c r="D682" s="19"/>
      <c r="E682" s="10" t="str">
        <f t="shared" si="10"/>
        <v/>
      </c>
      <c r="F682" s="18"/>
    </row>
    <row r="683" spans="1:6" x14ac:dyDescent="0.3">
      <c r="A683" s="17"/>
      <c r="B683" s="18"/>
      <c r="C683" s="18"/>
      <c r="D683" s="19"/>
      <c r="E683" s="10" t="str">
        <f t="shared" si="10"/>
        <v/>
      </c>
      <c r="F683" s="18"/>
    </row>
    <row r="684" spans="1:6" x14ac:dyDescent="0.3">
      <c r="A684" s="17"/>
      <c r="B684" s="18"/>
      <c r="C684" s="18"/>
      <c r="D684" s="19"/>
      <c r="E684" s="10" t="str">
        <f t="shared" si="10"/>
        <v/>
      </c>
      <c r="F684" s="18"/>
    </row>
    <row r="685" spans="1:6" x14ac:dyDescent="0.3">
      <c r="A685" s="17"/>
      <c r="B685" s="18"/>
      <c r="C685" s="18"/>
      <c r="D685" s="19"/>
      <c r="E685" s="10" t="str">
        <f t="shared" si="10"/>
        <v/>
      </c>
      <c r="F685" s="18"/>
    </row>
    <row r="686" spans="1:6" x14ac:dyDescent="0.3">
      <c r="A686" s="17"/>
      <c r="B686" s="18"/>
      <c r="C686" s="18"/>
      <c r="D686" s="19"/>
      <c r="E686" s="10" t="str">
        <f t="shared" si="10"/>
        <v/>
      </c>
      <c r="F686" s="18"/>
    </row>
    <row r="687" spans="1:6" x14ac:dyDescent="0.3">
      <c r="A687" s="17"/>
      <c r="B687" s="18"/>
      <c r="C687" s="18"/>
      <c r="D687" s="19"/>
      <c r="E687" s="10" t="str">
        <f t="shared" si="10"/>
        <v/>
      </c>
      <c r="F687" s="18"/>
    </row>
    <row r="688" spans="1:6" x14ac:dyDescent="0.3">
      <c r="A688" s="17"/>
      <c r="B688" s="18"/>
      <c r="C688" s="18"/>
      <c r="D688" s="19"/>
      <c r="E688" s="10" t="str">
        <f t="shared" si="10"/>
        <v/>
      </c>
      <c r="F688" s="18"/>
    </row>
    <row r="689" spans="1:6" x14ac:dyDescent="0.3">
      <c r="A689" s="17"/>
      <c r="B689" s="18"/>
      <c r="C689" s="18"/>
      <c r="D689" s="19"/>
      <c r="E689" s="10" t="str">
        <f t="shared" si="10"/>
        <v/>
      </c>
      <c r="F689" s="18"/>
    </row>
    <row r="690" spans="1:6" x14ac:dyDescent="0.3">
      <c r="A690" s="17"/>
      <c r="B690" s="18"/>
      <c r="C690" s="18"/>
      <c r="D690" s="19"/>
      <c r="E690" s="10" t="str">
        <f t="shared" si="10"/>
        <v/>
      </c>
      <c r="F690" s="18"/>
    </row>
    <row r="691" spans="1:6" x14ac:dyDescent="0.3">
      <c r="A691" s="17"/>
      <c r="B691" s="18"/>
      <c r="C691" s="18"/>
      <c r="D691" s="19"/>
      <c r="E691" s="10" t="str">
        <f t="shared" si="10"/>
        <v/>
      </c>
      <c r="F691" s="18"/>
    </row>
    <row r="692" spans="1:6" x14ac:dyDescent="0.3">
      <c r="A692" s="17"/>
      <c r="B692" s="18"/>
      <c r="C692" s="18"/>
      <c r="D692" s="19"/>
      <c r="E692" s="10" t="str">
        <f t="shared" si="10"/>
        <v/>
      </c>
      <c r="F692" s="18"/>
    </row>
    <row r="693" spans="1:6" x14ac:dyDescent="0.3">
      <c r="A693" s="17"/>
      <c r="B693" s="18"/>
      <c r="C693" s="18"/>
      <c r="D693" s="19"/>
      <c r="E693" s="10" t="str">
        <f t="shared" si="10"/>
        <v/>
      </c>
      <c r="F693" s="18"/>
    </row>
    <row r="694" spans="1:6" x14ac:dyDescent="0.3">
      <c r="A694" s="17"/>
      <c r="B694" s="18"/>
      <c r="C694" s="18"/>
      <c r="D694" s="19"/>
      <c r="E694" s="10" t="str">
        <f t="shared" si="10"/>
        <v/>
      </c>
      <c r="F694" s="18"/>
    </row>
    <row r="695" spans="1:6" x14ac:dyDescent="0.3">
      <c r="A695" s="17"/>
      <c r="B695" s="18"/>
      <c r="C695" s="18"/>
      <c r="D695" s="19"/>
      <c r="E695" s="10" t="str">
        <f t="shared" si="10"/>
        <v/>
      </c>
      <c r="F695" s="18"/>
    </row>
    <row r="696" spans="1:6" x14ac:dyDescent="0.3">
      <c r="A696" s="17"/>
      <c r="B696" s="18"/>
      <c r="C696" s="18"/>
      <c r="D696" s="19"/>
      <c r="E696" s="10" t="str">
        <f t="shared" si="10"/>
        <v/>
      </c>
      <c r="F696" s="18"/>
    </row>
    <row r="697" spans="1:6" x14ac:dyDescent="0.3">
      <c r="A697" s="17"/>
      <c r="B697" s="18"/>
      <c r="C697" s="18"/>
      <c r="D697" s="19"/>
      <c r="E697" s="10" t="str">
        <f t="shared" si="10"/>
        <v/>
      </c>
      <c r="F697" s="18"/>
    </row>
    <row r="698" spans="1:6" x14ac:dyDescent="0.3">
      <c r="A698" s="17"/>
      <c r="B698" s="18"/>
      <c r="C698" s="18"/>
      <c r="D698" s="19"/>
      <c r="E698" s="10" t="str">
        <f t="shared" si="10"/>
        <v/>
      </c>
      <c r="F698" s="18"/>
    </row>
    <row r="699" spans="1:6" x14ac:dyDescent="0.3">
      <c r="A699" s="17"/>
      <c r="B699" s="18"/>
      <c r="C699" s="18"/>
      <c r="D699" s="19"/>
      <c r="E699" s="10" t="str">
        <f t="shared" si="10"/>
        <v/>
      </c>
      <c r="F699" s="18"/>
    </row>
    <row r="700" spans="1:6" x14ac:dyDescent="0.3">
      <c r="A700" s="17"/>
      <c r="B700" s="18"/>
      <c r="C700" s="18"/>
      <c r="D700" s="19"/>
      <c r="E700" s="10" t="str">
        <f t="shared" si="10"/>
        <v/>
      </c>
      <c r="F700" s="18"/>
    </row>
    <row r="701" spans="1:6" x14ac:dyDescent="0.3">
      <c r="A701" s="17"/>
      <c r="B701" s="18"/>
      <c r="C701" s="18"/>
      <c r="D701" s="19"/>
      <c r="E701" s="10" t="str">
        <f t="shared" si="10"/>
        <v/>
      </c>
      <c r="F701" s="18"/>
    </row>
    <row r="702" spans="1:6" x14ac:dyDescent="0.3">
      <c r="A702" s="17"/>
      <c r="B702" s="18"/>
      <c r="C702" s="18"/>
      <c r="D702" s="19"/>
      <c r="E702" s="10" t="str">
        <f t="shared" si="10"/>
        <v/>
      </c>
      <c r="F702" s="18"/>
    </row>
    <row r="703" spans="1:6" x14ac:dyDescent="0.3">
      <c r="A703" s="17"/>
      <c r="B703" s="18"/>
      <c r="C703" s="18"/>
      <c r="D703" s="19"/>
      <c r="E703" s="10" t="str">
        <f t="shared" si="10"/>
        <v/>
      </c>
      <c r="F703" s="18"/>
    </row>
    <row r="704" spans="1:6" x14ac:dyDescent="0.3">
      <c r="A704" s="17"/>
      <c r="B704" s="18"/>
      <c r="C704" s="18"/>
      <c r="D704" s="19"/>
      <c r="E704" s="10" t="str">
        <f t="shared" si="10"/>
        <v/>
      </c>
      <c r="F704" s="18"/>
    </row>
    <row r="705" spans="1:6" x14ac:dyDescent="0.3">
      <c r="A705" s="17"/>
      <c r="B705" s="18"/>
      <c r="C705" s="18"/>
      <c r="D705" s="19"/>
      <c r="E705" s="10" t="str">
        <f t="shared" si="10"/>
        <v/>
      </c>
      <c r="F705" s="18"/>
    </row>
    <row r="706" spans="1:6" x14ac:dyDescent="0.3">
      <c r="A706" s="17"/>
      <c r="B706" s="18"/>
      <c r="C706" s="18"/>
      <c r="D706" s="19"/>
      <c r="E706" s="10" t="str">
        <f t="shared" si="10"/>
        <v/>
      </c>
      <c r="F706" s="18"/>
    </row>
    <row r="707" spans="1:6" x14ac:dyDescent="0.3">
      <c r="A707" s="17"/>
      <c r="B707" s="18"/>
      <c r="C707" s="18"/>
      <c r="D707" s="19"/>
      <c r="E707" s="10" t="str">
        <f t="shared" si="10"/>
        <v/>
      </c>
      <c r="F707" s="18"/>
    </row>
    <row r="708" spans="1:6" x14ac:dyDescent="0.3">
      <c r="A708" s="17"/>
      <c r="B708" s="18"/>
      <c r="C708" s="18"/>
      <c r="D708" s="19"/>
      <c r="E708" s="10" t="str">
        <f t="shared" si="10"/>
        <v/>
      </c>
      <c r="F708" s="18"/>
    </row>
    <row r="709" spans="1:6" x14ac:dyDescent="0.3">
      <c r="A709" s="17"/>
      <c r="B709" s="18"/>
      <c r="C709" s="18"/>
      <c r="D709" s="19"/>
      <c r="E709" s="10" t="str">
        <f t="shared" si="10"/>
        <v/>
      </c>
      <c r="F709" s="18"/>
    </row>
    <row r="710" spans="1:6" x14ac:dyDescent="0.3">
      <c r="A710" s="17"/>
      <c r="B710" s="18"/>
      <c r="C710" s="18"/>
      <c r="D710" s="19"/>
      <c r="E710" s="10" t="str">
        <f t="shared" ref="E710:E773" si="11">IF(OR(C710="",D710=""),"",C710*D710)</f>
        <v/>
      </c>
      <c r="F710" s="18"/>
    </row>
    <row r="711" spans="1:6" x14ac:dyDescent="0.3">
      <c r="A711" s="17"/>
      <c r="B711" s="18"/>
      <c r="C711" s="18"/>
      <c r="D711" s="19"/>
      <c r="E711" s="10" t="str">
        <f t="shared" si="11"/>
        <v/>
      </c>
      <c r="F711" s="18"/>
    </row>
    <row r="712" spans="1:6" x14ac:dyDescent="0.3">
      <c r="A712" s="17"/>
      <c r="B712" s="18"/>
      <c r="C712" s="18"/>
      <c r="D712" s="19"/>
      <c r="E712" s="10" t="str">
        <f t="shared" si="11"/>
        <v/>
      </c>
      <c r="F712" s="18"/>
    </row>
    <row r="713" spans="1:6" x14ac:dyDescent="0.3">
      <c r="A713" s="17"/>
      <c r="B713" s="18"/>
      <c r="C713" s="18"/>
      <c r="D713" s="19"/>
      <c r="E713" s="10" t="str">
        <f t="shared" si="11"/>
        <v/>
      </c>
      <c r="F713" s="18"/>
    </row>
    <row r="714" spans="1:6" x14ac:dyDescent="0.3">
      <c r="A714" s="17"/>
      <c r="B714" s="18"/>
      <c r="C714" s="18"/>
      <c r="D714" s="19"/>
      <c r="E714" s="10" t="str">
        <f t="shared" si="11"/>
        <v/>
      </c>
      <c r="F714" s="18"/>
    </row>
    <row r="715" spans="1:6" x14ac:dyDescent="0.3">
      <c r="A715" s="17"/>
      <c r="B715" s="18"/>
      <c r="C715" s="18"/>
      <c r="D715" s="19"/>
      <c r="E715" s="10" t="str">
        <f t="shared" si="11"/>
        <v/>
      </c>
      <c r="F715" s="18"/>
    </row>
    <row r="716" spans="1:6" x14ac:dyDescent="0.3">
      <c r="A716" s="17"/>
      <c r="B716" s="18"/>
      <c r="C716" s="18"/>
      <c r="D716" s="19"/>
      <c r="E716" s="10" t="str">
        <f t="shared" si="11"/>
        <v/>
      </c>
      <c r="F716" s="18"/>
    </row>
    <row r="717" spans="1:6" x14ac:dyDescent="0.3">
      <c r="A717" s="17"/>
      <c r="B717" s="18"/>
      <c r="C717" s="18"/>
      <c r="D717" s="19"/>
      <c r="E717" s="10" t="str">
        <f t="shared" si="11"/>
        <v/>
      </c>
      <c r="F717" s="18"/>
    </row>
    <row r="718" spans="1:6" x14ac:dyDescent="0.3">
      <c r="A718" s="17"/>
      <c r="B718" s="18"/>
      <c r="C718" s="18"/>
      <c r="D718" s="19"/>
      <c r="E718" s="10" t="str">
        <f t="shared" si="11"/>
        <v/>
      </c>
      <c r="F718" s="18"/>
    </row>
    <row r="719" spans="1:6" x14ac:dyDescent="0.3">
      <c r="A719" s="17"/>
      <c r="B719" s="18"/>
      <c r="C719" s="18"/>
      <c r="D719" s="19"/>
      <c r="E719" s="10" t="str">
        <f t="shared" si="11"/>
        <v/>
      </c>
      <c r="F719" s="18"/>
    </row>
    <row r="720" spans="1:6" x14ac:dyDescent="0.3">
      <c r="A720" s="17"/>
      <c r="B720" s="18"/>
      <c r="C720" s="18"/>
      <c r="D720" s="19"/>
      <c r="E720" s="10" t="str">
        <f t="shared" si="11"/>
        <v/>
      </c>
      <c r="F720" s="18"/>
    </row>
    <row r="721" spans="1:6" x14ac:dyDescent="0.3">
      <c r="A721" s="17"/>
      <c r="B721" s="18"/>
      <c r="C721" s="18"/>
      <c r="D721" s="19"/>
      <c r="E721" s="10" t="str">
        <f t="shared" si="11"/>
        <v/>
      </c>
      <c r="F721" s="18"/>
    </row>
    <row r="722" spans="1:6" x14ac:dyDescent="0.3">
      <c r="A722" s="17"/>
      <c r="B722" s="18"/>
      <c r="C722" s="18"/>
      <c r="D722" s="19"/>
      <c r="E722" s="10" t="str">
        <f t="shared" si="11"/>
        <v/>
      </c>
      <c r="F722" s="18"/>
    </row>
    <row r="723" spans="1:6" x14ac:dyDescent="0.3">
      <c r="A723" s="17"/>
      <c r="B723" s="18"/>
      <c r="C723" s="18"/>
      <c r="D723" s="19"/>
      <c r="E723" s="10" t="str">
        <f t="shared" si="11"/>
        <v/>
      </c>
      <c r="F723" s="18"/>
    </row>
    <row r="724" spans="1:6" x14ac:dyDescent="0.3">
      <c r="A724" s="17"/>
      <c r="B724" s="18"/>
      <c r="C724" s="18"/>
      <c r="D724" s="19"/>
      <c r="E724" s="10" t="str">
        <f t="shared" si="11"/>
        <v/>
      </c>
      <c r="F724" s="18"/>
    </row>
    <row r="725" spans="1:6" x14ac:dyDescent="0.3">
      <c r="A725" s="17"/>
      <c r="B725" s="18"/>
      <c r="C725" s="18"/>
      <c r="D725" s="19"/>
      <c r="E725" s="10" t="str">
        <f t="shared" si="11"/>
        <v/>
      </c>
      <c r="F725" s="18"/>
    </row>
    <row r="726" spans="1:6" x14ac:dyDescent="0.3">
      <c r="A726" s="17"/>
      <c r="B726" s="18"/>
      <c r="C726" s="18"/>
      <c r="D726" s="19"/>
      <c r="E726" s="10" t="str">
        <f t="shared" si="11"/>
        <v/>
      </c>
      <c r="F726" s="18"/>
    </row>
    <row r="727" spans="1:6" x14ac:dyDescent="0.3">
      <c r="A727" s="17"/>
      <c r="B727" s="18"/>
      <c r="C727" s="18"/>
      <c r="D727" s="19"/>
      <c r="E727" s="10" t="str">
        <f t="shared" si="11"/>
        <v/>
      </c>
      <c r="F727" s="18"/>
    </row>
    <row r="728" spans="1:6" x14ac:dyDescent="0.3">
      <c r="A728" s="17"/>
      <c r="B728" s="18"/>
      <c r="C728" s="18"/>
      <c r="D728" s="19"/>
      <c r="E728" s="10" t="str">
        <f t="shared" si="11"/>
        <v/>
      </c>
      <c r="F728" s="18"/>
    </row>
    <row r="729" spans="1:6" x14ac:dyDescent="0.3">
      <c r="A729" s="17"/>
      <c r="B729" s="18"/>
      <c r="C729" s="18"/>
      <c r="D729" s="19"/>
      <c r="E729" s="10" t="str">
        <f t="shared" si="11"/>
        <v/>
      </c>
      <c r="F729" s="18"/>
    </row>
    <row r="730" spans="1:6" x14ac:dyDescent="0.3">
      <c r="A730" s="17"/>
      <c r="B730" s="18"/>
      <c r="C730" s="18"/>
      <c r="D730" s="19"/>
      <c r="E730" s="10" t="str">
        <f t="shared" si="11"/>
        <v/>
      </c>
      <c r="F730" s="18"/>
    </row>
    <row r="731" spans="1:6" x14ac:dyDescent="0.3">
      <c r="A731" s="17"/>
      <c r="B731" s="18"/>
      <c r="C731" s="18"/>
      <c r="D731" s="19"/>
      <c r="E731" s="10" t="str">
        <f t="shared" si="11"/>
        <v/>
      </c>
      <c r="F731" s="18"/>
    </row>
    <row r="732" spans="1:6" x14ac:dyDescent="0.3">
      <c r="A732" s="17"/>
      <c r="B732" s="18"/>
      <c r="C732" s="18"/>
      <c r="D732" s="19"/>
      <c r="E732" s="10" t="str">
        <f t="shared" si="11"/>
        <v/>
      </c>
      <c r="F732" s="18"/>
    </row>
    <row r="733" spans="1:6" x14ac:dyDescent="0.3">
      <c r="A733" s="17"/>
      <c r="B733" s="18"/>
      <c r="C733" s="18"/>
      <c r="D733" s="19"/>
      <c r="E733" s="10" t="str">
        <f t="shared" si="11"/>
        <v/>
      </c>
      <c r="F733" s="18"/>
    </row>
    <row r="734" spans="1:6" x14ac:dyDescent="0.3">
      <c r="A734" s="17"/>
      <c r="B734" s="18"/>
      <c r="C734" s="18"/>
      <c r="D734" s="19"/>
      <c r="E734" s="10" t="str">
        <f t="shared" si="11"/>
        <v/>
      </c>
      <c r="F734" s="18"/>
    </row>
    <row r="735" spans="1:6" x14ac:dyDescent="0.3">
      <c r="A735" s="17"/>
      <c r="B735" s="18"/>
      <c r="C735" s="18"/>
      <c r="D735" s="19"/>
      <c r="E735" s="10" t="str">
        <f t="shared" si="11"/>
        <v/>
      </c>
      <c r="F735" s="18"/>
    </row>
    <row r="736" spans="1:6" x14ac:dyDescent="0.3">
      <c r="A736" s="17"/>
      <c r="B736" s="18"/>
      <c r="C736" s="18"/>
      <c r="D736" s="19"/>
      <c r="E736" s="10" t="str">
        <f t="shared" si="11"/>
        <v/>
      </c>
      <c r="F736" s="18"/>
    </row>
    <row r="737" spans="1:6" x14ac:dyDescent="0.3">
      <c r="A737" s="17"/>
      <c r="B737" s="18"/>
      <c r="C737" s="18"/>
      <c r="D737" s="19"/>
      <c r="E737" s="10" t="str">
        <f t="shared" si="11"/>
        <v/>
      </c>
      <c r="F737" s="18"/>
    </row>
    <row r="738" spans="1:6" x14ac:dyDescent="0.3">
      <c r="A738" s="17"/>
      <c r="B738" s="18"/>
      <c r="C738" s="18"/>
      <c r="D738" s="19"/>
      <c r="E738" s="10" t="str">
        <f t="shared" si="11"/>
        <v/>
      </c>
      <c r="F738" s="18"/>
    </row>
    <row r="739" spans="1:6" x14ac:dyDescent="0.3">
      <c r="A739" s="17"/>
      <c r="B739" s="18"/>
      <c r="C739" s="18"/>
      <c r="D739" s="19"/>
      <c r="E739" s="10" t="str">
        <f t="shared" si="11"/>
        <v/>
      </c>
      <c r="F739" s="18"/>
    </row>
    <row r="740" spans="1:6" x14ac:dyDescent="0.3">
      <c r="A740" s="17"/>
      <c r="B740" s="18"/>
      <c r="C740" s="18"/>
      <c r="D740" s="19"/>
      <c r="E740" s="10" t="str">
        <f t="shared" si="11"/>
        <v/>
      </c>
      <c r="F740" s="18"/>
    </row>
    <row r="741" spans="1:6" x14ac:dyDescent="0.3">
      <c r="A741" s="17"/>
      <c r="B741" s="18"/>
      <c r="C741" s="18"/>
      <c r="D741" s="19"/>
      <c r="E741" s="10" t="str">
        <f t="shared" si="11"/>
        <v/>
      </c>
      <c r="F741" s="18"/>
    </row>
    <row r="742" spans="1:6" x14ac:dyDescent="0.3">
      <c r="A742" s="17"/>
      <c r="B742" s="18"/>
      <c r="C742" s="18"/>
      <c r="D742" s="19"/>
      <c r="E742" s="10" t="str">
        <f t="shared" si="11"/>
        <v/>
      </c>
      <c r="F742" s="18"/>
    </row>
    <row r="743" spans="1:6" x14ac:dyDescent="0.3">
      <c r="A743" s="17"/>
      <c r="B743" s="18"/>
      <c r="C743" s="18"/>
      <c r="D743" s="19"/>
      <c r="E743" s="10" t="str">
        <f t="shared" si="11"/>
        <v/>
      </c>
      <c r="F743" s="18"/>
    </row>
    <row r="744" spans="1:6" x14ac:dyDescent="0.3">
      <c r="A744" s="17"/>
      <c r="B744" s="18"/>
      <c r="C744" s="18"/>
      <c r="D744" s="19"/>
      <c r="E744" s="10" t="str">
        <f t="shared" si="11"/>
        <v/>
      </c>
      <c r="F744" s="18"/>
    </row>
    <row r="745" spans="1:6" x14ac:dyDescent="0.3">
      <c r="A745" s="17"/>
      <c r="B745" s="18"/>
      <c r="C745" s="18"/>
      <c r="D745" s="19"/>
      <c r="E745" s="10" t="str">
        <f t="shared" si="11"/>
        <v/>
      </c>
      <c r="F745" s="18"/>
    </row>
    <row r="746" spans="1:6" x14ac:dyDescent="0.3">
      <c r="A746" s="17"/>
      <c r="B746" s="18"/>
      <c r="C746" s="18"/>
      <c r="D746" s="19"/>
      <c r="E746" s="10" t="str">
        <f t="shared" si="11"/>
        <v/>
      </c>
      <c r="F746" s="18"/>
    </row>
    <row r="747" spans="1:6" x14ac:dyDescent="0.3">
      <c r="A747" s="17"/>
      <c r="B747" s="18"/>
      <c r="C747" s="18"/>
      <c r="D747" s="19"/>
      <c r="E747" s="10" t="str">
        <f t="shared" si="11"/>
        <v/>
      </c>
      <c r="F747" s="18"/>
    </row>
    <row r="748" spans="1:6" x14ac:dyDescent="0.3">
      <c r="A748" s="17"/>
      <c r="B748" s="18"/>
      <c r="C748" s="18"/>
      <c r="D748" s="19"/>
      <c r="E748" s="10" t="str">
        <f t="shared" si="11"/>
        <v/>
      </c>
      <c r="F748" s="18"/>
    </row>
    <row r="749" spans="1:6" x14ac:dyDescent="0.3">
      <c r="A749" s="17"/>
      <c r="B749" s="18"/>
      <c r="C749" s="18"/>
      <c r="D749" s="19"/>
      <c r="E749" s="10" t="str">
        <f t="shared" si="11"/>
        <v/>
      </c>
      <c r="F749" s="18"/>
    </row>
    <row r="750" spans="1:6" x14ac:dyDescent="0.3">
      <c r="A750" s="17"/>
      <c r="B750" s="18"/>
      <c r="C750" s="18"/>
      <c r="D750" s="19"/>
      <c r="E750" s="10" t="str">
        <f t="shared" si="11"/>
        <v/>
      </c>
      <c r="F750" s="18"/>
    </row>
    <row r="751" spans="1:6" x14ac:dyDescent="0.3">
      <c r="A751" s="17"/>
      <c r="B751" s="18"/>
      <c r="C751" s="18"/>
      <c r="D751" s="19"/>
      <c r="E751" s="10" t="str">
        <f t="shared" si="11"/>
        <v/>
      </c>
      <c r="F751" s="18"/>
    </row>
    <row r="752" spans="1:6" x14ac:dyDescent="0.3">
      <c r="A752" s="17"/>
      <c r="B752" s="18"/>
      <c r="C752" s="18"/>
      <c r="D752" s="19"/>
      <c r="E752" s="10" t="str">
        <f t="shared" si="11"/>
        <v/>
      </c>
      <c r="F752" s="18"/>
    </row>
    <row r="753" spans="1:6" x14ac:dyDescent="0.3">
      <c r="A753" s="17"/>
      <c r="B753" s="18"/>
      <c r="C753" s="18"/>
      <c r="D753" s="19"/>
      <c r="E753" s="10" t="str">
        <f t="shared" si="11"/>
        <v/>
      </c>
      <c r="F753" s="18"/>
    </row>
    <row r="754" spans="1:6" x14ac:dyDescent="0.3">
      <c r="A754" s="17"/>
      <c r="B754" s="18"/>
      <c r="C754" s="18"/>
      <c r="D754" s="19"/>
      <c r="E754" s="10" t="str">
        <f t="shared" si="11"/>
        <v/>
      </c>
      <c r="F754" s="18"/>
    </row>
    <row r="755" spans="1:6" x14ac:dyDescent="0.3">
      <c r="A755" s="17"/>
      <c r="B755" s="18"/>
      <c r="C755" s="18"/>
      <c r="D755" s="19"/>
      <c r="E755" s="10" t="str">
        <f t="shared" si="11"/>
        <v/>
      </c>
      <c r="F755" s="18"/>
    </row>
    <row r="756" spans="1:6" x14ac:dyDescent="0.3">
      <c r="A756" s="17"/>
      <c r="B756" s="18"/>
      <c r="C756" s="18"/>
      <c r="D756" s="19"/>
      <c r="E756" s="10" t="str">
        <f t="shared" si="11"/>
        <v/>
      </c>
      <c r="F756" s="18"/>
    </row>
    <row r="757" spans="1:6" x14ac:dyDescent="0.3">
      <c r="A757" s="17"/>
      <c r="B757" s="18"/>
      <c r="C757" s="18"/>
      <c r="D757" s="19"/>
      <c r="E757" s="10" t="str">
        <f t="shared" si="11"/>
        <v/>
      </c>
      <c r="F757" s="18"/>
    </row>
    <row r="758" spans="1:6" x14ac:dyDescent="0.3">
      <c r="A758" s="17"/>
      <c r="B758" s="18"/>
      <c r="C758" s="18"/>
      <c r="D758" s="19"/>
      <c r="E758" s="10" t="str">
        <f t="shared" si="11"/>
        <v/>
      </c>
      <c r="F758" s="18"/>
    </row>
    <row r="759" spans="1:6" x14ac:dyDescent="0.3">
      <c r="A759" s="17"/>
      <c r="B759" s="18"/>
      <c r="C759" s="18"/>
      <c r="D759" s="19"/>
      <c r="E759" s="10" t="str">
        <f t="shared" si="11"/>
        <v/>
      </c>
      <c r="F759" s="18"/>
    </row>
    <row r="760" spans="1:6" x14ac:dyDescent="0.3">
      <c r="A760" s="17"/>
      <c r="B760" s="18"/>
      <c r="C760" s="18"/>
      <c r="D760" s="19"/>
      <c r="E760" s="10" t="str">
        <f t="shared" si="11"/>
        <v/>
      </c>
      <c r="F760" s="18"/>
    </row>
    <row r="761" spans="1:6" x14ac:dyDescent="0.3">
      <c r="A761" s="17"/>
      <c r="B761" s="18"/>
      <c r="C761" s="18"/>
      <c r="D761" s="19"/>
      <c r="E761" s="10" t="str">
        <f t="shared" si="11"/>
        <v/>
      </c>
      <c r="F761" s="18"/>
    </row>
    <row r="762" spans="1:6" x14ac:dyDescent="0.3">
      <c r="A762" s="17"/>
      <c r="B762" s="18"/>
      <c r="C762" s="18"/>
      <c r="D762" s="19"/>
      <c r="E762" s="10" t="str">
        <f t="shared" si="11"/>
        <v/>
      </c>
      <c r="F762" s="18"/>
    </row>
    <row r="763" spans="1:6" x14ac:dyDescent="0.3">
      <c r="A763" s="17"/>
      <c r="B763" s="18"/>
      <c r="C763" s="18"/>
      <c r="D763" s="19"/>
      <c r="E763" s="10" t="str">
        <f t="shared" si="11"/>
        <v/>
      </c>
      <c r="F763" s="18"/>
    </row>
    <row r="764" spans="1:6" x14ac:dyDescent="0.3">
      <c r="A764" s="17"/>
      <c r="B764" s="18"/>
      <c r="C764" s="18"/>
      <c r="D764" s="19"/>
      <c r="E764" s="10" t="str">
        <f t="shared" si="11"/>
        <v/>
      </c>
      <c r="F764" s="18"/>
    </row>
    <row r="765" spans="1:6" x14ac:dyDescent="0.3">
      <c r="A765" s="17"/>
      <c r="B765" s="18"/>
      <c r="C765" s="18"/>
      <c r="D765" s="19"/>
      <c r="E765" s="10" t="str">
        <f t="shared" si="11"/>
        <v/>
      </c>
      <c r="F765" s="18"/>
    </row>
    <row r="766" spans="1:6" x14ac:dyDescent="0.3">
      <c r="A766" s="17"/>
      <c r="B766" s="18"/>
      <c r="C766" s="18"/>
      <c r="D766" s="19"/>
      <c r="E766" s="10" t="str">
        <f t="shared" si="11"/>
        <v/>
      </c>
      <c r="F766" s="18"/>
    </row>
    <row r="767" spans="1:6" x14ac:dyDescent="0.3">
      <c r="A767" s="17"/>
      <c r="B767" s="18"/>
      <c r="C767" s="18"/>
      <c r="D767" s="19"/>
      <c r="E767" s="10" t="str">
        <f t="shared" si="11"/>
        <v/>
      </c>
      <c r="F767" s="18"/>
    </row>
    <row r="768" spans="1:6" x14ac:dyDescent="0.3">
      <c r="A768" s="17"/>
      <c r="B768" s="18"/>
      <c r="C768" s="18"/>
      <c r="D768" s="19"/>
      <c r="E768" s="10" t="str">
        <f t="shared" si="11"/>
        <v/>
      </c>
      <c r="F768" s="18"/>
    </row>
    <row r="769" spans="1:6" x14ac:dyDescent="0.3">
      <c r="A769" s="17"/>
      <c r="B769" s="18"/>
      <c r="C769" s="18"/>
      <c r="D769" s="19"/>
      <c r="E769" s="10" t="str">
        <f t="shared" si="11"/>
        <v/>
      </c>
      <c r="F769" s="18"/>
    </row>
    <row r="770" spans="1:6" x14ac:dyDescent="0.3">
      <c r="A770" s="17"/>
      <c r="B770" s="18"/>
      <c r="C770" s="18"/>
      <c r="D770" s="19"/>
      <c r="E770" s="10" t="str">
        <f t="shared" si="11"/>
        <v/>
      </c>
      <c r="F770" s="18"/>
    </row>
    <row r="771" spans="1:6" x14ac:dyDescent="0.3">
      <c r="A771" s="17"/>
      <c r="B771" s="18"/>
      <c r="C771" s="18"/>
      <c r="D771" s="19"/>
      <c r="E771" s="10" t="str">
        <f t="shared" si="11"/>
        <v/>
      </c>
      <c r="F771" s="18"/>
    </row>
    <row r="772" spans="1:6" x14ac:dyDescent="0.3">
      <c r="A772" s="17"/>
      <c r="B772" s="18"/>
      <c r="C772" s="18"/>
      <c r="D772" s="19"/>
      <c r="E772" s="10" t="str">
        <f t="shared" si="11"/>
        <v/>
      </c>
      <c r="F772" s="18"/>
    </row>
    <row r="773" spans="1:6" x14ac:dyDescent="0.3">
      <c r="A773" s="17"/>
      <c r="B773" s="18"/>
      <c r="C773" s="18"/>
      <c r="D773" s="19"/>
      <c r="E773" s="10" t="str">
        <f t="shared" si="11"/>
        <v/>
      </c>
      <c r="F773" s="18"/>
    </row>
    <row r="774" spans="1:6" x14ac:dyDescent="0.3">
      <c r="A774" s="17"/>
      <c r="B774" s="18"/>
      <c r="C774" s="18"/>
      <c r="D774" s="19"/>
      <c r="E774" s="10" t="str">
        <f t="shared" ref="E774:E837" si="12">IF(OR(C774="",D774=""),"",C774*D774)</f>
        <v/>
      </c>
      <c r="F774" s="18"/>
    </row>
    <row r="775" spans="1:6" x14ac:dyDescent="0.3">
      <c r="A775" s="17"/>
      <c r="B775" s="18"/>
      <c r="C775" s="18"/>
      <c r="D775" s="19"/>
      <c r="E775" s="10" t="str">
        <f t="shared" si="12"/>
        <v/>
      </c>
      <c r="F775" s="18"/>
    </row>
    <row r="776" spans="1:6" x14ac:dyDescent="0.3">
      <c r="A776" s="17"/>
      <c r="B776" s="18"/>
      <c r="C776" s="18"/>
      <c r="D776" s="19"/>
      <c r="E776" s="10" t="str">
        <f t="shared" si="12"/>
        <v/>
      </c>
      <c r="F776" s="18"/>
    </row>
    <row r="777" spans="1:6" x14ac:dyDescent="0.3">
      <c r="A777" s="17"/>
      <c r="B777" s="18"/>
      <c r="C777" s="18"/>
      <c r="D777" s="19"/>
      <c r="E777" s="10" t="str">
        <f t="shared" si="12"/>
        <v/>
      </c>
      <c r="F777" s="18"/>
    </row>
    <row r="778" spans="1:6" x14ac:dyDescent="0.3">
      <c r="A778" s="17"/>
      <c r="B778" s="18"/>
      <c r="C778" s="18"/>
      <c r="D778" s="19"/>
      <c r="E778" s="10" t="str">
        <f t="shared" si="12"/>
        <v/>
      </c>
      <c r="F778" s="18"/>
    </row>
    <row r="779" spans="1:6" x14ac:dyDescent="0.3">
      <c r="A779" s="17"/>
      <c r="B779" s="18"/>
      <c r="C779" s="18"/>
      <c r="D779" s="19"/>
      <c r="E779" s="10" t="str">
        <f t="shared" si="12"/>
        <v/>
      </c>
      <c r="F779" s="18"/>
    </row>
    <row r="780" spans="1:6" x14ac:dyDescent="0.3">
      <c r="A780" s="17"/>
      <c r="B780" s="18"/>
      <c r="C780" s="18"/>
      <c r="D780" s="19"/>
      <c r="E780" s="10" t="str">
        <f t="shared" si="12"/>
        <v/>
      </c>
      <c r="F780" s="18"/>
    </row>
    <row r="781" spans="1:6" x14ac:dyDescent="0.3">
      <c r="A781" s="17"/>
      <c r="B781" s="18"/>
      <c r="C781" s="18"/>
      <c r="D781" s="19"/>
      <c r="E781" s="10" t="str">
        <f t="shared" si="12"/>
        <v/>
      </c>
      <c r="F781" s="18"/>
    </row>
    <row r="782" spans="1:6" x14ac:dyDescent="0.3">
      <c r="A782" s="17"/>
      <c r="B782" s="18"/>
      <c r="C782" s="18"/>
      <c r="D782" s="19"/>
      <c r="E782" s="10" t="str">
        <f t="shared" si="12"/>
        <v/>
      </c>
      <c r="F782" s="18"/>
    </row>
    <row r="783" spans="1:6" x14ac:dyDescent="0.3">
      <c r="A783" s="17"/>
      <c r="B783" s="18"/>
      <c r="C783" s="18"/>
      <c r="D783" s="19"/>
      <c r="E783" s="10" t="str">
        <f t="shared" si="12"/>
        <v/>
      </c>
      <c r="F783" s="18"/>
    </row>
    <row r="784" spans="1:6" x14ac:dyDescent="0.3">
      <c r="A784" s="17"/>
      <c r="B784" s="18"/>
      <c r="C784" s="18"/>
      <c r="D784" s="19"/>
      <c r="E784" s="10" t="str">
        <f t="shared" si="12"/>
        <v/>
      </c>
      <c r="F784" s="18"/>
    </row>
    <row r="785" spans="1:6" x14ac:dyDescent="0.3">
      <c r="A785" s="17"/>
      <c r="B785" s="18"/>
      <c r="C785" s="18"/>
      <c r="D785" s="19"/>
      <c r="E785" s="10" t="str">
        <f t="shared" si="12"/>
        <v/>
      </c>
      <c r="F785" s="18"/>
    </row>
    <row r="786" spans="1:6" x14ac:dyDescent="0.3">
      <c r="A786" s="17"/>
      <c r="B786" s="18"/>
      <c r="C786" s="18"/>
      <c r="D786" s="19"/>
      <c r="E786" s="10" t="str">
        <f t="shared" si="12"/>
        <v/>
      </c>
      <c r="F786" s="18"/>
    </row>
    <row r="787" spans="1:6" x14ac:dyDescent="0.3">
      <c r="A787" s="17"/>
      <c r="B787" s="18"/>
      <c r="C787" s="18"/>
      <c r="D787" s="19"/>
      <c r="E787" s="10" t="str">
        <f t="shared" si="12"/>
        <v/>
      </c>
      <c r="F787" s="18"/>
    </row>
    <row r="788" spans="1:6" x14ac:dyDescent="0.3">
      <c r="A788" s="17"/>
      <c r="B788" s="18"/>
      <c r="C788" s="18"/>
      <c r="D788" s="19"/>
      <c r="E788" s="10" t="str">
        <f t="shared" si="12"/>
        <v/>
      </c>
      <c r="F788" s="18"/>
    </row>
    <row r="789" spans="1:6" x14ac:dyDescent="0.3">
      <c r="A789" s="17"/>
      <c r="B789" s="18"/>
      <c r="C789" s="18"/>
      <c r="D789" s="19"/>
      <c r="E789" s="10" t="str">
        <f t="shared" si="12"/>
        <v/>
      </c>
      <c r="F789" s="18"/>
    </row>
    <row r="790" spans="1:6" x14ac:dyDescent="0.3">
      <c r="A790" s="17"/>
      <c r="B790" s="18"/>
      <c r="C790" s="18"/>
      <c r="D790" s="19"/>
      <c r="E790" s="10" t="str">
        <f t="shared" si="12"/>
        <v/>
      </c>
      <c r="F790" s="18"/>
    </row>
    <row r="791" spans="1:6" x14ac:dyDescent="0.3">
      <c r="A791" s="17"/>
      <c r="B791" s="18"/>
      <c r="C791" s="18"/>
      <c r="D791" s="19"/>
      <c r="E791" s="10" t="str">
        <f t="shared" si="12"/>
        <v/>
      </c>
      <c r="F791" s="18"/>
    </row>
    <row r="792" spans="1:6" x14ac:dyDescent="0.3">
      <c r="A792" s="17"/>
      <c r="B792" s="18"/>
      <c r="C792" s="18"/>
      <c r="D792" s="19"/>
      <c r="E792" s="10" t="str">
        <f t="shared" si="12"/>
        <v/>
      </c>
      <c r="F792" s="18"/>
    </row>
    <row r="793" spans="1:6" x14ac:dyDescent="0.3">
      <c r="A793" s="17"/>
      <c r="B793" s="18"/>
      <c r="C793" s="18"/>
      <c r="D793" s="19"/>
      <c r="E793" s="10" t="str">
        <f t="shared" si="12"/>
        <v/>
      </c>
      <c r="F793" s="18"/>
    </row>
    <row r="794" spans="1:6" x14ac:dyDescent="0.3">
      <c r="A794" s="17"/>
      <c r="B794" s="18"/>
      <c r="C794" s="18"/>
      <c r="D794" s="19"/>
      <c r="E794" s="10" t="str">
        <f t="shared" si="12"/>
        <v/>
      </c>
      <c r="F794" s="18"/>
    </row>
    <row r="795" spans="1:6" x14ac:dyDescent="0.3">
      <c r="A795" s="17"/>
      <c r="B795" s="18"/>
      <c r="C795" s="18"/>
      <c r="D795" s="19"/>
      <c r="E795" s="10" t="str">
        <f t="shared" si="12"/>
        <v/>
      </c>
      <c r="F795" s="18"/>
    </row>
    <row r="796" spans="1:6" x14ac:dyDescent="0.3">
      <c r="A796" s="17"/>
      <c r="B796" s="18"/>
      <c r="C796" s="18"/>
      <c r="D796" s="19"/>
      <c r="E796" s="10" t="str">
        <f t="shared" si="12"/>
        <v/>
      </c>
      <c r="F796" s="18"/>
    </row>
    <row r="797" spans="1:6" x14ac:dyDescent="0.3">
      <c r="A797" s="17"/>
      <c r="B797" s="18"/>
      <c r="C797" s="18"/>
      <c r="D797" s="19"/>
      <c r="E797" s="10" t="str">
        <f t="shared" si="12"/>
        <v/>
      </c>
      <c r="F797" s="18"/>
    </row>
    <row r="798" spans="1:6" x14ac:dyDescent="0.3">
      <c r="A798" s="17"/>
      <c r="B798" s="18"/>
      <c r="C798" s="18"/>
      <c r="D798" s="19"/>
      <c r="E798" s="10" t="str">
        <f t="shared" si="12"/>
        <v/>
      </c>
      <c r="F798" s="18"/>
    </row>
    <row r="799" spans="1:6" x14ac:dyDescent="0.3">
      <c r="A799" s="17"/>
      <c r="B799" s="18"/>
      <c r="C799" s="18"/>
      <c r="D799" s="19"/>
      <c r="E799" s="10" t="str">
        <f t="shared" si="12"/>
        <v/>
      </c>
      <c r="F799" s="18"/>
    </row>
    <row r="800" spans="1:6" x14ac:dyDescent="0.3">
      <c r="A800" s="17"/>
      <c r="B800" s="18"/>
      <c r="C800" s="18"/>
      <c r="D800" s="19"/>
      <c r="E800" s="10" t="str">
        <f t="shared" si="12"/>
        <v/>
      </c>
      <c r="F800" s="18"/>
    </row>
    <row r="801" spans="1:6" x14ac:dyDescent="0.3">
      <c r="A801" s="17"/>
      <c r="B801" s="18"/>
      <c r="C801" s="18"/>
      <c r="D801" s="19"/>
      <c r="E801" s="10" t="str">
        <f t="shared" si="12"/>
        <v/>
      </c>
      <c r="F801" s="18"/>
    </row>
    <row r="802" spans="1:6" x14ac:dyDescent="0.3">
      <c r="A802" s="17"/>
      <c r="B802" s="18"/>
      <c r="C802" s="18"/>
      <c r="D802" s="19"/>
      <c r="E802" s="10" t="str">
        <f t="shared" si="12"/>
        <v/>
      </c>
      <c r="F802" s="18"/>
    </row>
    <row r="803" spans="1:6" x14ac:dyDescent="0.3">
      <c r="A803" s="17"/>
      <c r="B803" s="18"/>
      <c r="C803" s="18"/>
      <c r="D803" s="19"/>
      <c r="E803" s="10" t="str">
        <f t="shared" si="12"/>
        <v/>
      </c>
      <c r="F803" s="18"/>
    </row>
    <row r="804" spans="1:6" x14ac:dyDescent="0.3">
      <c r="A804" s="17"/>
      <c r="B804" s="18"/>
      <c r="C804" s="18"/>
      <c r="D804" s="19"/>
      <c r="E804" s="10" t="str">
        <f t="shared" si="12"/>
        <v/>
      </c>
      <c r="F804" s="18"/>
    </row>
    <row r="805" spans="1:6" x14ac:dyDescent="0.3">
      <c r="A805" s="17"/>
      <c r="B805" s="18"/>
      <c r="C805" s="18"/>
      <c r="D805" s="19"/>
      <c r="E805" s="10" t="str">
        <f t="shared" si="12"/>
        <v/>
      </c>
      <c r="F805" s="18"/>
    </row>
    <row r="806" spans="1:6" x14ac:dyDescent="0.3">
      <c r="A806" s="17"/>
      <c r="B806" s="18"/>
      <c r="C806" s="18"/>
      <c r="D806" s="19"/>
      <c r="E806" s="10" t="str">
        <f t="shared" si="12"/>
        <v/>
      </c>
      <c r="F806" s="18"/>
    </row>
    <row r="807" spans="1:6" x14ac:dyDescent="0.3">
      <c r="A807" s="17"/>
      <c r="B807" s="18"/>
      <c r="C807" s="18"/>
      <c r="D807" s="19"/>
      <c r="E807" s="10" t="str">
        <f t="shared" si="12"/>
        <v/>
      </c>
      <c r="F807" s="18"/>
    </row>
    <row r="808" spans="1:6" x14ac:dyDescent="0.3">
      <c r="A808" s="17"/>
      <c r="B808" s="18"/>
      <c r="C808" s="18"/>
      <c r="D808" s="19"/>
      <c r="E808" s="10" t="str">
        <f t="shared" si="12"/>
        <v/>
      </c>
      <c r="F808" s="18"/>
    </row>
    <row r="809" spans="1:6" x14ac:dyDescent="0.3">
      <c r="A809" s="17"/>
      <c r="B809" s="18"/>
      <c r="C809" s="18"/>
      <c r="D809" s="19"/>
      <c r="E809" s="10" t="str">
        <f t="shared" si="12"/>
        <v/>
      </c>
      <c r="F809" s="18"/>
    </row>
    <row r="810" spans="1:6" x14ac:dyDescent="0.3">
      <c r="A810" s="17"/>
      <c r="B810" s="18"/>
      <c r="C810" s="18"/>
      <c r="D810" s="19"/>
      <c r="E810" s="10" t="str">
        <f t="shared" si="12"/>
        <v/>
      </c>
      <c r="F810" s="18"/>
    </row>
    <row r="811" spans="1:6" x14ac:dyDescent="0.3">
      <c r="A811" s="17"/>
      <c r="B811" s="18"/>
      <c r="C811" s="18"/>
      <c r="D811" s="19"/>
      <c r="E811" s="10" t="str">
        <f t="shared" si="12"/>
        <v/>
      </c>
      <c r="F811" s="18"/>
    </row>
    <row r="812" spans="1:6" x14ac:dyDescent="0.3">
      <c r="A812" s="17"/>
      <c r="B812" s="18"/>
      <c r="C812" s="18"/>
      <c r="D812" s="19"/>
      <c r="E812" s="10" t="str">
        <f t="shared" si="12"/>
        <v/>
      </c>
      <c r="F812" s="18"/>
    </row>
    <row r="813" spans="1:6" x14ac:dyDescent="0.3">
      <c r="A813" s="17"/>
      <c r="B813" s="18"/>
      <c r="C813" s="18"/>
      <c r="D813" s="19"/>
      <c r="E813" s="10" t="str">
        <f t="shared" si="12"/>
        <v/>
      </c>
      <c r="F813" s="18"/>
    </row>
    <row r="814" spans="1:6" x14ac:dyDescent="0.3">
      <c r="A814" s="17"/>
      <c r="B814" s="18"/>
      <c r="C814" s="18"/>
      <c r="D814" s="19"/>
      <c r="E814" s="10" t="str">
        <f t="shared" si="12"/>
        <v/>
      </c>
      <c r="F814" s="18"/>
    </row>
    <row r="815" spans="1:6" x14ac:dyDescent="0.3">
      <c r="A815" s="17"/>
      <c r="B815" s="18"/>
      <c r="C815" s="18"/>
      <c r="D815" s="19"/>
      <c r="E815" s="10" t="str">
        <f t="shared" si="12"/>
        <v/>
      </c>
      <c r="F815" s="18"/>
    </row>
    <row r="816" spans="1:6" x14ac:dyDescent="0.3">
      <c r="A816" s="17"/>
      <c r="B816" s="18"/>
      <c r="C816" s="18"/>
      <c r="D816" s="19"/>
      <c r="E816" s="10" t="str">
        <f t="shared" si="12"/>
        <v/>
      </c>
      <c r="F816" s="18"/>
    </row>
    <row r="817" spans="1:6" x14ac:dyDescent="0.3">
      <c r="A817" s="17"/>
      <c r="B817" s="18"/>
      <c r="C817" s="18"/>
      <c r="D817" s="19"/>
      <c r="E817" s="10" t="str">
        <f t="shared" si="12"/>
        <v/>
      </c>
      <c r="F817" s="18"/>
    </row>
    <row r="818" spans="1:6" x14ac:dyDescent="0.3">
      <c r="A818" s="17"/>
      <c r="B818" s="18"/>
      <c r="C818" s="18"/>
      <c r="D818" s="19"/>
      <c r="E818" s="10" t="str">
        <f t="shared" si="12"/>
        <v/>
      </c>
      <c r="F818" s="18"/>
    </row>
    <row r="819" spans="1:6" x14ac:dyDescent="0.3">
      <c r="A819" s="17"/>
      <c r="B819" s="18"/>
      <c r="C819" s="18"/>
      <c r="D819" s="19"/>
      <c r="E819" s="10" t="str">
        <f t="shared" si="12"/>
        <v/>
      </c>
      <c r="F819" s="18"/>
    </row>
    <row r="820" spans="1:6" x14ac:dyDescent="0.3">
      <c r="A820" s="17"/>
      <c r="B820" s="18"/>
      <c r="C820" s="18"/>
      <c r="D820" s="19"/>
      <c r="E820" s="10" t="str">
        <f t="shared" si="12"/>
        <v/>
      </c>
      <c r="F820" s="18"/>
    </row>
    <row r="821" spans="1:6" x14ac:dyDescent="0.3">
      <c r="A821" s="17"/>
      <c r="B821" s="18"/>
      <c r="C821" s="18"/>
      <c r="D821" s="19"/>
      <c r="E821" s="10" t="str">
        <f t="shared" si="12"/>
        <v/>
      </c>
      <c r="F821" s="18"/>
    </row>
    <row r="822" spans="1:6" x14ac:dyDescent="0.3">
      <c r="A822" s="17"/>
      <c r="B822" s="18"/>
      <c r="C822" s="18"/>
      <c r="D822" s="19"/>
      <c r="E822" s="10" t="str">
        <f t="shared" si="12"/>
        <v/>
      </c>
      <c r="F822" s="18"/>
    </row>
    <row r="823" spans="1:6" x14ac:dyDescent="0.3">
      <c r="A823" s="17"/>
      <c r="B823" s="18"/>
      <c r="C823" s="18"/>
      <c r="D823" s="19"/>
      <c r="E823" s="10" t="str">
        <f t="shared" si="12"/>
        <v/>
      </c>
      <c r="F823" s="18"/>
    </row>
    <row r="824" spans="1:6" x14ac:dyDescent="0.3">
      <c r="A824" s="17"/>
      <c r="B824" s="18"/>
      <c r="C824" s="18"/>
      <c r="D824" s="19"/>
      <c r="E824" s="10" t="str">
        <f t="shared" si="12"/>
        <v/>
      </c>
      <c r="F824" s="18"/>
    </row>
    <row r="825" spans="1:6" x14ac:dyDescent="0.3">
      <c r="A825" s="17"/>
      <c r="B825" s="18"/>
      <c r="C825" s="18"/>
      <c r="D825" s="19"/>
      <c r="E825" s="10" t="str">
        <f t="shared" si="12"/>
        <v/>
      </c>
      <c r="F825" s="18"/>
    </row>
    <row r="826" spans="1:6" x14ac:dyDescent="0.3">
      <c r="A826" s="17"/>
      <c r="B826" s="18"/>
      <c r="C826" s="18"/>
      <c r="D826" s="19"/>
      <c r="E826" s="10" t="str">
        <f t="shared" si="12"/>
        <v/>
      </c>
      <c r="F826" s="18"/>
    </row>
    <row r="827" spans="1:6" x14ac:dyDescent="0.3">
      <c r="A827" s="17"/>
      <c r="B827" s="18"/>
      <c r="C827" s="18"/>
      <c r="D827" s="19"/>
      <c r="E827" s="10" t="str">
        <f t="shared" si="12"/>
        <v/>
      </c>
      <c r="F827" s="18"/>
    </row>
    <row r="828" spans="1:6" x14ac:dyDescent="0.3">
      <c r="A828" s="17"/>
      <c r="B828" s="18"/>
      <c r="C828" s="18"/>
      <c r="D828" s="19"/>
      <c r="E828" s="10" t="str">
        <f t="shared" si="12"/>
        <v/>
      </c>
      <c r="F828" s="18"/>
    </row>
    <row r="829" spans="1:6" x14ac:dyDescent="0.3">
      <c r="A829" s="17"/>
      <c r="B829" s="18"/>
      <c r="C829" s="18"/>
      <c r="D829" s="19"/>
      <c r="E829" s="10" t="str">
        <f t="shared" si="12"/>
        <v/>
      </c>
      <c r="F829" s="18"/>
    </row>
    <row r="830" spans="1:6" x14ac:dyDescent="0.3">
      <c r="A830" s="17"/>
      <c r="B830" s="18"/>
      <c r="C830" s="18"/>
      <c r="D830" s="19"/>
      <c r="E830" s="10" t="str">
        <f t="shared" si="12"/>
        <v/>
      </c>
      <c r="F830" s="18"/>
    </row>
    <row r="831" spans="1:6" x14ac:dyDescent="0.3">
      <c r="A831" s="17"/>
      <c r="B831" s="18"/>
      <c r="C831" s="18"/>
      <c r="D831" s="19"/>
      <c r="E831" s="10" t="str">
        <f t="shared" si="12"/>
        <v/>
      </c>
      <c r="F831" s="18"/>
    </row>
    <row r="832" spans="1:6" x14ac:dyDescent="0.3">
      <c r="A832" s="17"/>
      <c r="B832" s="18"/>
      <c r="C832" s="18"/>
      <c r="D832" s="19"/>
      <c r="E832" s="10" t="str">
        <f t="shared" si="12"/>
        <v/>
      </c>
      <c r="F832" s="18"/>
    </row>
    <row r="833" spans="1:6" x14ac:dyDescent="0.3">
      <c r="A833" s="17"/>
      <c r="B833" s="18"/>
      <c r="C833" s="18"/>
      <c r="D833" s="19"/>
      <c r="E833" s="10" t="str">
        <f t="shared" si="12"/>
        <v/>
      </c>
      <c r="F833" s="18"/>
    </row>
    <row r="834" spans="1:6" x14ac:dyDescent="0.3">
      <c r="A834" s="17"/>
      <c r="B834" s="18"/>
      <c r="C834" s="18"/>
      <c r="D834" s="19"/>
      <c r="E834" s="10" t="str">
        <f t="shared" si="12"/>
        <v/>
      </c>
      <c r="F834" s="18"/>
    </row>
    <row r="835" spans="1:6" x14ac:dyDescent="0.3">
      <c r="A835" s="17"/>
      <c r="B835" s="18"/>
      <c r="C835" s="18"/>
      <c r="D835" s="19"/>
      <c r="E835" s="10" t="str">
        <f t="shared" si="12"/>
        <v/>
      </c>
      <c r="F835" s="18"/>
    </row>
    <row r="836" spans="1:6" x14ac:dyDescent="0.3">
      <c r="A836" s="17"/>
      <c r="B836" s="18"/>
      <c r="C836" s="18"/>
      <c r="D836" s="19"/>
      <c r="E836" s="10" t="str">
        <f t="shared" si="12"/>
        <v/>
      </c>
      <c r="F836" s="18"/>
    </row>
    <row r="837" spans="1:6" x14ac:dyDescent="0.3">
      <c r="A837" s="17"/>
      <c r="B837" s="18"/>
      <c r="C837" s="18"/>
      <c r="D837" s="19"/>
      <c r="E837" s="10" t="str">
        <f t="shared" si="12"/>
        <v/>
      </c>
      <c r="F837" s="18"/>
    </row>
    <row r="838" spans="1:6" x14ac:dyDescent="0.3">
      <c r="A838" s="17"/>
      <c r="B838" s="18"/>
      <c r="C838" s="18"/>
      <c r="D838" s="19"/>
      <c r="E838" s="10" t="str">
        <f t="shared" ref="E838:E901" si="13">IF(OR(C838="",D838=""),"",C838*D838)</f>
        <v/>
      </c>
      <c r="F838" s="18"/>
    </row>
    <row r="839" spans="1:6" x14ac:dyDescent="0.3">
      <c r="A839" s="17"/>
      <c r="B839" s="18"/>
      <c r="C839" s="18"/>
      <c r="D839" s="19"/>
      <c r="E839" s="10" t="str">
        <f t="shared" si="13"/>
        <v/>
      </c>
      <c r="F839" s="18"/>
    </row>
    <row r="840" spans="1:6" x14ac:dyDescent="0.3">
      <c r="A840" s="17"/>
      <c r="B840" s="18"/>
      <c r="C840" s="18"/>
      <c r="D840" s="19"/>
      <c r="E840" s="10" t="str">
        <f t="shared" si="13"/>
        <v/>
      </c>
      <c r="F840" s="18"/>
    </row>
    <row r="841" spans="1:6" x14ac:dyDescent="0.3">
      <c r="A841" s="17"/>
      <c r="B841" s="18"/>
      <c r="C841" s="18"/>
      <c r="D841" s="19"/>
      <c r="E841" s="10" t="str">
        <f t="shared" si="13"/>
        <v/>
      </c>
      <c r="F841" s="18"/>
    </row>
    <row r="842" spans="1:6" x14ac:dyDescent="0.3">
      <c r="A842" s="17"/>
      <c r="B842" s="18"/>
      <c r="C842" s="18"/>
      <c r="D842" s="19"/>
      <c r="E842" s="10" t="str">
        <f t="shared" si="13"/>
        <v/>
      </c>
      <c r="F842" s="18"/>
    </row>
    <row r="843" spans="1:6" x14ac:dyDescent="0.3">
      <c r="A843" s="17"/>
      <c r="B843" s="18"/>
      <c r="C843" s="18"/>
      <c r="D843" s="19"/>
      <c r="E843" s="10" t="str">
        <f t="shared" si="13"/>
        <v/>
      </c>
      <c r="F843" s="18"/>
    </row>
    <row r="844" spans="1:6" x14ac:dyDescent="0.3">
      <c r="A844" s="17"/>
      <c r="B844" s="18"/>
      <c r="C844" s="18"/>
      <c r="D844" s="19"/>
      <c r="E844" s="10" t="str">
        <f t="shared" si="13"/>
        <v/>
      </c>
      <c r="F844" s="18"/>
    </row>
    <row r="845" spans="1:6" x14ac:dyDescent="0.3">
      <c r="A845" s="17"/>
      <c r="B845" s="18"/>
      <c r="C845" s="18"/>
      <c r="D845" s="19"/>
      <c r="E845" s="10" t="str">
        <f t="shared" si="13"/>
        <v/>
      </c>
      <c r="F845" s="18"/>
    </row>
    <row r="846" spans="1:6" x14ac:dyDescent="0.3">
      <c r="A846" s="17"/>
      <c r="B846" s="18"/>
      <c r="C846" s="18"/>
      <c r="D846" s="19"/>
      <c r="E846" s="10" t="str">
        <f t="shared" si="13"/>
        <v/>
      </c>
      <c r="F846" s="18"/>
    </row>
    <row r="847" spans="1:6" x14ac:dyDescent="0.3">
      <c r="A847" s="17"/>
      <c r="B847" s="18"/>
      <c r="C847" s="18"/>
      <c r="D847" s="19"/>
      <c r="E847" s="10" t="str">
        <f t="shared" si="13"/>
        <v/>
      </c>
      <c r="F847" s="18"/>
    </row>
    <row r="848" spans="1:6" x14ac:dyDescent="0.3">
      <c r="A848" s="17"/>
      <c r="B848" s="18"/>
      <c r="C848" s="18"/>
      <c r="D848" s="19"/>
      <c r="E848" s="10" t="str">
        <f t="shared" si="13"/>
        <v/>
      </c>
      <c r="F848" s="18"/>
    </row>
    <row r="849" spans="1:6" x14ac:dyDescent="0.3">
      <c r="A849" s="17"/>
      <c r="B849" s="18"/>
      <c r="C849" s="18"/>
      <c r="D849" s="19"/>
      <c r="E849" s="10" t="str">
        <f t="shared" si="13"/>
        <v/>
      </c>
      <c r="F849" s="18"/>
    </row>
    <row r="850" spans="1:6" x14ac:dyDescent="0.3">
      <c r="A850" s="17"/>
      <c r="B850" s="18"/>
      <c r="C850" s="18"/>
      <c r="D850" s="19"/>
      <c r="E850" s="10" t="str">
        <f t="shared" si="13"/>
        <v/>
      </c>
      <c r="F850" s="18"/>
    </row>
    <row r="851" spans="1:6" x14ac:dyDescent="0.3">
      <c r="A851" s="17"/>
      <c r="B851" s="18"/>
      <c r="C851" s="18"/>
      <c r="D851" s="19"/>
      <c r="E851" s="10" t="str">
        <f t="shared" si="13"/>
        <v/>
      </c>
      <c r="F851" s="18"/>
    </row>
    <row r="852" spans="1:6" x14ac:dyDescent="0.3">
      <c r="A852" s="17"/>
      <c r="B852" s="18"/>
      <c r="C852" s="18"/>
      <c r="D852" s="19"/>
      <c r="E852" s="10" t="str">
        <f t="shared" si="13"/>
        <v/>
      </c>
      <c r="F852" s="18"/>
    </row>
    <row r="853" spans="1:6" x14ac:dyDescent="0.3">
      <c r="A853" s="17"/>
      <c r="B853" s="18"/>
      <c r="C853" s="18"/>
      <c r="D853" s="19"/>
      <c r="E853" s="10" t="str">
        <f t="shared" si="13"/>
        <v/>
      </c>
      <c r="F853" s="18"/>
    </row>
    <row r="854" spans="1:6" x14ac:dyDescent="0.3">
      <c r="A854" s="17"/>
      <c r="B854" s="18"/>
      <c r="C854" s="18"/>
      <c r="D854" s="19"/>
      <c r="E854" s="10" t="str">
        <f t="shared" si="13"/>
        <v/>
      </c>
      <c r="F854" s="18"/>
    </row>
    <row r="855" spans="1:6" x14ac:dyDescent="0.3">
      <c r="A855" s="17"/>
      <c r="B855" s="18"/>
      <c r="C855" s="18"/>
      <c r="D855" s="19"/>
      <c r="E855" s="10" t="str">
        <f t="shared" si="13"/>
        <v/>
      </c>
      <c r="F855" s="18"/>
    </row>
    <row r="856" spans="1:6" x14ac:dyDescent="0.3">
      <c r="A856" s="17"/>
      <c r="B856" s="18"/>
      <c r="C856" s="18"/>
      <c r="D856" s="19"/>
      <c r="E856" s="10" t="str">
        <f t="shared" si="13"/>
        <v/>
      </c>
      <c r="F856" s="18"/>
    </row>
    <row r="857" spans="1:6" x14ac:dyDescent="0.3">
      <c r="A857" s="17"/>
      <c r="B857" s="18"/>
      <c r="C857" s="18"/>
      <c r="D857" s="19"/>
      <c r="E857" s="10" t="str">
        <f t="shared" si="13"/>
        <v/>
      </c>
      <c r="F857" s="18"/>
    </row>
    <row r="858" spans="1:6" x14ac:dyDescent="0.3">
      <c r="A858" s="17"/>
      <c r="B858" s="18"/>
      <c r="C858" s="18"/>
      <c r="D858" s="19"/>
      <c r="E858" s="10" t="str">
        <f t="shared" si="13"/>
        <v/>
      </c>
      <c r="F858" s="18"/>
    </row>
    <row r="859" spans="1:6" x14ac:dyDescent="0.3">
      <c r="A859" s="17"/>
      <c r="B859" s="18"/>
      <c r="C859" s="18"/>
      <c r="D859" s="19"/>
      <c r="E859" s="10" t="str">
        <f t="shared" si="13"/>
        <v/>
      </c>
      <c r="F859" s="18"/>
    </row>
    <row r="860" spans="1:6" x14ac:dyDescent="0.3">
      <c r="A860" s="17"/>
      <c r="B860" s="18"/>
      <c r="C860" s="18"/>
      <c r="D860" s="19"/>
      <c r="E860" s="10" t="str">
        <f t="shared" si="13"/>
        <v/>
      </c>
      <c r="F860" s="18"/>
    </row>
    <row r="861" spans="1:6" x14ac:dyDescent="0.3">
      <c r="A861" s="17"/>
      <c r="B861" s="18"/>
      <c r="C861" s="18"/>
      <c r="D861" s="19"/>
      <c r="E861" s="10" t="str">
        <f t="shared" si="13"/>
        <v/>
      </c>
      <c r="F861" s="18"/>
    </row>
    <row r="862" spans="1:6" x14ac:dyDescent="0.3">
      <c r="A862" s="17"/>
      <c r="B862" s="18"/>
      <c r="C862" s="18"/>
      <c r="D862" s="19"/>
      <c r="E862" s="10" t="str">
        <f t="shared" si="13"/>
        <v/>
      </c>
      <c r="F862" s="18"/>
    </row>
    <row r="863" spans="1:6" x14ac:dyDescent="0.3">
      <c r="A863" s="17"/>
      <c r="B863" s="18"/>
      <c r="C863" s="18"/>
      <c r="D863" s="19"/>
      <c r="E863" s="10" t="str">
        <f t="shared" si="13"/>
        <v/>
      </c>
      <c r="F863" s="18"/>
    </row>
    <row r="864" spans="1:6" x14ac:dyDescent="0.3">
      <c r="A864" s="17"/>
      <c r="B864" s="18"/>
      <c r="C864" s="18"/>
      <c r="D864" s="19"/>
      <c r="E864" s="10" t="str">
        <f t="shared" si="13"/>
        <v/>
      </c>
      <c r="F864" s="18"/>
    </row>
    <row r="865" spans="1:6" x14ac:dyDescent="0.3">
      <c r="A865" s="17"/>
      <c r="B865" s="18"/>
      <c r="C865" s="18"/>
      <c r="D865" s="19"/>
      <c r="E865" s="10" t="str">
        <f t="shared" si="13"/>
        <v/>
      </c>
      <c r="F865" s="18"/>
    </row>
    <row r="866" spans="1:6" x14ac:dyDescent="0.3">
      <c r="A866" s="17"/>
      <c r="B866" s="18"/>
      <c r="C866" s="18"/>
      <c r="D866" s="19"/>
      <c r="E866" s="10" t="str">
        <f t="shared" si="13"/>
        <v/>
      </c>
      <c r="F866" s="18"/>
    </row>
    <row r="867" spans="1:6" x14ac:dyDescent="0.3">
      <c r="A867" s="17"/>
      <c r="B867" s="18"/>
      <c r="C867" s="18"/>
      <c r="D867" s="19"/>
      <c r="E867" s="10" t="str">
        <f t="shared" si="13"/>
        <v/>
      </c>
      <c r="F867" s="18"/>
    </row>
    <row r="868" spans="1:6" x14ac:dyDescent="0.3">
      <c r="A868" s="17"/>
      <c r="B868" s="18"/>
      <c r="C868" s="18"/>
      <c r="D868" s="19"/>
      <c r="E868" s="10" t="str">
        <f t="shared" si="13"/>
        <v/>
      </c>
      <c r="F868" s="18"/>
    </row>
    <row r="869" spans="1:6" x14ac:dyDescent="0.3">
      <c r="A869" s="17"/>
      <c r="B869" s="18"/>
      <c r="C869" s="18"/>
      <c r="D869" s="19"/>
      <c r="E869" s="10" t="str">
        <f t="shared" si="13"/>
        <v/>
      </c>
      <c r="F869" s="18"/>
    </row>
    <row r="870" spans="1:6" x14ac:dyDescent="0.3">
      <c r="A870" s="17"/>
      <c r="B870" s="18"/>
      <c r="C870" s="18"/>
      <c r="D870" s="19"/>
      <c r="E870" s="10" t="str">
        <f t="shared" si="13"/>
        <v/>
      </c>
      <c r="F870" s="18"/>
    </row>
    <row r="871" spans="1:6" x14ac:dyDescent="0.3">
      <c r="A871" s="17"/>
      <c r="B871" s="18"/>
      <c r="C871" s="18"/>
      <c r="D871" s="19"/>
      <c r="E871" s="10" t="str">
        <f t="shared" si="13"/>
        <v/>
      </c>
      <c r="F871" s="18"/>
    </row>
    <row r="872" spans="1:6" x14ac:dyDescent="0.3">
      <c r="A872" s="17"/>
      <c r="B872" s="18"/>
      <c r="C872" s="18"/>
      <c r="D872" s="19"/>
      <c r="E872" s="10" t="str">
        <f t="shared" si="13"/>
        <v/>
      </c>
      <c r="F872" s="18"/>
    </row>
    <row r="873" spans="1:6" x14ac:dyDescent="0.3">
      <c r="A873" s="17"/>
      <c r="B873" s="18"/>
      <c r="C873" s="18"/>
      <c r="D873" s="19"/>
      <c r="E873" s="10" t="str">
        <f t="shared" si="13"/>
        <v/>
      </c>
      <c r="F873" s="18"/>
    </row>
    <row r="874" spans="1:6" x14ac:dyDescent="0.3">
      <c r="A874" s="17"/>
      <c r="B874" s="18"/>
      <c r="C874" s="18"/>
      <c r="D874" s="19"/>
      <c r="E874" s="10" t="str">
        <f t="shared" si="13"/>
        <v/>
      </c>
      <c r="F874" s="18"/>
    </row>
    <row r="875" spans="1:6" x14ac:dyDescent="0.3">
      <c r="A875" s="17"/>
      <c r="B875" s="18"/>
      <c r="C875" s="18"/>
      <c r="D875" s="19"/>
      <c r="E875" s="10" t="str">
        <f t="shared" si="13"/>
        <v/>
      </c>
      <c r="F875" s="18"/>
    </row>
    <row r="876" spans="1:6" x14ac:dyDescent="0.3">
      <c r="A876" s="17"/>
      <c r="B876" s="18"/>
      <c r="C876" s="18"/>
      <c r="D876" s="19"/>
      <c r="E876" s="10" t="str">
        <f t="shared" si="13"/>
        <v/>
      </c>
      <c r="F876" s="18"/>
    </row>
    <row r="877" spans="1:6" x14ac:dyDescent="0.3">
      <c r="A877" s="17"/>
      <c r="B877" s="18"/>
      <c r="C877" s="18"/>
      <c r="D877" s="19"/>
      <c r="E877" s="10" t="str">
        <f t="shared" si="13"/>
        <v/>
      </c>
      <c r="F877" s="18"/>
    </row>
    <row r="878" spans="1:6" x14ac:dyDescent="0.3">
      <c r="A878" s="17"/>
      <c r="B878" s="18"/>
      <c r="C878" s="18"/>
      <c r="D878" s="19"/>
      <c r="E878" s="10" t="str">
        <f t="shared" si="13"/>
        <v/>
      </c>
      <c r="F878" s="18"/>
    </row>
    <row r="879" spans="1:6" x14ac:dyDescent="0.3">
      <c r="A879" s="17"/>
      <c r="B879" s="18"/>
      <c r="C879" s="18"/>
      <c r="D879" s="19"/>
      <c r="E879" s="10" t="str">
        <f t="shared" si="13"/>
        <v/>
      </c>
      <c r="F879" s="18"/>
    </row>
    <row r="880" spans="1:6" x14ac:dyDescent="0.3">
      <c r="A880" s="17"/>
      <c r="B880" s="18"/>
      <c r="C880" s="18"/>
      <c r="D880" s="19"/>
      <c r="E880" s="10" t="str">
        <f t="shared" si="13"/>
        <v/>
      </c>
      <c r="F880" s="18"/>
    </row>
    <row r="881" spans="1:6" x14ac:dyDescent="0.3">
      <c r="A881" s="17"/>
      <c r="B881" s="18"/>
      <c r="C881" s="18"/>
      <c r="D881" s="19"/>
      <c r="E881" s="10" t="str">
        <f t="shared" si="13"/>
        <v/>
      </c>
      <c r="F881" s="18"/>
    </row>
    <row r="882" spans="1:6" x14ac:dyDescent="0.3">
      <c r="A882" s="17"/>
      <c r="B882" s="18"/>
      <c r="C882" s="18"/>
      <c r="D882" s="19"/>
      <c r="E882" s="10" t="str">
        <f t="shared" si="13"/>
        <v/>
      </c>
      <c r="F882" s="18"/>
    </row>
    <row r="883" spans="1:6" x14ac:dyDescent="0.3">
      <c r="A883" s="17"/>
      <c r="B883" s="18"/>
      <c r="C883" s="18"/>
      <c r="D883" s="19"/>
      <c r="E883" s="10" t="str">
        <f t="shared" si="13"/>
        <v/>
      </c>
      <c r="F883" s="18"/>
    </row>
    <row r="884" spans="1:6" x14ac:dyDescent="0.3">
      <c r="A884" s="17"/>
      <c r="B884" s="18"/>
      <c r="C884" s="18"/>
      <c r="D884" s="19"/>
      <c r="E884" s="10" t="str">
        <f t="shared" si="13"/>
        <v/>
      </c>
      <c r="F884" s="18"/>
    </row>
    <row r="885" spans="1:6" x14ac:dyDescent="0.3">
      <c r="A885" s="17"/>
      <c r="B885" s="18"/>
      <c r="C885" s="18"/>
      <c r="D885" s="19"/>
      <c r="E885" s="10" t="str">
        <f t="shared" si="13"/>
        <v/>
      </c>
      <c r="F885" s="18"/>
    </row>
    <row r="886" spans="1:6" x14ac:dyDescent="0.3">
      <c r="A886" s="17"/>
      <c r="B886" s="18"/>
      <c r="C886" s="18"/>
      <c r="D886" s="19"/>
      <c r="E886" s="10" t="str">
        <f t="shared" si="13"/>
        <v/>
      </c>
      <c r="F886" s="18"/>
    </row>
    <row r="887" spans="1:6" x14ac:dyDescent="0.3">
      <c r="A887" s="17"/>
      <c r="B887" s="18"/>
      <c r="C887" s="18"/>
      <c r="D887" s="19"/>
      <c r="E887" s="10" t="str">
        <f t="shared" si="13"/>
        <v/>
      </c>
      <c r="F887" s="18"/>
    </row>
    <row r="888" spans="1:6" x14ac:dyDescent="0.3">
      <c r="A888" s="17"/>
      <c r="B888" s="18"/>
      <c r="C888" s="18"/>
      <c r="D888" s="19"/>
      <c r="E888" s="10" t="str">
        <f t="shared" si="13"/>
        <v/>
      </c>
      <c r="F888" s="18"/>
    </row>
    <row r="889" spans="1:6" x14ac:dyDescent="0.3">
      <c r="A889" s="17"/>
      <c r="B889" s="18"/>
      <c r="C889" s="18"/>
      <c r="D889" s="19"/>
      <c r="E889" s="10" t="str">
        <f t="shared" si="13"/>
        <v/>
      </c>
      <c r="F889" s="18"/>
    </row>
    <row r="890" spans="1:6" x14ac:dyDescent="0.3">
      <c r="A890" s="17"/>
      <c r="B890" s="18"/>
      <c r="C890" s="18"/>
      <c r="D890" s="19"/>
      <c r="E890" s="10" t="str">
        <f t="shared" si="13"/>
        <v/>
      </c>
      <c r="F890" s="18"/>
    </row>
    <row r="891" spans="1:6" x14ac:dyDescent="0.3">
      <c r="A891" s="17"/>
      <c r="B891" s="18"/>
      <c r="C891" s="18"/>
      <c r="D891" s="19"/>
      <c r="E891" s="10" t="str">
        <f t="shared" si="13"/>
        <v/>
      </c>
      <c r="F891" s="18"/>
    </row>
    <row r="892" spans="1:6" x14ac:dyDescent="0.3">
      <c r="A892" s="17"/>
      <c r="B892" s="18"/>
      <c r="C892" s="18"/>
      <c r="D892" s="19"/>
      <c r="E892" s="10" t="str">
        <f t="shared" si="13"/>
        <v/>
      </c>
      <c r="F892" s="18"/>
    </row>
    <row r="893" spans="1:6" x14ac:dyDescent="0.3">
      <c r="A893" s="17"/>
      <c r="B893" s="18"/>
      <c r="C893" s="18"/>
      <c r="D893" s="19"/>
      <c r="E893" s="10" t="str">
        <f t="shared" si="13"/>
        <v/>
      </c>
      <c r="F893" s="18"/>
    </row>
    <row r="894" spans="1:6" x14ac:dyDescent="0.3">
      <c r="A894" s="17"/>
      <c r="B894" s="18"/>
      <c r="C894" s="18"/>
      <c r="D894" s="19"/>
      <c r="E894" s="10" t="str">
        <f t="shared" si="13"/>
        <v/>
      </c>
      <c r="F894" s="18"/>
    </row>
    <row r="895" spans="1:6" x14ac:dyDescent="0.3">
      <c r="A895" s="17"/>
      <c r="B895" s="18"/>
      <c r="C895" s="18"/>
      <c r="D895" s="19"/>
      <c r="E895" s="10" t="str">
        <f t="shared" si="13"/>
        <v/>
      </c>
      <c r="F895" s="18"/>
    </row>
    <row r="896" spans="1:6" x14ac:dyDescent="0.3">
      <c r="A896" s="17"/>
      <c r="B896" s="18"/>
      <c r="C896" s="18"/>
      <c r="D896" s="19"/>
      <c r="E896" s="10" t="str">
        <f t="shared" si="13"/>
        <v/>
      </c>
      <c r="F896" s="18"/>
    </row>
    <row r="897" spans="1:6" x14ac:dyDescent="0.3">
      <c r="A897" s="17"/>
      <c r="B897" s="18"/>
      <c r="C897" s="18"/>
      <c r="D897" s="19"/>
      <c r="E897" s="10" t="str">
        <f t="shared" si="13"/>
        <v/>
      </c>
      <c r="F897" s="18"/>
    </row>
    <row r="898" spans="1:6" x14ac:dyDescent="0.3">
      <c r="A898" s="17"/>
      <c r="B898" s="18"/>
      <c r="C898" s="18"/>
      <c r="D898" s="19"/>
      <c r="E898" s="10" t="str">
        <f t="shared" si="13"/>
        <v/>
      </c>
      <c r="F898" s="18"/>
    </row>
    <row r="899" spans="1:6" x14ac:dyDescent="0.3">
      <c r="A899" s="17"/>
      <c r="B899" s="18"/>
      <c r="C899" s="18"/>
      <c r="D899" s="19"/>
      <c r="E899" s="10" t="str">
        <f t="shared" si="13"/>
        <v/>
      </c>
      <c r="F899" s="18"/>
    </row>
    <row r="900" spans="1:6" x14ac:dyDescent="0.3">
      <c r="A900" s="17"/>
      <c r="B900" s="18"/>
      <c r="C900" s="18"/>
      <c r="D900" s="19"/>
      <c r="E900" s="10" t="str">
        <f t="shared" si="13"/>
        <v/>
      </c>
      <c r="F900" s="18"/>
    </row>
    <row r="901" spans="1:6" x14ac:dyDescent="0.3">
      <c r="A901" s="17"/>
      <c r="B901" s="18"/>
      <c r="C901" s="18"/>
      <c r="D901" s="19"/>
      <c r="E901" s="10" t="str">
        <f t="shared" si="13"/>
        <v/>
      </c>
      <c r="F901" s="18"/>
    </row>
    <row r="902" spans="1:6" x14ac:dyDescent="0.3">
      <c r="A902" s="17"/>
      <c r="B902" s="18"/>
      <c r="C902" s="18"/>
      <c r="D902" s="19"/>
      <c r="E902" s="10" t="str">
        <f t="shared" ref="E902:E965" si="14">IF(OR(C902="",D902=""),"",C902*D902)</f>
        <v/>
      </c>
      <c r="F902" s="18"/>
    </row>
    <row r="903" spans="1:6" x14ac:dyDescent="0.3">
      <c r="A903" s="17"/>
      <c r="B903" s="18"/>
      <c r="C903" s="18"/>
      <c r="D903" s="19"/>
      <c r="E903" s="10" t="str">
        <f t="shared" si="14"/>
        <v/>
      </c>
      <c r="F903" s="18"/>
    </row>
    <row r="904" spans="1:6" x14ac:dyDescent="0.3">
      <c r="A904" s="17"/>
      <c r="B904" s="18"/>
      <c r="C904" s="18"/>
      <c r="D904" s="19"/>
      <c r="E904" s="10" t="str">
        <f t="shared" si="14"/>
        <v/>
      </c>
      <c r="F904" s="18"/>
    </row>
    <row r="905" spans="1:6" x14ac:dyDescent="0.3">
      <c r="A905" s="17"/>
      <c r="B905" s="18"/>
      <c r="C905" s="18"/>
      <c r="D905" s="19"/>
      <c r="E905" s="10" t="str">
        <f t="shared" si="14"/>
        <v/>
      </c>
      <c r="F905" s="18"/>
    </row>
    <row r="906" spans="1:6" x14ac:dyDescent="0.3">
      <c r="A906" s="17"/>
      <c r="B906" s="18"/>
      <c r="C906" s="18"/>
      <c r="D906" s="19"/>
      <c r="E906" s="10" t="str">
        <f t="shared" si="14"/>
        <v/>
      </c>
      <c r="F906" s="18"/>
    </row>
    <row r="907" spans="1:6" x14ac:dyDescent="0.3">
      <c r="A907" s="17"/>
      <c r="B907" s="18"/>
      <c r="C907" s="18"/>
      <c r="D907" s="19"/>
      <c r="E907" s="10" t="str">
        <f t="shared" si="14"/>
        <v/>
      </c>
      <c r="F907" s="18"/>
    </row>
    <row r="908" spans="1:6" x14ac:dyDescent="0.3">
      <c r="A908" s="17"/>
      <c r="B908" s="18"/>
      <c r="C908" s="18"/>
      <c r="D908" s="19"/>
      <c r="E908" s="10" t="str">
        <f t="shared" si="14"/>
        <v/>
      </c>
      <c r="F908" s="18"/>
    </row>
    <row r="909" spans="1:6" x14ac:dyDescent="0.3">
      <c r="A909" s="17"/>
      <c r="B909" s="18"/>
      <c r="C909" s="18"/>
      <c r="D909" s="19"/>
      <c r="E909" s="10" t="str">
        <f t="shared" si="14"/>
        <v/>
      </c>
      <c r="F909" s="18"/>
    </row>
    <row r="910" spans="1:6" x14ac:dyDescent="0.3">
      <c r="A910" s="17"/>
      <c r="B910" s="18"/>
      <c r="C910" s="18"/>
      <c r="D910" s="19"/>
      <c r="E910" s="10" t="str">
        <f t="shared" si="14"/>
        <v/>
      </c>
      <c r="F910" s="18"/>
    </row>
    <row r="911" spans="1:6" x14ac:dyDescent="0.3">
      <c r="A911" s="17"/>
      <c r="B911" s="18"/>
      <c r="C911" s="18"/>
      <c r="D911" s="19"/>
      <c r="E911" s="10" t="str">
        <f t="shared" si="14"/>
        <v/>
      </c>
      <c r="F911" s="18"/>
    </row>
    <row r="912" spans="1:6" x14ac:dyDescent="0.3">
      <c r="A912" s="17"/>
      <c r="B912" s="18"/>
      <c r="C912" s="18"/>
      <c r="D912" s="19"/>
      <c r="E912" s="10" t="str">
        <f t="shared" si="14"/>
        <v/>
      </c>
      <c r="F912" s="18"/>
    </row>
    <row r="913" spans="1:6" x14ac:dyDescent="0.3">
      <c r="A913" s="17"/>
      <c r="B913" s="18"/>
      <c r="C913" s="18"/>
      <c r="D913" s="19"/>
      <c r="E913" s="10" t="str">
        <f t="shared" si="14"/>
        <v/>
      </c>
      <c r="F913" s="18"/>
    </row>
    <row r="914" spans="1:6" x14ac:dyDescent="0.3">
      <c r="A914" s="17"/>
      <c r="B914" s="18"/>
      <c r="C914" s="18"/>
      <c r="D914" s="19"/>
      <c r="E914" s="10" t="str">
        <f t="shared" si="14"/>
        <v/>
      </c>
      <c r="F914" s="18"/>
    </row>
    <row r="915" spans="1:6" x14ac:dyDescent="0.3">
      <c r="A915" s="17"/>
      <c r="B915" s="18"/>
      <c r="C915" s="18"/>
      <c r="D915" s="19"/>
      <c r="E915" s="10" t="str">
        <f t="shared" si="14"/>
        <v/>
      </c>
      <c r="F915" s="18"/>
    </row>
    <row r="916" spans="1:6" x14ac:dyDescent="0.3">
      <c r="A916" s="17"/>
      <c r="B916" s="18"/>
      <c r="C916" s="18"/>
      <c r="D916" s="19"/>
      <c r="E916" s="10" t="str">
        <f t="shared" si="14"/>
        <v/>
      </c>
      <c r="F916" s="18"/>
    </row>
    <row r="917" spans="1:6" x14ac:dyDescent="0.3">
      <c r="A917" s="17"/>
      <c r="B917" s="18"/>
      <c r="C917" s="18"/>
      <c r="D917" s="19"/>
      <c r="E917" s="10" t="str">
        <f t="shared" si="14"/>
        <v/>
      </c>
      <c r="F917" s="18"/>
    </row>
    <row r="918" spans="1:6" x14ac:dyDescent="0.3">
      <c r="A918" s="17"/>
      <c r="B918" s="18"/>
      <c r="C918" s="18"/>
      <c r="D918" s="19"/>
      <c r="E918" s="10" t="str">
        <f t="shared" si="14"/>
        <v/>
      </c>
      <c r="F918" s="18"/>
    </row>
    <row r="919" spans="1:6" x14ac:dyDescent="0.3">
      <c r="A919" s="17"/>
      <c r="B919" s="18"/>
      <c r="C919" s="18"/>
      <c r="D919" s="19"/>
      <c r="E919" s="10" t="str">
        <f t="shared" si="14"/>
        <v/>
      </c>
      <c r="F919" s="18"/>
    </row>
    <row r="920" spans="1:6" x14ac:dyDescent="0.3">
      <c r="A920" s="17"/>
      <c r="B920" s="18"/>
      <c r="C920" s="18"/>
      <c r="D920" s="19"/>
      <c r="E920" s="10" t="str">
        <f t="shared" si="14"/>
        <v/>
      </c>
      <c r="F920" s="18"/>
    </row>
    <row r="921" spans="1:6" x14ac:dyDescent="0.3">
      <c r="A921" s="17"/>
      <c r="B921" s="18"/>
      <c r="C921" s="18"/>
      <c r="D921" s="19"/>
      <c r="E921" s="10" t="str">
        <f t="shared" si="14"/>
        <v/>
      </c>
      <c r="F921" s="18"/>
    </row>
    <row r="922" spans="1:6" x14ac:dyDescent="0.3">
      <c r="A922" s="17"/>
      <c r="B922" s="18"/>
      <c r="C922" s="18"/>
      <c r="D922" s="19"/>
      <c r="E922" s="10" t="str">
        <f t="shared" si="14"/>
        <v/>
      </c>
      <c r="F922" s="18"/>
    </row>
    <row r="923" spans="1:6" x14ac:dyDescent="0.3">
      <c r="A923" s="17"/>
      <c r="B923" s="18"/>
      <c r="C923" s="18"/>
      <c r="D923" s="19"/>
      <c r="E923" s="10" t="str">
        <f t="shared" si="14"/>
        <v/>
      </c>
      <c r="F923" s="18"/>
    </row>
    <row r="924" spans="1:6" x14ac:dyDescent="0.3">
      <c r="A924" s="17"/>
      <c r="B924" s="18"/>
      <c r="C924" s="18"/>
      <c r="D924" s="19"/>
      <c r="E924" s="10" t="str">
        <f t="shared" si="14"/>
        <v/>
      </c>
      <c r="F924" s="18"/>
    </row>
    <row r="925" spans="1:6" x14ac:dyDescent="0.3">
      <c r="A925" s="17"/>
      <c r="B925" s="18"/>
      <c r="C925" s="18"/>
      <c r="D925" s="19"/>
      <c r="E925" s="10" t="str">
        <f t="shared" si="14"/>
        <v/>
      </c>
      <c r="F925" s="18"/>
    </row>
    <row r="926" spans="1:6" x14ac:dyDescent="0.3">
      <c r="A926" s="17"/>
      <c r="B926" s="18"/>
      <c r="C926" s="18"/>
      <c r="D926" s="19"/>
      <c r="E926" s="10" t="str">
        <f t="shared" si="14"/>
        <v/>
      </c>
      <c r="F926" s="18"/>
    </row>
    <row r="927" spans="1:6" x14ac:dyDescent="0.3">
      <c r="A927" s="17"/>
      <c r="B927" s="18"/>
      <c r="C927" s="18"/>
      <c r="D927" s="19"/>
      <c r="E927" s="10" t="str">
        <f t="shared" si="14"/>
        <v/>
      </c>
      <c r="F927" s="18"/>
    </row>
    <row r="928" spans="1:6" x14ac:dyDescent="0.3">
      <c r="A928" s="17"/>
      <c r="B928" s="18"/>
      <c r="C928" s="18"/>
      <c r="D928" s="19"/>
      <c r="E928" s="10" t="str">
        <f t="shared" si="14"/>
        <v/>
      </c>
      <c r="F928" s="18"/>
    </row>
    <row r="929" spans="1:6" x14ac:dyDescent="0.3">
      <c r="A929" s="17"/>
      <c r="B929" s="18"/>
      <c r="C929" s="18"/>
      <c r="D929" s="19"/>
      <c r="E929" s="10" t="str">
        <f t="shared" si="14"/>
        <v/>
      </c>
      <c r="F929" s="18"/>
    </row>
    <row r="930" spans="1:6" x14ac:dyDescent="0.3">
      <c r="A930" s="17"/>
      <c r="B930" s="18"/>
      <c r="C930" s="18"/>
      <c r="D930" s="19"/>
      <c r="E930" s="10" t="str">
        <f t="shared" si="14"/>
        <v/>
      </c>
      <c r="F930" s="18"/>
    </row>
    <row r="931" spans="1:6" x14ac:dyDescent="0.3">
      <c r="A931" s="17"/>
      <c r="B931" s="18"/>
      <c r="C931" s="18"/>
      <c r="D931" s="19"/>
      <c r="E931" s="10" t="str">
        <f t="shared" si="14"/>
        <v/>
      </c>
      <c r="F931" s="18"/>
    </row>
    <row r="932" spans="1:6" x14ac:dyDescent="0.3">
      <c r="A932" s="17"/>
      <c r="B932" s="18"/>
      <c r="C932" s="18"/>
      <c r="D932" s="19"/>
      <c r="E932" s="10" t="str">
        <f t="shared" si="14"/>
        <v/>
      </c>
      <c r="F932" s="18"/>
    </row>
    <row r="933" spans="1:6" x14ac:dyDescent="0.3">
      <c r="A933" s="17"/>
      <c r="B933" s="18"/>
      <c r="C933" s="18"/>
      <c r="D933" s="19"/>
      <c r="E933" s="10" t="str">
        <f t="shared" si="14"/>
        <v/>
      </c>
      <c r="F933" s="18"/>
    </row>
    <row r="934" spans="1:6" x14ac:dyDescent="0.3">
      <c r="A934" s="17"/>
      <c r="B934" s="18"/>
      <c r="C934" s="18"/>
      <c r="D934" s="19"/>
      <c r="E934" s="10" t="str">
        <f t="shared" si="14"/>
        <v/>
      </c>
      <c r="F934" s="18"/>
    </row>
    <row r="935" spans="1:6" x14ac:dyDescent="0.3">
      <c r="A935" s="17"/>
      <c r="B935" s="18"/>
      <c r="C935" s="18"/>
      <c r="D935" s="19"/>
      <c r="E935" s="10" t="str">
        <f t="shared" si="14"/>
        <v/>
      </c>
      <c r="F935" s="18"/>
    </row>
    <row r="936" spans="1:6" x14ac:dyDescent="0.3">
      <c r="A936" s="17"/>
      <c r="B936" s="18"/>
      <c r="C936" s="18"/>
      <c r="D936" s="19"/>
      <c r="E936" s="10" t="str">
        <f t="shared" si="14"/>
        <v/>
      </c>
      <c r="F936" s="18"/>
    </row>
    <row r="937" spans="1:6" x14ac:dyDescent="0.3">
      <c r="A937" s="17"/>
      <c r="B937" s="18"/>
      <c r="C937" s="18"/>
      <c r="D937" s="19"/>
      <c r="E937" s="10" t="str">
        <f t="shared" si="14"/>
        <v/>
      </c>
      <c r="F937" s="18"/>
    </row>
    <row r="938" spans="1:6" x14ac:dyDescent="0.3">
      <c r="A938" s="17"/>
      <c r="B938" s="18"/>
      <c r="C938" s="18"/>
      <c r="D938" s="19"/>
      <c r="E938" s="10" t="str">
        <f t="shared" si="14"/>
        <v/>
      </c>
      <c r="F938" s="18"/>
    </row>
    <row r="939" spans="1:6" x14ac:dyDescent="0.3">
      <c r="A939" s="17"/>
      <c r="B939" s="18"/>
      <c r="C939" s="18"/>
      <c r="D939" s="19"/>
      <c r="E939" s="10" t="str">
        <f t="shared" si="14"/>
        <v/>
      </c>
      <c r="F939" s="18"/>
    </row>
    <row r="940" spans="1:6" x14ac:dyDescent="0.3">
      <c r="A940" s="17"/>
      <c r="B940" s="18"/>
      <c r="C940" s="18"/>
      <c r="D940" s="19"/>
      <c r="E940" s="10" t="str">
        <f t="shared" si="14"/>
        <v/>
      </c>
      <c r="F940" s="18"/>
    </row>
    <row r="941" spans="1:6" x14ac:dyDescent="0.3">
      <c r="A941" s="17"/>
      <c r="B941" s="18"/>
      <c r="C941" s="18"/>
      <c r="D941" s="19"/>
      <c r="E941" s="10" t="str">
        <f t="shared" si="14"/>
        <v/>
      </c>
      <c r="F941" s="18"/>
    </row>
    <row r="942" spans="1:6" x14ac:dyDescent="0.3">
      <c r="A942" s="17"/>
      <c r="B942" s="18"/>
      <c r="C942" s="18"/>
      <c r="D942" s="19"/>
      <c r="E942" s="10" t="str">
        <f t="shared" si="14"/>
        <v/>
      </c>
      <c r="F942" s="18"/>
    </row>
    <row r="943" spans="1:6" x14ac:dyDescent="0.3">
      <c r="A943" s="17"/>
      <c r="B943" s="18"/>
      <c r="C943" s="18"/>
      <c r="D943" s="19"/>
      <c r="E943" s="10" t="str">
        <f t="shared" si="14"/>
        <v/>
      </c>
      <c r="F943" s="18"/>
    </row>
    <row r="944" spans="1:6" x14ac:dyDescent="0.3">
      <c r="A944" s="17"/>
      <c r="B944" s="18"/>
      <c r="C944" s="18"/>
      <c r="D944" s="19"/>
      <c r="E944" s="10" t="str">
        <f t="shared" si="14"/>
        <v/>
      </c>
      <c r="F944" s="18"/>
    </row>
    <row r="945" spans="1:6" x14ac:dyDescent="0.3">
      <c r="A945" s="17"/>
      <c r="B945" s="18"/>
      <c r="C945" s="18"/>
      <c r="D945" s="19"/>
      <c r="E945" s="10" t="str">
        <f t="shared" si="14"/>
        <v/>
      </c>
      <c r="F945" s="18"/>
    </row>
    <row r="946" spans="1:6" x14ac:dyDescent="0.3">
      <c r="A946" s="17"/>
      <c r="B946" s="18"/>
      <c r="C946" s="18"/>
      <c r="D946" s="19"/>
      <c r="E946" s="10" t="str">
        <f t="shared" si="14"/>
        <v/>
      </c>
      <c r="F946" s="18"/>
    </row>
    <row r="947" spans="1:6" x14ac:dyDescent="0.3">
      <c r="A947" s="17"/>
      <c r="B947" s="18"/>
      <c r="C947" s="18"/>
      <c r="D947" s="19"/>
      <c r="E947" s="10" t="str">
        <f t="shared" si="14"/>
        <v/>
      </c>
      <c r="F947" s="18"/>
    </row>
    <row r="948" spans="1:6" x14ac:dyDescent="0.3">
      <c r="A948" s="17"/>
      <c r="B948" s="18"/>
      <c r="C948" s="18"/>
      <c r="D948" s="19"/>
      <c r="E948" s="10" t="str">
        <f t="shared" si="14"/>
        <v/>
      </c>
      <c r="F948" s="18"/>
    </row>
    <row r="949" spans="1:6" x14ac:dyDescent="0.3">
      <c r="A949" s="17"/>
      <c r="B949" s="18"/>
      <c r="C949" s="18"/>
      <c r="D949" s="19"/>
      <c r="E949" s="10" t="str">
        <f t="shared" si="14"/>
        <v/>
      </c>
      <c r="F949" s="18"/>
    </row>
    <row r="950" spans="1:6" x14ac:dyDescent="0.3">
      <c r="A950" s="17"/>
      <c r="B950" s="18"/>
      <c r="C950" s="18"/>
      <c r="D950" s="19"/>
      <c r="E950" s="10" t="str">
        <f t="shared" si="14"/>
        <v/>
      </c>
      <c r="F950" s="18"/>
    </row>
    <row r="951" spans="1:6" x14ac:dyDescent="0.3">
      <c r="A951" s="17"/>
      <c r="B951" s="18"/>
      <c r="C951" s="18"/>
      <c r="D951" s="19"/>
      <c r="E951" s="10" t="str">
        <f t="shared" si="14"/>
        <v/>
      </c>
      <c r="F951" s="18"/>
    </row>
    <row r="952" spans="1:6" x14ac:dyDescent="0.3">
      <c r="A952" s="17"/>
      <c r="B952" s="18"/>
      <c r="C952" s="18"/>
      <c r="D952" s="19"/>
      <c r="E952" s="10" t="str">
        <f t="shared" si="14"/>
        <v/>
      </c>
      <c r="F952" s="18"/>
    </row>
    <row r="953" spans="1:6" x14ac:dyDescent="0.3">
      <c r="A953" s="17"/>
      <c r="B953" s="18"/>
      <c r="C953" s="18"/>
      <c r="D953" s="19"/>
      <c r="E953" s="10" t="str">
        <f t="shared" si="14"/>
        <v/>
      </c>
      <c r="F953" s="18"/>
    </row>
    <row r="954" spans="1:6" x14ac:dyDescent="0.3">
      <c r="A954" s="17"/>
      <c r="B954" s="18"/>
      <c r="C954" s="18"/>
      <c r="D954" s="19"/>
      <c r="E954" s="10" t="str">
        <f t="shared" si="14"/>
        <v/>
      </c>
      <c r="F954" s="18"/>
    </row>
    <row r="955" spans="1:6" x14ac:dyDescent="0.3">
      <c r="A955" s="17"/>
      <c r="B955" s="18"/>
      <c r="C955" s="18"/>
      <c r="D955" s="19"/>
      <c r="E955" s="10" t="str">
        <f t="shared" si="14"/>
        <v/>
      </c>
      <c r="F955" s="18"/>
    </row>
    <row r="956" spans="1:6" x14ac:dyDescent="0.3">
      <c r="A956" s="17"/>
      <c r="B956" s="18"/>
      <c r="C956" s="18"/>
      <c r="D956" s="19"/>
      <c r="E956" s="10" t="str">
        <f t="shared" si="14"/>
        <v/>
      </c>
      <c r="F956" s="18"/>
    </row>
    <row r="957" spans="1:6" x14ac:dyDescent="0.3">
      <c r="A957" s="17"/>
      <c r="B957" s="18"/>
      <c r="C957" s="18"/>
      <c r="D957" s="19"/>
      <c r="E957" s="10" t="str">
        <f t="shared" si="14"/>
        <v/>
      </c>
      <c r="F957" s="18"/>
    </row>
    <row r="958" spans="1:6" x14ac:dyDescent="0.3">
      <c r="A958" s="17"/>
      <c r="B958" s="18"/>
      <c r="C958" s="18"/>
      <c r="D958" s="19"/>
      <c r="E958" s="10" t="str">
        <f t="shared" si="14"/>
        <v/>
      </c>
      <c r="F958" s="18"/>
    </row>
    <row r="959" spans="1:6" x14ac:dyDescent="0.3">
      <c r="A959" s="17"/>
      <c r="B959" s="18"/>
      <c r="C959" s="18"/>
      <c r="D959" s="19"/>
      <c r="E959" s="10" t="str">
        <f t="shared" si="14"/>
        <v/>
      </c>
      <c r="F959" s="18"/>
    </row>
    <row r="960" spans="1:6" x14ac:dyDescent="0.3">
      <c r="A960" s="17"/>
      <c r="B960" s="18"/>
      <c r="C960" s="18"/>
      <c r="D960" s="19"/>
      <c r="E960" s="10" t="str">
        <f t="shared" si="14"/>
        <v/>
      </c>
      <c r="F960" s="18"/>
    </row>
    <row r="961" spans="1:6" x14ac:dyDescent="0.3">
      <c r="A961" s="17"/>
      <c r="B961" s="18"/>
      <c r="C961" s="18"/>
      <c r="D961" s="19"/>
      <c r="E961" s="10" t="str">
        <f t="shared" si="14"/>
        <v/>
      </c>
      <c r="F961" s="18"/>
    </row>
    <row r="962" spans="1:6" x14ac:dyDescent="0.3">
      <c r="A962" s="17"/>
      <c r="B962" s="18"/>
      <c r="C962" s="18"/>
      <c r="D962" s="19"/>
      <c r="E962" s="10" t="str">
        <f t="shared" si="14"/>
        <v/>
      </c>
      <c r="F962" s="18"/>
    </row>
    <row r="963" spans="1:6" x14ac:dyDescent="0.3">
      <c r="A963" s="17"/>
      <c r="B963" s="18"/>
      <c r="C963" s="18"/>
      <c r="D963" s="19"/>
      <c r="E963" s="10" t="str">
        <f t="shared" si="14"/>
        <v/>
      </c>
      <c r="F963" s="18"/>
    </row>
    <row r="964" spans="1:6" x14ac:dyDescent="0.3">
      <c r="A964" s="17"/>
      <c r="B964" s="18"/>
      <c r="C964" s="18"/>
      <c r="D964" s="19"/>
      <c r="E964" s="10" t="str">
        <f t="shared" si="14"/>
        <v/>
      </c>
      <c r="F964" s="18"/>
    </row>
    <row r="965" spans="1:6" x14ac:dyDescent="0.3">
      <c r="A965" s="17"/>
      <c r="B965" s="18"/>
      <c r="C965" s="18"/>
      <c r="D965" s="19"/>
      <c r="E965" s="10" t="str">
        <f t="shared" si="14"/>
        <v/>
      </c>
      <c r="F965" s="18"/>
    </row>
    <row r="966" spans="1:6" x14ac:dyDescent="0.3">
      <c r="A966" s="17"/>
      <c r="B966" s="18"/>
      <c r="C966" s="18"/>
      <c r="D966" s="19"/>
      <c r="E966" s="10" t="str">
        <f t="shared" ref="E966:E1029" si="15">IF(OR(C966="",D966=""),"",C966*D966)</f>
        <v/>
      </c>
      <c r="F966" s="18"/>
    </row>
    <row r="967" spans="1:6" x14ac:dyDescent="0.3">
      <c r="A967" s="17"/>
      <c r="B967" s="18"/>
      <c r="C967" s="18"/>
      <c r="D967" s="19"/>
      <c r="E967" s="10" t="str">
        <f t="shared" si="15"/>
        <v/>
      </c>
      <c r="F967" s="18"/>
    </row>
    <row r="968" spans="1:6" x14ac:dyDescent="0.3">
      <c r="A968" s="17"/>
      <c r="B968" s="18"/>
      <c r="C968" s="18"/>
      <c r="D968" s="19"/>
      <c r="E968" s="10" t="str">
        <f t="shared" si="15"/>
        <v/>
      </c>
      <c r="F968" s="18"/>
    </row>
    <row r="969" spans="1:6" x14ac:dyDescent="0.3">
      <c r="A969" s="17"/>
      <c r="B969" s="18"/>
      <c r="C969" s="18"/>
      <c r="D969" s="19"/>
      <c r="E969" s="10" t="str">
        <f t="shared" si="15"/>
        <v/>
      </c>
      <c r="F969" s="18"/>
    </row>
    <row r="970" spans="1:6" x14ac:dyDescent="0.3">
      <c r="A970" s="17"/>
      <c r="B970" s="18"/>
      <c r="C970" s="18"/>
      <c r="D970" s="19"/>
      <c r="E970" s="10" t="str">
        <f t="shared" si="15"/>
        <v/>
      </c>
      <c r="F970" s="18"/>
    </row>
    <row r="971" spans="1:6" x14ac:dyDescent="0.3">
      <c r="A971" s="17"/>
      <c r="B971" s="18"/>
      <c r="C971" s="18"/>
      <c r="D971" s="19"/>
      <c r="E971" s="10" t="str">
        <f t="shared" si="15"/>
        <v/>
      </c>
      <c r="F971" s="18"/>
    </row>
    <row r="972" spans="1:6" x14ac:dyDescent="0.3">
      <c r="A972" s="17"/>
      <c r="B972" s="18"/>
      <c r="C972" s="18"/>
      <c r="D972" s="19"/>
      <c r="E972" s="10" t="str">
        <f t="shared" si="15"/>
        <v/>
      </c>
      <c r="F972" s="18"/>
    </row>
    <row r="973" spans="1:6" x14ac:dyDescent="0.3">
      <c r="A973" s="17"/>
      <c r="B973" s="18"/>
      <c r="C973" s="18"/>
      <c r="D973" s="19"/>
      <c r="E973" s="10" t="str">
        <f t="shared" si="15"/>
        <v/>
      </c>
      <c r="F973" s="18"/>
    </row>
    <row r="974" spans="1:6" x14ac:dyDescent="0.3">
      <c r="A974" s="17"/>
      <c r="B974" s="18"/>
      <c r="C974" s="18"/>
      <c r="D974" s="19"/>
      <c r="E974" s="10" t="str">
        <f t="shared" si="15"/>
        <v/>
      </c>
      <c r="F974" s="18"/>
    </row>
    <row r="975" spans="1:6" x14ac:dyDescent="0.3">
      <c r="A975" s="17"/>
      <c r="B975" s="18"/>
      <c r="C975" s="18"/>
      <c r="D975" s="19"/>
      <c r="E975" s="10" t="str">
        <f t="shared" si="15"/>
        <v/>
      </c>
      <c r="F975" s="18"/>
    </row>
    <row r="976" spans="1:6" x14ac:dyDescent="0.3">
      <c r="A976" s="17"/>
      <c r="B976" s="18"/>
      <c r="C976" s="18"/>
      <c r="D976" s="19"/>
      <c r="E976" s="10" t="str">
        <f t="shared" si="15"/>
        <v/>
      </c>
      <c r="F976" s="18"/>
    </row>
    <row r="977" spans="1:6" x14ac:dyDescent="0.3">
      <c r="A977" s="17"/>
      <c r="B977" s="18"/>
      <c r="C977" s="18"/>
      <c r="D977" s="19"/>
      <c r="E977" s="10" t="str">
        <f t="shared" si="15"/>
        <v/>
      </c>
      <c r="F977" s="18"/>
    </row>
    <row r="978" spans="1:6" x14ac:dyDescent="0.3">
      <c r="A978" s="17"/>
      <c r="B978" s="18"/>
      <c r="C978" s="18"/>
      <c r="D978" s="19"/>
      <c r="E978" s="10" t="str">
        <f t="shared" si="15"/>
        <v/>
      </c>
      <c r="F978" s="18"/>
    </row>
    <row r="979" spans="1:6" x14ac:dyDescent="0.3">
      <c r="A979" s="17"/>
      <c r="B979" s="18"/>
      <c r="C979" s="18"/>
      <c r="D979" s="19"/>
      <c r="E979" s="10" t="str">
        <f t="shared" si="15"/>
        <v/>
      </c>
      <c r="F979" s="18"/>
    </row>
    <row r="980" spans="1:6" x14ac:dyDescent="0.3">
      <c r="A980" s="17"/>
      <c r="B980" s="18"/>
      <c r="C980" s="18"/>
      <c r="D980" s="19"/>
      <c r="E980" s="10" t="str">
        <f t="shared" si="15"/>
        <v/>
      </c>
      <c r="F980" s="18"/>
    </row>
    <row r="981" spans="1:6" x14ac:dyDescent="0.3">
      <c r="A981" s="17"/>
      <c r="B981" s="18"/>
      <c r="C981" s="18"/>
      <c r="D981" s="19"/>
      <c r="E981" s="10" t="str">
        <f t="shared" si="15"/>
        <v/>
      </c>
      <c r="F981" s="18"/>
    </row>
    <row r="982" spans="1:6" x14ac:dyDescent="0.3">
      <c r="A982" s="17"/>
      <c r="B982" s="18"/>
      <c r="C982" s="18"/>
      <c r="D982" s="19"/>
      <c r="E982" s="10" t="str">
        <f t="shared" si="15"/>
        <v/>
      </c>
      <c r="F982" s="18"/>
    </row>
    <row r="983" spans="1:6" x14ac:dyDescent="0.3">
      <c r="A983" s="17"/>
      <c r="B983" s="18"/>
      <c r="C983" s="18"/>
      <c r="D983" s="19"/>
      <c r="E983" s="10" t="str">
        <f t="shared" si="15"/>
        <v/>
      </c>
      <c r="F983" s="18"/>
    </row>
    <row r="984" spans="1:6" x14ac:dyDescent="0.3">
      <c r="A984" s="17"/>
      <c r="B984" s="18"/>
      <c r="C984" s="18"/>
      <c r="D984" s="19"/>
      <c r="E984" s="10" t="str">
        <f t="shared" si="15"/>
        <v/>
      </c>
      <c r="F984" s="18"/>
    </row>
    <row r="985" spans="1:6" x14ac:dyDescent="0.3">
      <c r="A985" s="17"/>
      <c r="B985" s="18"/>
      <c r="C985" s="18"/>
      <c r="D985" s="19"/>
      <c r="E985" s="10" t="str">
        <f t="shared" si="15"/>
        <v/>
      </c>
      <c r="F985" s="18"/>
    </row>
    <row r="986" spans="1:6" x14ac:dyDescent="0.3">
      <c r="A986" s="17"/>
      <c r="B986" s="18"/>
      <c r="C986" s="18"/>
      <c r="D986" s="19"/>
      <c r="E986" s="10" t="str">
        <f t="shared" si="15"/>
        <v/>
      </c>
      <c r="F986" s="18"/>
    </row>
    <row r="987" spans="1:6" x14ac:dyDescent="0.3">
      <c r="A987" s="17"/>
      <c r="B987" s="18"/>
      <c r="C987" s="18"/>
      <c r="D987" s="19"/>
      <c r="E987" s="10" t="str">
        <f t="shared" si="15"/>
        <v/>
      </c>
      <c r="F987" s="18"/>
    </row>
    <row r="988" spans="1:6" x14ac:dyDescent="0.3">
      <c r="A988" s="17"/>
      <c r="B988" s="18"/>
      <c r="C988" s="18"/>
      <c r="D988" s="19"/>
      <c r="E988" s="10" t="str">
        <f t="shared" si="15"/>
        <v/>
      </c>
      <c r="F988" s="18"/>
    </row>
    <row r="989" spans="1:6" x14ac:dyDescent="0.3">
      <c r="A989" s="17"/>
      <c r="B989" s="18"/>
      <c r="C989" s="18"/>
      <c r="D989" s="19"/>
      <c r="E989" s="10" t="str">
        <f t="shared" si="15"/>
        <v/>
      </c>
      <c r="F989" s="18"/>
    </row>
    <row r="990" spans="1:6" x14ac:dyDescent="0.3">
      <c r="A990" s="17"/>
      <c r="B990" s="18"/>
      <c r="C990" s="18"/>
      <c r="D990" s="19"/>
      <c r="E990" s="10" t="str">
        <f t="shared" si="15"/>
        <v/>
      </c>
      <c r="F990" s="18"/>
    </row>
    <row r="991" spans="1:6" x14ac:dyDescent="0.3">
      <c r="A991" s="17"/>
      <c r="B991" s="18"/>
      <c r="C991" s="18"/>
      <c r="D991" s="19"/>
      <c r="E991" s="10" t="str">
        <f t="shared" si="15"/>
        <v/>
      </c>
      <c r="F991" s="18"/>
    </row>
    <row r="992" spans="1:6" x14ac:dyDescent="0.3">
      <c r="A992" s="17"/>
      <c r="B992" s="18"/>
      <c r="C992" s="18"/>
      <c r="D992" s="19"/>
      <c r="E992" s="10" t="str">
        <f t="shared" si="15"/>
        <v/>
      </c>
      <c r="F992" s="18"/>
    </row>
    <row r="993" spans="1:6" x14ac:dyDescent="0.3">
      <c r="A993" s="17"/>
      <c r="B993" s="18"/>
      <c r="C993" s="18"/>
      <c r="D993" s="19"/>
      <c r="E993" s="10" t="str">
        <f t="shared" si="15"/>
        <v/>
      </c>
      <c r="F993" s="18"/>
    </row>
    <row r="994" spans="1:6" x14ac:dyDescent="0.3">
      <c r="A994" s="17"/>
      <c r="B994" s="18"/>
      <c r="C994" s="18"/>
      <c r="D994" s="19"/>
      <c r="E994" s="10" t="str">
        <f t="shared" si="15"/>
        <v/>
      </c>
      <c r="F994" s="18"/>
    </row>
    <row r="995" spans="1:6" x14ac:dyDescent="0.3">
      <c r="A995" s="17"/>
      <c r="B995" s="18"/>
      <c r="C995" s="18"/>
      <c r="D995" s="19"/>
      <c r="E995" s="10" t="str">
        <f t="shared" si="15"/>
        <v/>
      </c>
      <c r="F995" s="18"/>
    </row>
    <row r="996" spans="1:6" x14ac:dyDescent="0.3">
      <c r="A996" s="17"/>
      <c r="B996" s="18"/>
      <c r="C996" s="18"/>
      <c r="D996" s="19"/>
      <c r="E996" s="10" t="str">
        <f t="shared" si="15"/>
        <v/>
      </c>
      <c r="F996" s="18"/>
    </row>
    <row r="997" spans="1:6" x14ac:dyDescent="0.3">
      <c r="A997" s="17"/>
      <c r="B997" s="18"/>
      <c r="C997" s="18"/>
      <c r="D997" s="19"/>
      <c r="E997" s="10" t="str">
        <f t="shared" si="15"/>
        <v/>
      </c>
      <c r="F997" s="18"/>
    </row>
    <row r="998" spans="1:6" x14ac:dyDescent="0.3">
      <c r="A998" s="17"/>
      <c r="B998" s="18"/>
      <c r="C998" s="18"/>
      <c r="D998" s="19"/>
      <c r="E998" s="10" t="str">
        <f t="shared" si="15"/>
        <v/>
      </c>
      <c r="F998" s="18"/>
    </row>
    <row r="999" spans="1:6" x14ac:dyDescent="0.3">
      <c r="A999" s="17"/>
      <c r="B999" s="18"/>
      <c r="C999" s="18"/>
      <c r="D999" s="19"/>
      <c r="E999" s="10" t="str">
        <f t="shared" si="15"/>
        <v/>
      </c>
      <c r="F999" s="18"/>
    </row>
    <row r="1000" spans="1:6" x14ac:dyDescent="0.3">
      <c r="A1000" s="17"/>
      <c r="B1000" s="18"/>
      <c r="C1000" s="18"/>
      <c r="D1000" s="19"/>
      <c r="E1000" s="10" t="str">
        <f t="shared" si="15"/>
        <v/>
      </c>
      <c r="F1000" s="18"/>
    </row>
    <row r="1001" spans="1:6" x14ac:dyDescent="0.3">
      <c r="A1001" s="17"/>
      <c r="B1001" s="18"/>
      <c r="C1001" s="18"/>
      <c r="D1001" s="19"/>
      <c r="E1001" s="10" t="str">
        <f t="shared" si="15"/>
        <v/>
      </c>
      <c r="F1001" s="18"/>
    </row>
    <row r="1002" spans="1:6" x14ac:dyDescent="0.3">
      <c r="A1002" s="17"/>
      <c r="B1002" s="18"/>
      <c r="C1002" s="18"/>
      <c r="D1002" s="19"/>
      <c r="E1002" s="10" t="str">
        <f t="shared" si="15"/>
        <v/>
      </c>
      <c r="F1002" s="18"/>
    </row>
    <row r="1003" spans="1:6" x14ac:dyDescent="0.3">
      <c r="A1003" s="17"/>
      <c r="B1003" s="18"/>
      <c r="C1003" s="18"/>
      <c r="D1003" s="19"/>
      <c r="E1003" s="10" t="str">
        <f t="shared" si="15"/>
        <v/>
      </c>
      <c r="F1003" s="18"/>
    </row>
    <row r="1004" spans="1:6" x14ac:dyDescent="0.3">
      <c r="A1004" s="17"/>
      <c r="B1004" s="18"/>
      <c r="C1004" s="18"/>
      <c r="D1004" s="19"/>
      <c r="E1004" s="10" t="str">
        <f t="shared" si="15"/>
        <v/>
      </c>
      <c r="F1004" s="18"/>
    </row>
    <row r="1005" spans="1:6" x14ac:dyDescent="0.3">
      <c r="A1005" s="17"/>
      <c r="B1005" s="18"/>
      <c r="C1005" s="18"/>
      <c r="D1005" s="19"/>
      <c r="E1005" s="10" t="str">
        <f t="shared" si="15"/>
        <v/>
      </c>
      <c r="F1005" s="18"/>
    </row>
  </sheetData>
  <dataValidations count="1">
    <dataValidation type="date" operator="greaterThan" allowBlank="1" error="Dogry sene giriziň (gg.aa.ýyl)." sqref="A6:A2005" xr:uid="{00000000-0002-0000-0500-000000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Harytlar!$A$5:$A$44</xm:f>
          </x14:formula1>
          <x14:formula2>
            <xm:f>0</xm:f>
          </x14:formula2>
          <xm:sqref>B6:B1005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4"/>
  <sheetViews>
    <sheetView showGridLines="0" zoomScaleNormal="100" workbookViewId="0">
      <pane ySplit="4" topLeftCell="A5" activePane="bottomLeft" state="frozen"/>
      <selection pane="bottomLeft" activeCell="J21" sqref="J21"/>
    </sheetView>
  </sheetViews>
  <sheetFormatPr defaultColWidth="8.6640625" defaultRowHeight="14.4" x14ac:dyDescent="0.3"/>
  <cols>
    <col min="1" max="1" width="24" customWidth="1"/>
    <col min="2" max="2" width="18" customWidth="1"/>
    <col min="3" max="4" width="12" customWidth="1"/>
    <col min="5" max="7" width="16" customWidth="1"/>
  </cols>
  <sheetData>
    <row r="1" spans="1:7" ht="17.399999999999999" x14ac:dyDescent="0.3">
      <c r="A1" s="1" t="s">
        <v>80</v>
      </c>
    </row>
    <row r="2" spans="1:7" x14ac:dyDescent="0.3">
      <c r="A2" s="2" t="s">
        <v>81</v>
      </c>
    </row>
    <row r="4" spans="1:7" ht="31.5" customHeight="1" x14ac:dyDescent="0.3">
      <c r="A4" s="14" t="s">
        <v>27</v>
      </c>
      <c r="B4" s="14" t="s">
        <v>82</v>
      </c>
      <c r="C4" s="14" t="s">
        <v>83</v>
      </c>
      <c r="D4" s="14" t="s">
        <v>84</v>
      </c>
      <c r="E4" s="14" t="s">
        <v>85</v>
      </c>
      <c r="F4" s="14" t="s">
        <v>86</v>
      </c>
      <c r="G4" s="14" t="s">
        <v>87</v>
      </c>
    </row>
    <row r="5" spans="1:7" x14ac:dyDescent="0.3">
      <c r="A5" s="9" t="str">
        <f>IF(Harytlar!A5="","",Harytlar!A5)</f>
        <v>Çaý</v>
      </c>
      <c r="B5" s="9">
        <f>IF(A5="","",N(Harytlar!G5))</f>
        <v>200</v>
      </c>
      <c r="C5" s="9">
        <f>IF(A5="","",SUMIFS('Haryt Gelişi'!$C$6:$C$1005,'Haryt Gelişi'!$B$6:$B$1005,A5))</f>
        <v>0</v>
      </c>
      <c r="D5" s="9">
        <f>IF(A5="","",SUMIFS(Satuw!$C$6:$C$5005,Satuw!$B$6:$B$5005,A5))</f>
        <v>12</v>
      </c>
      <c r="E5" s="9">
        <f t="shared" ref="E5:E44" si="0">IF(A5="","",B5+C5-D5)</f>
        <v>188</v>
      </c>
      <c r="F5" s="9">
        <f>IF(A5="","",N(Harytlar!H5))</f>
        <v>50</v>
      </c>
      <c r="G5" s="9" t="str">
        <f t="shared" ref="G5:G44" si="1">IF(A5="","",IF(E5&lt;=F5,"SARGYT BER","Ýeterlik"))</f>
        <v>Ýeterlik</v>
      </c>
    </row>
    <row r="6" spans="1:7" x14ac:dyDescent="0.3">
      <c r="A6" s="9" t="str">
        <f>IF(Harytlar!A6="","",Harytlar!A6)</f>
        <v>Türk kofesi</v>
      </c>
      <c r="B6" s="9">
        <f>IF(A6="","",N(Harytlar!G6))</f>
        <v>100</v>
      </c>
      <c r="C6" s="9">
        <f>IF(A6="","",SUMIFS('Haryt Gelişi'!$C$6:$C$1005,'Haryt Gelişi'!$B$6:$B$1005,A6))</f>
        <v>0</v>
      </c>
      <c r="D6" s="9">
        <f>IF(A6="","",SUMIFS(Satuw!$C$6:$C$5005,Satuw!$B$6:$B$5005,A6))</f>
        <v>0</v>
      </c>
      <c r="E6" s="9">
        <f t="shared" si="0"/>
        <v>100</v>
      </c>
      <c r="F6" s="9">
        <f>IF(A6="","",N(Harytlar!H6))</f>
        <v>30</v>
      </c>
      <c r="G6" s="9" t="str">
        <f t="shared" si="1"/>
        <v>Ýeterlik</v>
      </c>
    </row>
    <row r="7" spans="1:7" x14ac:dyDescent="0.3">
      <c r="A7" s="9" t="str">
        <f>IF(Harytlar!A7="","",Harytlar!A7)</f>
        <v>Filtr kofe</v>
      </c>
      <c r="B7" s="9">
        <f>IF(A7="","",N(Harytlar!G7))</f>
        <v>100</v>
      </c>
      <c r="C7" s="9">
        <f>IF(A7="","",SUMIFS('Haryt Gelişi'!$C$6:$C$1005,'Haryt Gelişi'!$B$6:$B$1005,A7))</f>
        <v>0</v>
      </c>
      <c r="D7" s="9">
        <f>IF(A7="","",SUMIFS(Satuw!$C$6:$C$5005,Satuw!$B$6:$B$5005,A7))</f>
        <v>0</v>
      </c>
      <c r="E7" s="9">
        <f t="shared" si="0"/>
        <v>100</v>
      </c>
      <c r="F7" s="9">
        <f>IF(A7="","",N(Harytlar!H7))</f>
        <v>30</v>
      </c>
      <c r="G7" s="9" t="str">
        <f t="shared" si="1"/>
        <v>Ýeterlik</v>
      </c>
    </row>
    <row r="8" spans="1:7" x14ac:dyDescent="0.3">
      <c r="A8" s="9" t="str">
        <f>IF(Harytlar!A8="","",Harytlar!A8)</f>
        <v>Nescafe</v>
      </c>
      <c r="B8" s="9">
        <f>IF(A8="","",N(Harytlar!G8))</f>
        <v>150</v>
      </c>
      <c r="C8" s="9">
        <f>IF(A8="","",SUMIFS('Haryt Gelişi'!$C$6:$C$1005,'Haryt Gelişi'!$B$6:$B$1005,A8))</f>
        <v>0</v>
      </c>
      <c r="D8" s="9">
        <f>IF(A8="","",SUMIFS(Satuw!$C$6:$C$5005,Satuw!$B$6:$B$5005,A8))</f>
        <v>0</v>
      </c>
      <c r="E8" s="9">
        <f t="shared" si="0"/>
        <v>150</v>
      </c>
      <c r="F8" s="9">
        <f>IF(A8="","",N(Harytlar!H8))</f>
        <v>40</v>
      </c>
      <c r="G8" s="9" t="str">
        <f t="shared" si="1"/>
        <v>Ýeterlik</v>
      </c>
    </row>
    <row r="9" spans="1:7" x14ac:dyDescent="0.3">
      <c r="A9" s="9" t="str">
        <f>IF(Harytlar!A9="","",Harytlar!A9)</f>
        <v>Suw 0,5L</v>
      </c>
      <c r="B9" s="9">
        <f>IF(A9="","",N(Harytlar!G9))</f>
        <v>200</v>
      </c>
      <c r="C9" s="9">
        <f>IF(A9="","",SUMIFS('Haryt Gelişi'!$C$6:$C$1005,'Haryt Gelişi'!$B$6:$B$1005,A9))</f>
        <v>100</v>
      </c>
      <c r="D9" s="9">
        <f>IF(A9="","",SUMIFS(Satuw!$C$6:$C$5005,Satuw!$B$6:$B$5005,A9))</f>
        <v>0</v>
      </c>
      <c r="E9" s="9">
        <f t="shared" si="0"/>
        <v>300</v>
      </c>
      <c r="F9" s="9">
        <f>IF(A9="","",N(Harytlar!H9))</f>
        <v>50</v>
      </c>
      <c r="G9" s="9" t="str">
        <f t="shared" si="1"/>
        <v>Ýeterlik</v>
      </c>
    </row>
    <row r="10" spans="1:7" x14ac:dyDescent="0.3">
      <c r="A10" s="9" t="str">
        <f>IF(Harytlar!A10="","",Harytlar!A10)</f>
        <v>Soda</v>
      </c>
      <c r="B10" s="9">
        <f>IF(A10="","",N(Harytlar!G10))</f>
        <v>100</v>
      </c>
      <c r="C10" s="9">
        <f>IF(A10="","",SUMIFS('Haryt Gelişi'!$C$6:$C$1005,'Haryt Gelişi'!$B$6:$B$1005,A10))</f>
        <v>0</v>
      </c>
      <c r="D10" s="9">
        <f>IF(A10="","",SUMIFS(Satuw!$C$6:$C$5005,Satuw!$B$6:$B$5005,A10))</f>
        <v>0</v>
      </c>
      <c r="E10" s="9">
        <f t="shared" si="0"/>
        <v>100</v>
      </c>
      <c r="F10" s="9">
        <f>IF(A10="","",N(Harytlar!H10))</f>
        <v>30</v>
      </c>
      <c r="G10" s="9" t="str">
        <f t="shared" si="1"/>
        <v>Ýeterlik</v>
      </c>
    </row>
    <row r="11" spans="1:7" x14ac:dyDescent="0.3">
      <c r="A11" s="9" t="str">
        <f>IF(Harytlar!A11="","",Harytlar!A11)</f>
        <v>Miwe suwy</v>
      </c>
      <c r="B11" s="9">
        <f>IF(A11="","",N(Harytlar!G11))</f>
        <v>60</v>
      </c>
      <c r="C11" s="9">
        <f>IF(A11="","",SUMIFS('Haryt Gelişi'!$C$6:$C$1005,'Haryt Gelişi'!$B$6:$B$1005,A11))</f>
        <v>0</v>
      </c>
      <c r="D11" s="9">
        <f>IF(A11="","",SUMIFS(Satuw!$C$6:$C$5005,Satuw!$B$6:$B$5005,A11))</f>
        <v>0</v>
      </c>
      <c r="E11" s="9">
        <f t="shared" si="0"/>
        <v>60</v>
      </c>
      <c r="F11" s="9">
        <f>IF(A11="","",N(Harytlar!H11))</f>
        <v>20</v>
      </c>
      <c r="G11" s="9" t="str">
        <f t="shared" si="1"/>
        <v>Ýeterlik</v>
      </c>
    </row>
    <row r="12" spans="1:7" x14ac:dyDescent="0.3">
      <c r="A12" s="9" t="str">
        <f>IF(Harytlar!A12="","",Harytlar!A12)</f>
        <v>Peçenye</v>
      </c>
      <c r="B12" s="9">
        <f>IF(A12="","",N(Harytlar!G12))</f>
        <v>50</v>
      </c>
      <c r="C12" s="9">
        <f>IF(A12="","",SUMIFS('Haryt Gelişi'!$C$6:$C$1005,'Haryt Gelişi'!$B$6:$B$1005,A12))</f>
        <v>0</v>
      </c>
      <c r="D12" s="9">
        <f>IF(A12="","",SUMIFS(Satuw!$C$6:$C$5005,Satuw!$B$6:$B$5005,A12))</f>
        <v>0</v>
      </c>
      <c r="E12" s="9">
        <f t="shared" si="0"/>
        <v>50</v>
      </c>
      <c r="F12" s="9">
        <f>IF(A12="","",N(Harytlar!H12))</f>
        <v>15</v>
      </c>
      <c r="G12" s="9" t="str">
        <f t="shared" si="1"/>
        <v>Ýeterlik</v>
      </c>
    </row>
    <row r="13" spans="1:7" x14ac:dyDescent="0.3">
      <c r="A13" s="9" t="str">
        <f>IF(Harytlar!A13="","",Harytlar!A13)</f>
        <v>Şokolad</v>
      </c>
      <c r="B13" s="9">
        <f>IF(A13="","",N(Harytlar!G13))</f>
        <v>50</v>
      </c>
      <c r="C13" s="9">
        <f>IF(A13="","",SUMIFS('Haryt Gelişi'!$C$6:$C$1005,'Haryt Gelişi'!$B$6:$B$1005,A13))</f>
        <v>0</v>
      </c>
      <c r="D13" s="9">
        <f>IF(A13="","",SUMIFS(Satuw!$C$6:$C$5005,Satuw!$B$6:$B$5005,A13))</f>
        <v>45</v>
      </c>
      <c r="E13" s="9">
        <f t="shared" si="0"/>
        <v>5</v>
      </c>
      <c r="F13" s="9">
        <f>IF(A13="","",N(Harytlar!H13))</f>
        <v>15</v>
      </c>
      <c r="G13" s="9" t="str">
        <f t="shared" si="1"/>
        <v>SARGYT BER</v>
      </c>
    </row>
    <row r="14" spans="1:7" x14ac:dyDescent="0.3">
      <c r="A14" s="9" t="str">
        <f>IF(Harytlar!A14="","",Harytlar!A14)</f>
        <v/>
      </c>
      <c r="B14" s="9" t="str">
        <f>IF(A14="","",N(Harytlar!G14))</f>
        <v/>
      </c>
      <c r="C14" s="9" t="str">
        <f>IF(A14="","",SUMIFS('Haryt Gelişi'!$C$6:$C$1005,'Haryt Gelişi'!$B$6:$B$1005,A14))</f>
        <v/>
      </c>
      <c r="D14" s="9" t="str">
        <f>IF(A14="","",SUMIFS(Satuw!$C$6:$C$5005,Satuw!$B$6:$B$5005,A14))</f>
        <v/>
      </c>
      <c r="E14" s="9" t="str">
        <f t="shared" si="0"/>
        <v/>
      </c>
      <c r="F14" s="9" t="str">
        <f>IF(A14="","",N(Harytlar!H14))</f>
        <v/>
      </c>
      <c r="G14" s="9" t="str">
        <f t="shared" si="1"/>
        <v/>
      </c>
    </row>
    <row r="15" spans="1:7" x14ac:dyDescent="0.3">
      <c r="A15" s="9" t="str">
        <f>IF(Harytlar!A15="","",Harytlar!A15)</f>
        <v/>
      </c>
      <c r="B15" s="9" t="str">
        <f>IF(A15="","",N(Harytlar!G15))</f>
        <v/>
      </c>
      <c r="C15" s="9" t="str">
        <f>IF(A15="","",SUMIFS('Haryt Gelişi'!$C$6:$C$1005,'Haryt Gelişi'!$B$6:$B$1005,A15))</f>
        <v/>
      </c>
      <c r="D15" s="9" t="str">
        <f>IF(A15="","",SUMIFS(Satuw!$C$6:$C$5005,Satuw!$B$6:$B$5005,A15))</f>
        <v/>
      </c>
      <c r="E15" s="9" t="str">
        <f t="shared" si="0"/>
        <v/>
      </c>
      <c r="F15" s="9" t="str">
        <f>IF(A15="","",N(Harytlar!H15))</f>
        <v/>
      </c>
      <c r="G15" s="9" t="str">
        <f t="shared" si="1"/>
        <v/>
      </c>
    </row>
    <row r="16" spans="1:7" x14ac:dyDescent="0.3">
      <c r="A16" s="9" t="str">
        <f>IF(Harytlar!A16="","",Harytlar!A16)</f>
        <v/>
      </c>
      <c r="B16" s="9" t="str">
        <f>IF(A16="","",N(Harytlar!G16))</f>
        <v/>
      </c>
      <c r="C16" s="9" t="str">
        <f>IF(A16="","",SUMIFS('Haryt Gelişi'!$C$6:$C$1005,'Haryt Gelişi'!$B$6:$B$1005,A16))</f>
        <v/>
      </c>
      <c r="D16" s="9" t="str">
        <f>IF(A16="","",SUMIFS(Satuw!$C$6:$C$5005,Satuw!$B$6:$B$5005,A16))</f>
        <v/>
      </c>
      <c r="E16" s="9" t="str">
        <f t="shared" si="0"/>
        <v/>
      </c>
      <c r="F16" s="9" t="str">
        <f>IF(A16="","",N(Harytlar!H16))</f>
        <v/>
      </c>
      <c r="G16" s="9" t="str">
        <f t="shared" si="1"/>
        <v/>
      </c>
    </row>
    <row r="17" spans="1:7" x14ac:dyDescent="0.3">
      <c r="A17" s="9" t="str">
        <f>IF(Harytlar!A17="","",Harytlar!A17)</f>
        <v/>
      </c>
      <c r="B17" s="9" t="str">
        <f>IF(A17="","",N(Harytlar!G17))</f>
        <v/>
      </c>
      <c r="C17" s="9" t="str">
        <f>IF(A17="","",SUMIFS('Haryt Gelişi'!$C$6:$C$1005,'Haryt Gelişi'!$B$6:$B$1005,A17))</f>
        <v/>
      </c>
      <c r="D17" s="9" t="str">
        <f>IF(A17="","",SUMIFS(Satuw!$C$6:$C$5005,Satuw!$B$6:$B$5005,A17))</f>
        <v/>
      </c>
      <c r="E17" s="9" t="str">
        <f t="shared" si="0"/>
        <v/>
      </c>
      <c r="F17" s="9" t="str">
        <f>IF(A17="","",N(Harytlar!H17))</f>
        <v/>
      </c>
      <c r="G17" s="9" t="str">
        <f t="shared" si="1"/>
        <v/>
      </c>
    </row>
    <row r="18" spans="1:7" x14ac:dyDescent="0.3">
      <c r="A18" s="9" t="str">
        <f>IF(Harytlar!A18="","",Harytlar!A18)</f>
        <v/>
      </c>
      <c r="B18" s="9" t="str">
        <f>IF(A18="","",N(Harytlar!G18))</f>
        <v/>
      </c>
      <c r="C18" s="9" t="str">
        <f>IF(A18="","",SUMIFS('Haryt Gelişi'!$C$6:$C$1005,'Haryt Gelişi'!$B$6:$B$1005,A18))</f>
        <v/>
      </c>
      <c r="D18" s="9" t="str">
        <f>IF(A18="","",SUMIFS(Satuw!$C$6:$C$5005,Satuw!$B$6:$B$5005,A18))</f>
        <v/>
      </c>
      <c r="E18" s="9" t="str">
        <f t="shared" si="0"/>
        <v/>
      </c>
      <c r="F18" s="9" t="str">
        <f>IF(A18="","",N(Harytlar!H18))</f>
        <v/>
      </c>
      <c r="G18" s="9" t="str">
        <f t="shared" si="1"/>
        <v/>
      </c>
    </row>
    <row r="19" spans="1:7" x14ac:dyDescent="0.3">
      <c r="A19" s="9" t="str">
        <f>IF(Harytlar!A19="","",Harytlar!A19)</f>
        <v/>
      </c>
      <c r="B19" s="9" t="str">
        <f>IF(A19="","",N(Harytlar!G19))</f>
        <v/>
      </c>
      <c r="C19" s="9" t="str">
        <f>IF(A19="","",SUMIFS('Haryt Gelişi'!$C$6:$C$1005,'Haryt Gelişi'!$B$6:$B$1005,A19))</f>
        <v/>
      </c>
      <c r="D19" s="9" t="str">
        <f>IF(A19="","",SUMIFS(Satuw!$C$6:$C$5005,Satuw!$B$6:$B$5005,A19))</f>
        <v/>
      </c>
      <c r="E19" s="9" t="str">
        <f t="shared" si="0"/>
        <v/>
      </c>
      <c r="F19" s="9" t="str">
        <f>IF(A19="","",N(Harytlar!H19))</f>
        <v/>
      </c>
      <c r="G19" s="9" t="str">
        <f t="shared" si="1"/>
        <v/>
      </c>
    </row>
    <row r="20" spans="1:7" x14ac:dyDescent="0.3">
      <c r="A20" s="9" t="str">
        <f>IF(Harytlar!A20="","",Harytlar!A20)</f>
        <v/>
      </c>
      <c r="B20" s="9" t="str">
        <f>IF(A20="","",N(Harytlar!G20))</f>
        <v/>
      </c>
      <c r="C20" s="9" t="str">
        <f>IF(A20="","",SUMIFS('Haryt Gelişi'!$C$6:$C$1005,'Haryt Gelişi'!$B$6:$B$1005,A20))</f>
        <v/>
      </c>
      <c r="D20" s="9" t="str">
        <f>IF(A20="","",SUMIFS(Satuw!$C$6:$C$5005,Satuw!$B$6:$B$5005,A20))</f>
        <v/>
      </c>
      <c r="E20" s="9" t="str">
        <f t="shared" si="0"/>
        <v/>
      </c>
      <c r="F20" s="9" t="str">
        <f>IF(A20="","",N(Harytlar!H20))</f>
        <v/>
      </c>
      <c r="G20" s="9" t="str">
        <f t="shared" si="1"/>
        <v/>
      </c>
    </row>
    <row r="21" spans="1:7" x14ac:dyDescent="0.3">
      <c r="A21" s="9" t="str">
        <f>IF(Harytlar!A21="","",Harytlar!A21)</f>
        <v/>
      </c>
      <c r="B21" s="9" t="str">
        <f>IF(A21="","",N(Harytlar!G21))</f>
        <v/>
      </c>
      <c r="C21" s="9" t="str">
        <f>IF(A21="","",SUMIFS('Haryt Gelişi'!$C$6:$C$1005,'Haryt Gelişi'!$B$6:$B$1005,A21))</f>
        <v/>
      </c>
      <c r="D21" s="9" t="str">
        <f>IF(A21="","",SUMIFS(Satuw!$C$6:$C$5005,Satuw!$B$6:$B$5005,A21))</f>
        <v/>
      </c>
      <c r="E21" s="9" t="str">
        <f t="shared" si="0"/>
        <v/>
      </c>
      <c r="F21" s="9" t="str">
        <f>IF(A21="","",N(Harytlar!H21))</f>
        <v/>
      </c>
      <c r="G21" s="9" t="str">
        <f t="shared" si="1"/>
        <v/>
      </c>
    </row>
    <row r="22" spans="1:7" x14ac:dyDescent="0.3">
      <c r="A22" s="9" t="str">
        <f>IF(Harytlar!A22="","",Harytlar!A22)</f>
        <v/>
      </c>
      <c r="B22" s="9" t="str">
        <f>IF(A22="","",N(Harytlar!G22))</f>
        <v/>
      </c>
      <c r="C22" s="9" t="str">
        <f>IF(A22="","",SUMIFS('Haryt Gelişi'!$C$6:$C$1005,'Haryt Gelişi'!$B$6:$B$1005,A22))</f>
        <v/>
      </c>
      <c r="D22" s="9" t="str">
        <f>IF(A22="","",SUMIFS(Satuw!$C$6:$C$5005,Satuw!$B$6:$B$5005,A22))</f>
        <v/>
      </c>
      <c r="E22" s="9" t="str">
        <f t="shared" si="0"/>
        <v/>
      </c>
      <c r="F22" s="9" t="str">
        <f>IF(A22="","",N(Harytlar!H22))</f>
        <v/>
      </c>
      <c r="G22" s="9" t="str">
        <f t="shared" si="1"/>
        <v/>
      </c>
    </row>
    <row r="23" spans="1:7" x14ac:dyDescent="0.3">
      <c r="A23" s="9" t="str">
        <f>IF(Harytlar!A23="","",Harytlar!A23)</f>
        <v/>
      </c>
      <c r="B23" s="9" t="str">
        <f>IF(A23="","",N(Harytlar!G23))</f>
        <v/>
      </c>
      <c r="C23" s="9" t="str">
        <f>IF(A23="","",SUMIFS('Haryt Gelişi'!$C$6:$C$1005,'Haryt Gelişi'!$B$6:$B$1005,A23))</f>
        <v/>
      </c>
      <c r="D23" s="9" t="str">
        <f>IF(A23="","",SUMIFS(Satuw!$C$6:$C$5005,Satuw!$B$6:$B$5005,A23))</f>
        <v/>
      </c>
      <c r="E23" s="9" t="str">
        <f t="shared" si="0"/>
        <v/>
      </c>
      <c r="F23" s="9" t="str">
        <f>IF(A23="","",N(Harytlar!H23))</f>
        <v/>
      </c>
      <c r="G23" s="9" t="str">
        <f t="shared" si="1"/>
        <v/>
      </c>
    </row>
    <row r="24" spans="1:7" x14ac:dyDescent="0.3">
      <c r="A24" s="9" t="str">
        <f>IF(Harytlar!A24="","",Harytlar!A24)</f>
        <v/>
      </c>
      <c r="B24" s="9" t="str">
        <f>IF(A24="","",N(Harytlar!G24))</f>
        <v/>
      </c>
      <c r="C24" s="9" t="str">
        <f>IF(A24="","",SUMIFS('Haryt Gelişi'!$C$6:$C$1005,'Haryt Gelişi'!$B$6:$B$1005,A24))</f>
        <v/>
      </c>
      <c r="D24" s="9" t="str">
        <f>IF(A24="","",SUMIFS(Satuw!$C$6:$C$5005,Satuw!$B$6:$B$5005,A24))</f>
        <v/>
      </c>
      <c r="E24" s="9" t="str">
        <f t="shared" si="0"/>
        <v/>
      </c>
      <c r="F24" s="9" t="str">
        <f>IF(A24="","",N(Harytlar!H24))</f>
        <v/>
      </c>
      <c r="G24" s="9" t="str">
        <f t="shared" si="1"/>
        <v/>
      </c>
    </row>
    <row r="25" spans="1:7" x14ac:dyDescent="0.3">
      <c r="A25" s="9" t="str">
        <f>IF(Harytlar!A25="","",Harytlar!A25)</f>
        <v/>
      </c>
      <c r="B25" s="9" t="str">
        <f>IF(A25="","",N(Harytlar!G25))</f>
        <v/>
      </c>
      <c r="C25" s="9" t="str">
        <f>IF(A25="","",SUMIFS('Haryt Gelişi'!$C$6:$C$1005,'Haryt Gelişi'!$B$6:$B$1005,A25))</f>
        <v/>
      </c>
      <c r="D25" s="9" t="str">
        <f>IF(A25="","",SUMIFS(Satuw!$C$6:$C$5005,Satuw!$B$6:$B$5005,A25))</f>
        <v/>
      </c>
      <c r="E25" s="9" t="str">
        <f t="shared" si="0"/>
        <v/>
      </c>
      <c r="F25" s="9" t="str">
        <f>IF(A25="","",N(Harytlar!H25))</f>
        <v/>
      </c>
      <c r="G25" s="9" t="str">
        <f t="shared" si="1"/>
        <v/>
      </c>
    </row>
    <row r="26" spans="1:7" x14ac:dyDescent="0.3">
      <c r="A26" s="9" t="str">
        <f>IF(Harytlar!A26="","",Harytlar!A26)</f>
        <v/>
      </c>
      <c r="B26" s="9" t="str">
        <f>IF(A26="","",N(Harytlar!G26))</f>
        <v/>
      </c>
      <c r="C26" s="9" t="str">
        <f>IF(A26="","",SUMIFS('Haryt Gelişi'!$C$6:$C$1005,'Haryt Gelişi'!$B$6:$B$1005,A26))</f>
        <v/>
      </c>
      <c r="D26" s="9" t="str">
        <f>IF(A26="","",SUMIFS(Satuw!$C$6:$C$5005,Satuw!$B$6:$B$5005,A26))</f>
        <v/>
      </c>
      <c r="E26" s="9" t="str">
        <f t="shared" si="0"/>
        <v/>
      </c>
      <c r="F26" s="9" t="str">
        <f>IF(A26="","",N(Harytlar!H26))</f>
        <v/>
      </c>
      <c r="G26" s="9" t="str">
        <f t="shared" si="1"/>
        <v/>
      </c>
    </row>
    <row r="27" spans="1:7" x14ac:dyDescent="0.3">
      <c r="A27" s="9" t="str">
        <f>IF(Harytlar!A27="","",Harytlar!A27)</f>
        <v/>
      </c>
      <c r="B27" s="9" t="str">
        <f>IF(A27="","",N(Harytlar!G27))</f>
        <v/>
      </c>
      <c r="C27" s="9" t="str">
        <f>IF(A27="","",SUMIFS('Haryt Gelişi'!$C$6:$C$1005,'Haryt Gelişi'!$B$6:$B$1005,A27))</f>
        <v/>
      </c>
      <c r="D27" s="9" t="str">
        <f>IF(A27="","",SUMIFS(Satuw!$C$6:$C$5005,Satuw!$B$6:$B$5005,A27))</f>
        <v/>
      </c>
      <c r="E27" s="9" t="str">
        <f t="shared" si="0"/>
        <v/>
      </c>
      <c r="F27" s="9" t="str">
        <f>IF(A27="","",N(Harytlar!H27))</f>
        <v/>
      </c>
      <c r="G27" s="9" t="str">
        <f t="shared" si="1"/>
        <v/>
      </c>
    </row>
    <row r="28" spans="1:7" x14ac:dyDescent="0.3">
      <c r="A28" s="9" t="str">
        <f>IF(Harytlar!A28="","",Harytlar!A28)</f>
        <v/>
      </c>
      <c r="B28" s="9" t="str">
        <f>IF(A28="","",N(Harytlar!G28))</f>
        <v/>
      </c>
      <c r="C28" s="9" t="str">
        <f>IF(A28="","",SUMIFS('Haryt Gelişi'!$C$6:$C$1005,'Haryt Gelişi'!$B$6:$B$1005,A28))</f>
        <v/>
      </c>
      <c r="D28" s="9" t="str">
        <f>IF(A28="","",SUMIFS(Satuw!$C$6:$C$5005,Satuw!$B$6:$B$5005,A28))</f>
        <v/>
      </c>
      <c r="E28" s="9" t="str">
        <f t="shared" si="0"/>
        <v/>
      </c>
      <c r="F28" s="9" t="str">
        <f>IF(A28="","",N(Harytlar!H28))</f>
        <v/>
      </c>
      <c r="G28" s="9" t="str">
        <f t="shared" si="1"/>
        <v/>
      </c>
    </row>
    <row r="29" spans="1:7" x14ac:dyDescent="0.3">
      <c r="A29" s="9" t="str">
        <f>IF(Harytlar!A29="","",Harytlar!A29)</f>
        <v/>
      </c>
      <c r="B29" s="9" t="str">
        <f>IF(A29="","",N(Harytlar!G29))</f>
        <v/>
      </c>
      <c r="C29" s="9" t="str">
        <f>IF(A29="","",SUMIFS('Haryt Gelişi'!$C$6:$C$1005,'Haryt Gelişi'!$B$6:$B$1005,A29))</f>
        <v/>
      </c>
      <c r="D29" s="9" t="str">
        <f>IF(A29="","",SUMIFS(Satuw!$C$6:$C$5005,Satuw!$B$6:$B$5005,A29))</f>
        <v/>
      </c>
      <c r="E29" s="9" t="str">
        <f t="shared" si="0"/>
        <v/>
      </c>
      <c r="F29" s="9" t="str">
        <f>IF(A29="","",N(Harytlar!H29))</f>
        <v/>
      </c>
      <c r="G29" s="9" t="str">
        <f t="shared" si="1"/>
        <v/>
      </c>
    </row>
    <row r="30" spans="1:7" x14ac:dyDescent="0.3">
      <c r="A30" s="9" t="str">
        <f>IF(Harytlar!A30="","",Harytlar!A30)</f>
        <v/>
      </c>
      <c r="B30" s="9" t="str">
        <f>IF(A30="","",N(Harytlar!G30))</f>
        <v/>
      </c>
      <c r="C30" s="9" t="str">
        <f>IF(A30="","",SUMIFS('Haryt Gelişi'!$C$6:$C$1005,'Haryt Gelişi'!$B$6:$B$1005,A30))</f>
        <v/>
      </c>
      <c r="D30" s="9" t="str">
        <f>IF(A30="","",SUMIFS(Satuw!$C$6:$C$5005,Satuw!$B$6:$B$5005,A30))</f>
        <v/>
      </c>
      <c r="E30" s="9" t="str">
        <f t="shared" si="0"/>
        <v/>
      </c>
      <c r="F30" s="9" t="str">
        <f>IF(A30="","",N(Harytlar!H30))</f>
        <v/>
      </c>
      <c r="G30" s="9" t="str">
        <f t="shared" si="1"/>
        <v/>
      </c>
    </row>
    <row r="31" spans="1:7" x14ac:dyDescent="0.3">
      <c r="A31" s="9" t="str">
        <f>IF(Harytlar!A31="","",Harytlar!A31)</f>
        <v/>
      </c>
      <c r="B31" s="9" t="str">
        <f>IF(A31="","",N(Harytlar!G31))</f>
        <v/>
      </c>
      <c r="C31" s="9" t="str">
        <f>IF(A31="","",SUMIFS('Haryt Gelişi'!$C$6:$C$1005,'Haryt Gelişi'!$B$6:$B$1005,A31))</f>
        <v/>
      </c>
      <c r="D31" s="9" t="str">
        <f>IF(A31="","",SUMIFS(Satuw!$C$6:$C$5005,Satuw!$B$6:$B$5005,A31))</f>
        <v/>
      </c>
      <c r="E31" s="9" t="str">
        <f t="shared" si="0"/>
        <v/>
      </c>
      <c r="F31" s="9" t="str">
        <f>IF(A31="","",N(Harytlar!H31))</f>
        <v/>
      </c>
      <c r="G31" s="9" t="str">
        <f t="shared" si="1"/>
        <v/>
      </c>
    </row>
    <row r="32" spans="1:7" x14ac:dyDescent="0.3">
      <c r="A32" s="9" t="str">
        <f>IF(Harytlar!A32="","",Harytlar!A32)</f>
        <v/>
      </c>
      <c r="B32" s="9" t="str">
        <f>IF(A32="","",N(Harytlar!G32))</f>
        <v/>
      </c>
      <c r="C32" s="9" t="str">
        <f>IF(A32="","",SUMIFS('Haryt Gelişi'!$C$6:$C$1005,'Haryt Gelişi'!$B$6:$B$1005,A32))</f>
        <v/>
      </c>
      <c r="D32" s="9" t="str">
        <f>IF(A32="","",SUMIFS(Satuw!$C$6:$C$5005,Satuw!$B$6:$B$5005,A32))</f>
        <v/>
      </c>
      <c r="E32" s="9" t="str">
        <f t="shared" si="0"/>
        <v/>
      </c>
      <c r="F32" s="9" t="str">
        <f>IF(A32="","",N(Harytlar!H32))</f>
        <v/>
      </c>
      <c r="G32" s="9" t="str">
        <f t="shared" si="1"/>
        <v/>
      </c>
    </row>
    <row r="33" spans="1:7" x14ac:dyDescent="0.3">
      <c r="A33" s="9" t="str">
        <f>IF(Harytlar!A33="","",Harytlar!A33)</f>
        <v/>
      </c>
      <c r="B33" s="9" t="str">
        <f>IF(A33="","",N(Harytlar!G33))</f>
        <v/>
      </c>
      <c r="C33" s="9" t="str">
        <f>IF(A33="","",SUMIFS('Haryt Gelişi'!$C$6:$C$1005,'Haryt Gelişi'!$B$6:$B$1005,A33))</f>
        <v/>
      </c>
      <c r="D33" s="9" t="str">
        <f>IF(A33="","",SUMIFS(Satuw!$C$6:$C$5005,Satuw!$B$6:$B$5005,A33))</f>
        <v/>
      </c>
      <c r="E33" s="9" t="str">
        <f t="shared" si="0"/>
        <v/>
      </c>
      <c r="F33" s="9" t="str">
        <f>IF(A33="","",N(Harytlar!H33))</f>
        <v/>
      </c>
      <c r="G33" s="9" t="str">
        <f t="shared" si="1"/>
        <v/>
      </c>
    </row>
    <row r="34" spans="1:7" x14ac:dyDescent="0.3">
      <c r="A34" s="9" t="str">
        <f>IF(Harytlar!A34="","",Harytlar!A34)</f>
        <v/>
      </c>
      <c r="B34" s="9" t="str">
        <f>IF(A34="","",N(Harytlar!G34))</f>
        <v/>
      </c>
      <c r="C34" s="9" t="str">
        <f>IF(A34="","",SUMIFS('Haryt Gelişi'!$C$6:$C$1005,'Haryt Gelişi'!$B$6:$B$1005,A34))</f>
        <v/>
      </c>
      <c r="D34" s="9" t="str">
        <f>IF(A34="","",SUMIFS(Satuw!$C$6:$C$5005,Satuw!$B$6:$B$5005,A34))</f>
        <v/>
      </c>
      <c r="E34" s="9" t="str">
        <f t="shared" si="0"/>
        <v/>
      </c>
      <c r="F34" s="9" t="str">
        <f>IF(A34="","",N(Harytlar!H34))</f>
        <v/>
      </c>
      <c r="G34" s="9" t="str">
        <f t="shared" si="1"/>
        <v/>
      </c>
    </row>
    <row r="35" spans="1:7" x14ac:dyDescent="0.3">
      <c r="A35" s="9" t="str">
        <f>IF(Harytlar!A35="","",Harytlar!A35)</f>
        <v/>
      </c>
      <c r="B35" s="9" t="str">
        <f>IF(A35="","",N(Harytlar!G35))</f>
        <v/>
      </c>
      <c r="C35" s="9" t="str">
        <f>IF(A35="","",SUMIFS('Haryt Gelişi'!$C$6:$C$1005,'Haryt Gelişi'!$B$6:$B$1005,A35))</f>
        <v/>
      </c>
      <c r="D35" s="9" t="str">
        <f>IF(A35="","",SUMIFS(Satuw!$C$6:$C$5005,Satuw!$B$6:$B$5005,A35))</f>
        <v/>
      </c>
      <c r="E35" s="9" t="str">
        <f t="shared" si="0"/>
        <v/>
      </c>
      <c r="F35" s="9" t="str">
        <f>IF(A35="","",N(Harytlar!H35))</f>
        <v/>
      </c>
      <c r="G35" s="9" t="str">
        <f t="shared" si="1"/>
        <v/>
      </c>
    </row>
    <row r="36" spans="1:7" x14ac:dyDescent="0.3">
      <c r="A36" s="9" t="str">
        <f>IF(Harytlar!A36="","",Harytlar!A36)</f>
        <v/>
      </c>
      <c r="B36" s="9" t="str">
        <f>IF(A36="","",N(Harytlar!G36))</f>
        <v/>
      </c>
      <c r="C36" s="9" t="str">
        <f>IF(A36="","",SUMIFS('Haryt Gelişi'!$C$6:$C$1005,'Haryt Gelişi'!$B$6:$B$1005,A36))</f>
        <v/>
      </c>
      <c r="D36" s="9" t="str">
        <f>IF(A36="","",SUMIFS(Satuw!$C$6:$C$5005,Satuw!$B$6:$B$5005,A36))</f>
        <v/>
      </c>
      <c r="E36" s="9" t="str">
        <f t="shared" si="0"/>
        <v/>
      </c>
      <c r="F36" s="9" t="str">
        <f>IF(A36="","",N(Harytlar!H36))</f>
        <v/>
      </c>
      <c r="G36" s="9" t="str">
        <f t="shared" si="1"/>
        <v/>
      </c>
    </row>
    <row r="37" spans="1:7" x14ac:dyDescent="0.3">
      <c r="A37" s="9" t="str">
        <f>IF(Harytlar!A37="","",Harytlar!A37)</f>
        <v/>
      </c>
      <c r="B37" s="9" t="str">
        <f>IF(A37="","",N(Harytlar!G37))</f>
        <v/>
      </c>
      <c r="C37" s="9" t="str">
        <f>IF(A37="","",SUMIFS('Haryt Gelişi'!$C$6:$C$1005,'Haryt Gelişi'!$B$6:$B$1005,A37))</f>
        <v/>
      </c>
      <c r="D37" s="9" t="str">
        <f>IF(A37="","",SUMIFS(Satuw!$C$6:$C$5005,Satuw!$B$6:$B$5005,A37))</f>
        <v/>
      </c>
      <c r="E37" s="9" t="str">
        <f t="shared" si="0"/>
        <v/>
      </c>
      <c r="F37" s="9" t="str">
        <f>IF(A37="","",N(Harytlar!H37))</f>
        <v/>
      </c>
      <c r="G37" s="9" t="str">
        <f t="shared" si="1"/>
        <v/>
      </c>
    </row>
    <row r="38" spans="1:7" x14ac:dyDescent="0.3">
      <c r="A38" s="9" t="str">
        <f>IF(Harytlar!A38="","",Harytlar!A38)</f>
        <v/>
      </c>
      <c r="B38" s="9" t="str">
        <f>IF(A38="","",N(Harytlar!G38))</f>
        <v/>
      </c>
      <c r="C38" s="9" t="str">
        <f>IF(A38="","",SUMIFS('Haryt Gelişi'!$C$6:$C$1005,'Haryt Gelişi'!$B$6:$B$1005,A38))</f>
        <v/>
      </c>
      <c r="D38" s="9" t="str">
        <f>IF(A38="","",SUMIFS(Satuw!$C$6:$C$5005,Satuw!$B$6:$B$5005,A38))</f>
        <v/>
      </c>
      <c r="E38" s="9" t="str">
        <f t="shared" si="0"/>
        <v/>
      </c>
      <c r="F38" s="9" t="str">
        <f>IF(A38="","",N(Harytlar!H38))</f>
        <v/>
      </c>
      <c r="G38" s="9" t="str">
        <f t="shared" si="1"/>
        <v/>
      </c>
    </row>
    <row r="39" spans="1:7" x14ac:dyDescent="0.3">
      <c r="A39" s="9" t="str">
        <f>IF(Harytlar!A39="","",Harytlar!A39)</f>
        <v/>
      </c>
      <c r="B39" s="9" t="str">
        <f>IF(A39="","",N(Harytlar!G39))</f>
        <v/>
      </c>
      <c r="C39" s="9" t="str">
        <f>IF(A39="","",SUMIFS('Haryt Gelişi'!$C$6:$C$1005,'Haryt Gelişi'!$B$6:$B$1005,A39))</f>
        <v/>
      </c>
      <c r="D39" s="9" t="str">
        <f>IF(A39="","",SUMIFS(Satuw!$C$6:$C$5005,Satuw!$B$6:$B$5005,A39))</f>
        <v/>
      </c>
      <c r="E39" s="9" t="str">
        <f t="shared" si="0"/>
        <v/>
      </c>
      <c r="F39" s="9" t="str">
        <f>IF(A39="","",N(Harytlar!H39))</f>
        <v/>
      </c>
      <c r="G39" s="9" t="str">
        <f t="shared" si="1"/>
        <v/>
      </c>
    </row>
    <row r="40" spans="1:7" x14ac:dyDescent="0.3">
      <c r="A40" s="9" t="str">
        <f>IF(Harytlar!A40="","",Harytlar!A40)</f>
        <v/>
      </c>
      <c r="B40" s="9" t="str">
        <f>IF(A40="","",N(Harytlar!G40))</f>
        <v/>
      </c>
      <c r="C40" s="9" t="str">
        <f>IF(A40="","",SUMIFS('Haryt Gelişi'!$C$6:$C$1005,'Haryt Gelişi'!$B$6:$B$1005,A40))</f>
        <v/>
      </c>
      <c r="D40" s="9" t="str">
        <f>IF(A40="","",SUMIFS(Satuw!$C$6:$C$5005,Satuw!$B$6:$B$5005,A40))</f>
        <v/>
      </c>
      <c r="E40" s="9" t="str">
        <f t="shared" si="0"/>
        <v/>
      </c>
      <c r="F40" s="9" t="str">
        <f>IF(A40="","",N(Harytlar!H40))</f>
        <v/>
      </c>
      <c r="G40" s="9" t="str">
        <f t="shared" si="1"/>
        <v/>
      </c>
    </row>
    <row r="41" spans="1:7" x14ac:dyDescent="0.3">
      <c r="A41" s="9" t="str">
        <f>IF(Harytlar!A41="","",Harytlar!A41)</f>
        <v/>
      </c>
      <c r="B41" s="9" t="str">
        <f>IF(A41="","",N(Harytlar!G41))</f>
        <v/>
      </c>
      <c r="C41" s="9" t="str">
        <f>IF(A41="","",SUMIFS('Haryt Gelişi'!$C$6:$C$1005,'Haryt Gelişi'!$B$6:$B$1005,A41))</f>
        <v/>
      </c>
      <c r="D41" s="9" t="str">
        <f>IF(A41="","",SUMIFS(Satuw!$C$6:$C$5005,Satuw!$B$6:$B$5005,A41))</f>
        <v/>
      </c>
      <c r="E41" s="9" t="str">
        <f t="shared" si="0"/>
        <v/>
      </c>
      <c r="F41" s="9" t="str">
        <f>IF(A41="","",N(Harytlar!H41))</f>
        <v/>
      </c>
      <c r="G41" s="9" t="str">
        <f t="shared" si="1"/>
        <v/>
      </c>
    </row>
    <row r="42" spans="1:7" x14ac:dyDescent="0.3">
      <c r="A42" s="9" t="str">
        <f>IF(Harytlar!A42="","",Harytlar!A42)</f>
        <v/>
      </c>
      <c r="B42" s="9" t="str">
        <f>IF(A42="","",N(Harytlar!G42))</f>
        <v/>
      </c>
      <c r="C42" s="9" t="str">
        <f>IF(A42="","",SUMIFS('Haryt Gelişi'!$C$6:$C$1005,'Haryt Gelişi'!$B$6:$B$1005,A42))</f>
        <v/>
      </c>
      <c r="D42" s="9" t="str">
        <f>IF(A42="","",SUMIFS(Satuw!$C$6:$C$5005,Satuw!$B$6:$B$5005,A42))</f>
        <v/>
      </c>
      <c r="E42" s="9" t="str">
        <f t="shared" si="0"/>
        <v/>
      </c>
      <c r="F42" s="9" t="str">
        <f>IF(A42="","",N(Harytlar!H42))</f>
        <v/>
      </c>
      <c r="G42" s="9" t="str">
        <f t="shared" si="1"/>
        <v/>
      </c>
    </row>
    <row r="43" spans="1:7" x14ac:dyDescent="0.3">
      <c r="A43" s="9" t="str">
        <f>IF(Harytlar!A43="","",Harytlar!A43)</f>
        <v/>
      </c>
      <c r="B43" s="9" t="str">
        <f>IF(A43="","",N(Harytlar!G43))</f>
        <v/>
      </c>
      <c r="C43" s="9" t="str">
        <f>IF(A43="","",SUMIFS('Haryt Gelişi'!$C$6:$C$1005,'Haryt Gelişi'!$B$6:$B$1005,A43))</f>
        <v/>
      </c>
      <c r="D43" s="9" t="str">
        <f>IF(A43="","",SUMIFS(Satuw!$C$6:$C$5005,Satuw!$B$6:$B$5005,A43))</f>
        <v/>
      </c>
      <c r="E43" s="9" t="str">
        <f t="shared" si="0"/>
        <v/>
      </c>
      <c r="F43" s="9" t="str">
        <f>IF(A43="","",N(Harytlar!H43))</f>
        <v/>
      </c>
      <c r="G43" s="9" t="str">
        <f t="shared" si="1"/>
        <v/>
      </c>
    </row>
    <row r="44" spans="1:7" x14ac:dyDescent="0.3">
      <c r="A44" s="9" t="str">
        <f>IF(Harytlar!A44="","",Harytlar!A44)</f>
        <v/>
      </c>
      <c r="B44" s="9" t="str">
        <f>IF(A44="","",N(Harytlar!G44))</f>
        <v/>
      </c>
      <c r="C44" s="9" t="str">
        <f>IF(A44="","",SUMIFS('Haryt Gelişi'!$C$6:$C$1005,'Haryt Gelişi'!$B$6:$B$1005,A44))</f>
        <v/>
      </c>
      <c r="D44" s="9" t="str">
        <f>IF(A44="","",SUMIFS(Satuw!$C$6:$C$5005,Satuw!$B$6:$B$5005,A44))</f>
        <v/>
      </c>
      <c r="E44" s="9" t="str">
        <f t="shared" si="0"/>
        <v/>
      </c>
      <c r="F44" s="9" t="str">
        <f>IF(A44="","",N(Harytlar!H44))</f>
        <v/>
      </c>
      <c r="G44" s="9" t="str">
        <f t="shared" si="1"/>
        <v/>
      </c>
    </row>
  </sheetData>
  <conditionalFormatting sqref="A5:G44">
    <cfRule type="expression" dxfId="0" priority="2">
      <formula>$G5="SARGYT BER"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6"/>
  <sheetViews>
    <sheetView showGridLines="0" tabSelected="1" zoomScaleNormal="100" workbookViewId="0">
      <pane ySplit="4" topLeftCell="A5" activePane="bottomLeft" state="frozen"/>
      <selection pane="bottomLeft" activeCell="L18" sqref="L18"/>
    </sheetView>
  </sheetViews>
  <sheetFormatPr defaultColWidth="8.6640625" defaultRowHeight="14.4" x14ac:dyDescent="0.3"/>
  <cols>
    <col min="1" max="1" width="24" customWidth="1"/>
    <col min="2" max="3" width="18" customWidth="1"/>
    <col min="4" max="4" width="22" customWidth="1"/>
    <col min="5" max="5" width="16" customWidth="1"/>
    <col min="6" max="6" width="14" customWidth="1"/>
    <col min="7" max="7" width="22" customWidth="1"/>
    <col min="8" max="8" width="20" customWidth="1"/>
  </cols>
  <sheetData>
    <row r="1" spans="1:8" ht="17.399999999999999" x14ac:dyDescent="0.3">
      <c r="A1" s="1" t="s">
        <v>88</v>
      </c>
    </row>
    <row r="2" spans="1:8" x14ac:dyDescent="0.3">
      <c r="A2" s="2" t="s">
        <v>89</v>
      </c>
    </row>
    <row r="4" spans="1:8" ht="31.5" customHeight="1" x14ac:dyDescent="0.3">
      <c r="A4" s="14" t="s">
        <v>27</v>
      </c>
      <c r="B4" s="14" t="s">
        <v>67</v>
      </c>
      <c r="C4" s="14" t="s">
        <v>90</v>
      </c>
      <c r="D4" s="14" t="s">
        <v>91</v>
      </c>
      <c r="E4" s="14" t="s">
        <v>92</v>
      </c>
      <c r="F4" s="14" t="s">
        <v>93</v>
      </c>
      <c r="G4" s="14" t="s">
        <v>94</v>
      </c>
      <c r="H4" s="14" t="s">
        <v>95</v>
      </c>
    </row>
    <row r="5" spans="1:8" x14ac:dyDescent="0.3">
      <c r="A5" s="18" t="s">
        <v>63</v>
      </c>
      <c r="B5" s="18" t="s">
        <v>96</v>
      </c>
      <c r="C5" s="19">
        <v>15</v>
      </c>
      <c r="D5" s="19">
        <v>4</v>
      </c>
      <c r="E5" s="10">
        <f t="shared" ref="E5:E44" si="0">IF(OR(C5="",D5=""),"",C5-D5)</f>
        <v>11</v>
      </c>
      <c r="F5" s="20">
        <f t="shared" ref="F5:F44" si="1">IF(OR(C5="",D5="",C5=0),"",E5/C5)</f>
        <v>0.73333333333333328</v>
      </c>
      <c r="G5" s="18">
        <v>200</v>
      </c>
      <c r="H5" s="18">
        <v>50</v>
      </c>
    </row>
    <row r="6" spans="1:8" x14ac:dyDescent="0.3">
      <c r="A6" s="18" t="s">
        <v>97</v>
      </c>
      <c r="B6" s="18" t="s">
        <v>96</v>
      </c>
      <c r="C6" s="19">
        <v>45</v>
      </c>
      <c r="D6" s="19">
        <v>15</v>
      </c>
      <c r="E6" s="10">
        <f t="shared" si="0"/>
        <v>30</v>
      </c>
      <c r="F6" s="20">
        <f t="shared" si="1"/>
        <v>0.66666666666666663</v>
      </c>
      <c r="G6" s="18">
        <v>100</v>
      </c>
      <c r="H6" s="18">
        <v>30</v>
      </c>
    </row>
    <row r="7" spans="1:8" x14ac:dyDescent="0.3">
      <c r="A7" s="18" t="s">
        <v>98</v>
      </c>
      <c r="B7" s="18" t="s">
        <v>96</v>
      </c>
      <c r="C7" s="19">
        <v>60</v>
      </c>
      <c r="D7" s="19">
        <v>20</v>
      </c>
      <c r="E7" s="10">
        <f t="shared" si="0"/>
        <v>40</v>
      </c>
      <c r="F7" s="20">
        <f t="shared" si="1"/>
        <v>0.66666666666666663</v>
      </c>
      <c r="G7" s="18">
        <v>100</v>
      </c>
      <c r="H7" s="18">
        <v>30</v>
      </c>
    </row>
    <row r="8" spans="1:8" x14ac:dyDescent="0.3">
      <c r="A8" s="18" t="s">
        <v>99</v>
      </c>
      <c r="B8" s="18" t="s">
        <v>96</v>
      </c>
      <c r="C8" s="19">
        <v>40</v>
      </c>
      <c r="D8" s="19">
        <v>12</v>
      </c>
      <c r="E8" s="10">
        <f t="shared" si="0"/>
        <v>28</v>
      </c>
      <c r="F8" s="20">
        <f t="shared" si="1"/>
        <v>0.7</v>
      </c>
      <c r="G8" s="18">
        <v>150</v>
      </c>
      <c r="H8" s="18">
        <v>40</v>
      </c>
    </row>
    <row r="9" spans="1:8" x14ac:dyDescent="0.3">
      <c r="A9" s="18" t="s">
        <v>78</v>
      </c>
      <c r="B9" s="18" t="s">
        <v>100</v>
      </c>
      <c r="C9" s="19">
        <v>10</v>
      </c>
      <c r="D9" s="19">
        <v>4</v>
      </c>
      <c r="E9" s="10">
        <f t="shared" si="0"/>
        <v>6</v>
      </c>
      <c r="F9" s="20">
        <f t="shared" si="1"/>
        <v>0.6</v>
      </c>
      <c r="G9" s="18">
        <v>200</v>
      </c>
      <c r="H9" s="18">
        <v>50</v>
      </c>
    </row>
    <row r="10" spans="1:8" x14ac:dyDescent="0.3">
      <c r="A10" s="18" t="s">
        <v>101</v>
      </c>
      <c r="B10" s="18" t="s">
        <v>100</v>
      </c>
      <c r="C10" s="19">
        <v>20</v>
      </c>
      <c r="D10" s="19">
        <v>8</v>
      </c>
      <c r="E10" s="10">
        <f t="shared" si="0"/>
        <v>12</v>
      </c>
      <c r="F10" s="20">
        <f t="shared" si="1"/>
        <v>0.6</v>
      </c>
      <c r="G10" s="18">
        <v>100</v>
      </c>
      <c r="H10" s="18">
        <v>30</v>
      </c>
    </row>
    <row r="11" spans="1:8" x14ac:dyDescent="0.3">
      <c r="A11" s="18" t="s">
        <v>102</v>
      </c>
      <c r="B11" s="18" t="s">
        <v>100</v>
      </c>
      <c r="C11" s="19">
        <v>30</v>
      </c>
      <c r="D11" s="19">
        <v>14</v>
      </c>
      <c r="E11" s="10">
        <f t="shared" si="0"/>
        <v>16</v>
      </c>
      <c r="F11" s="20">
        <f t="shared" si="1"/>
        <v>0.53333333333333333</v>
      </c>
      <c r="G11" s="18">
        <v>60</v>
      </c>
      <c r="H11" s="18">
        <v>20</v>
      </c>
    </row>
    <row r="12" spans="1:8" x14ac:dyDescent="0.3">
      <c r="A12" s="18" t="s">
        <v>103</v>
      </c>
      <c r="B12" s="18" t="s">
        <v>104</v>
      </c>
      <c r="C12" s="19">
        <v>25</v>
      </c>
      <c r="D12" s="19">
        <v>12</v>
      </c>
      <c r="E12" s="10">
        <f t="shared" si="0"/>
        <v>13</v>
      </c>
      <c r="F12" s="20">
        <f t="shared" si="1"/>
        <v>0.52</v>
      </c>
      <c r="G12" s="18">
        <v>50</v>
      </c>
      <c r="H12" s="18">
        <v>15</v>
      </c>
    </row>
    <row r="13" spans="1:8" x14ac:dyDescent="0.3">
      <c r="A13" s="18" t="s">
        <v>105</v>
      </c>
      <c r="B13" s="18" t="s">
        <v>104</v>
      </c>
      <c r="C13" s="19">
        <v>30</v>
      </c>
      <c r="D13" s="19">
        <v>15</v>
      </c>
      <c r="E13" s="10">
        <f t="shared" si="0"/>
        <v>15</v>
      </c>
      <c r="F13" s="20">
        <f t="shared" si="1"/>
        <v>0.5</v>
      </c>
      <c r="G13" s="18">
        <v>50</v>
      </c>
      <c r="H13" s="18">
        <v>15</v>
      </c>
    </row>
    <row r="14" spans="1:8" x14ac:dyDescent="0.3">
      <c r="A14" s="18"/>
      <c r="B14" s="18"/>
      <c r="C14" s="19"/>
      <c r="D14" s="19"/>
      <c r="E14" s="10" t="str">
        <f t="shared" si="0"/>
        <v/>
      </c>
      <c r="F14" s="20" t="str">
        <f t="shared" si="1"/>
        <v/>
      </c>
      <c r="G14" s="18"/>
      <c r="H14" s="18"/>
    </row>
    <row r="15" spans="1:8" x14ac:dyDescent="0.3">
      <c r="A15" s="18"/>
      <c r="B15" s="18"/>
      <c r="C15" s="19"/>
      <c r="D15" s="19"/>
      <c r="E15" s="10" t="str">
        <f t="shared" si="0"/>
        <v/>
      </c>
      <c r="F15" s="20" t="str">
        <f t="shared" si="1"/>
        <v/>
      </c>
      <c r="G15" s="18"/>
      <c r="H15" s="18"/>
    </row>
    <row r="16" spans="1:8" x14ac:dyDescent="0.3">
      <c r="A16" s="18"/>
      <c r="B16" s="18"/>
      <c r="C16" s="19"/>
      <c r="D16" s="19"/>
      <c r="E16" s="10" t="str">
        <f t="shared" si="0"/>
        <v/>
      </c>
      <c r="F16" s="20" t="str">
        <f t="shared" si="1"/>
        <v/>
      </c>
      <c r="G16" s="18"/>
      <c r="H16" s="18"/>
    </row>
    <row r="17" spans="1:8" x14ac:dyDescent="0.3">
      <c r="A17" s="18"/>
      <c r="B17" s="18"/>
      <c r="C17" s="19"/>
      <c r="D17" s="19"/>
      <c r="E17" s="10" t="str">
        <f t="shared" si="0"/>
        <v/>
      </c>
      <c r="F17" s="20" t="str">
        <f t="shared" si="1"/>
        <v/>
      </c>
      <c r="G17" s="18"/>
      <c r="H17" s="18"/>
    </row>
    <row r="18" spans="1:8" x14ac:dyDescent="0.3">
      <c r="A18" s="18"/>
      <c r="B18" s="18"/>
      <c r="C18" s="19"/>
      <c r="D18" s="19"/>
      <c r="E18" s="10" t="str">
        <f t="shared" si="0"/>
        <v/>
      </c>
      <c r="F18" s="20" t="str">
        <f t="shared" si="1"/>
        <v/>
      </c>
      <c r="G18" s="18"/>
      <c r="H18" s="18"/>
    </row>
    <row r="19" spans="1:8" x14ac:dyDescent="0.3">
      <c r="A19" s="18"/>
      <c r="B19" s="18"/>
      <c r="C19" s="19"/>
      <c r="D19" s="19"/>
      <c r="E19" s="10" t="str">
        <f t="shared" si="0"/>
        <v/>
      </c>
      <c r="F19" s="20" t="str">
        <f t="shared" si="1"/>
        <v/>
      </c>
      <c r="G19" s="18"/>
      <c r="H19" s="18"/>
    </row>
    <row r="20" spans="1:8" x14ac:dyDescent="0.3">
      <c r="A20" s="18"/>
      <c r="B20" s="18"/>
      <c r="C20" s="19"/>
      <c r="D20" s="19"/>
      <c r="E20" s="10" t="str">
        <f t="shared" si="0"/>
        <v/>
      </c>
      <c r="F20" s="20" t="str">
        <f t="shared" si="1"/>
        <v/>
      </c>
      <c r="G20" s="18"/>
      <c r="H20" s="18"/>
    </row>
    <row r="21" spans="1:8" x14ac:dyDescent="0.3">
      <c r="A21" s="18"/>
      <c r="B21" s="18"/>
      <c r="C21" s="19"/>
      <c r="D21" s="19"/>
      <c r="E21" s="10" t="str">
        <f t="shared" si="0"/>
        <v/>
      </c>
      <c r="F21" s="20" t="str">
        <f t="shared" si="1"/>
        <v/>
      </c>
      <c r="G21" s="18"/>
      <c r="H21" s="18"/>
    </row>
    <row r="22" spans="1:8" x14ac:dyDescent="0.3">
      <c r="A22" s="18"/>
      <c r="B22" s="18"/>
      <c r="C22" s="19"/>
      <c r="D22" s="19"/>
      <c r="E22" s="10" t="str">
        <f t="shared" si="0"/>
        <v/>
      </c>
      <c r="F22" s="20" t="str">
        <f t="shared" si="1"/>
        <v/>
      </c>
      <c r="G22" s="18"/>
      <c r="H22" s="18"/>
    </row>
    <row r="23" spans="1:8" x14ac:dyDescent="0.3">
      <c r="A23" s="18"/>
      <c r="B23" s="18"/>
      <c r="C23" s="19"/>
      <c r="D23" s="19"/>
      <c r="E23" s="10" t="str">
        <f t="shared" si="0"/>
        <v/>
      </c>
      <c r="F23" s="20" t="str">
        <f t="shared" si="1"/>
        <v/>
      </c>
      <c r="G23" s="18"/>
      <c r="H23" s="18"/>
    </row>
    <row r="24" spans="1:8" x14ac:dyDescent="0.3">
      <c r="A24" s="18"/>
      <c r="B24" s="18"/>
      <c r="C24" s="19"/>
      <c r="D24" s="19"/>
      <c r="E24" s="10" t="str">
        <f t="shared" si="0"/>
        <v/>
      </c>
      <c r="F24" s="20" t="str">
        <f t="shared" si="1"/>
        <v/>
      </c>
      <c r="G24" s="18"/>
      <c r="H24" s="18"/>
    </row>
    <row r="25" spans="1:8" x14ac:dyDescent="0.3">
      <c r="A25" s="18"/>
      <c r="B25" s="18"/>
      <c r="C25" s="19"/>
      <c r="D25" s="19"/>
      <c r="E25" s="10" t="str">
        <f t="shared" si="0"/>
        <v/>
      </c>
      <c r="F25" s="20" t="str">
        <f t="shared" si="1"/>
        <v/>
      </c>
      <c r="G25" s="18"/>
      <c r="H25" s="18"/>
    </row>
    <row r="26" spans="1:8" x14ac:dyDescent="0.3">
      <c r="A26" s="18"/>
      <c r="B26" s="18"/>
      <c r="C26" s="19"/>
      <c r="D26" s="19"/>
      <c r="E26" s="10" t="str">
        <f t="shared" si="0"/>
        <v/>
      </c>
      <c r="F26" s="20" t="str">
        <f t="shared" si="1"/>
        <v/>
      </c>
      <c r="G26" s="18"/>
      <c r="H26" s="18"/>
    </row>
    <row r="27" spans="1:8" x14ac:dyDescent="0.3">
      <c r="A27" s="18"/>
      <c r="B27" s="18"/>
      <c r="C27" s="19"/>
      <c r="D27" s="19"/>
      <c r="E27" s="10" t="str">
        <f t="shared" si="0"/>
        <v/>
      </c>
      <c r="F27" s="20" t="str">
        <f t="shared" si="1"/>
        <v/>
      </c>
      <c r="G27" s="18"/>
      <c r="H27" s="18"/>
    </row>
    <row r="28" spans="1:8" x14ac:dyDescent="0.3">
      <c r="A28" s="18"/>
      <c r="B28" s="18"/>
      <c r="C28" s="19"/>
      <c r="D28" s="19"/>
      <c r="E28" s="10" t="str">
        <f t="shared" si="0"/>
        <v/>
      </c>
      <c r="F28" s="20" t="str">
        <f t="shared" si="1"/>
        <v/>
      </c>
      <c r="G28" s="18"/>
      <c r="H28" s="18"/>
    </row>
    <row r="29" spans="1:8" x14ac:dyDescent="0.3">
      <c r="A29" s="18"/>
      <c r="B29" s="18"/>
      <c r="C29" s="19"/>
      <c r="D29" s="19"/>
      <c r="E29" s="10" t="str">
        <f t="shared" si="0"/>
        <v/>
      </c>
      <c r="F29" s="20" t="str">
        <f t="shared" si="1"/>
        <v/>
      </c>
      <c r="G29" s="18"/>
      <c r="H29" s="18"/>
    </row>
    <row r="30" spans="1:8" x14ac:dyDescent="0.3">
      <c r="A30" s="18"/>
      <c r="B30" s="18"/>
      <c r="C30" s="19"/>
      <c r="D30" s="19"/>
      <c r="E30" s="10" t="str">
        <f t="shared" si="0"/>
        <v/>
      </c>
      <c r="F30" s="20" t="str">
        <f t="shared" si="1"/>
        <v/>
      </c>
      <c r="G30" s="18"/>
      <c r="H30" s="18"/>
    </row>
    <row r="31" spans="1:8" x14ac:dyDescent="0.3">
      <c r="A31" s="18"/>
      <c r="B31" s="18"/>
      <c r="C31" s="19"/>
      <c r="D31" s="19"/>
      <c r="E31" s="10" t="str">
        <f t="shared" si="0"/>
        <v/>
      </c>
      <c r="F31" s="20" t="str">
        <f t="shared" si="1"/>
        <v/>
      </c>
      <c r="G31" s="18"/>
      <c r="H31" s="18"/>
    </row>
    <row r="32" spans="1:8" x14ac:dyDescent="0.3">
      <c r="A32" s="18"/>
      <c r="B32" s="18"/>
      <c r="C32" s="19"/>
      <c r="D32" s="19"/>
      <c r="E32" s="10" t="str">
        <f t="shared" si="0"/>
        <v/>
      </c>
      <c r="F32" s="20" t="str">
        <f t="shared" si="1"/>
        <v/>
      </c>
      <c r="G32" s="18"/>
      <c r="H32" s="18"/>
    </row>
    <row r="33" spans="1:8" x14ac:dyDescent="0.3">
      <c r="A33" s="18"/>
      <c r="B33" s="18"/>
      <c r="C33" s="19"/>
      <c r="D33" s="19"/>
      <c r="E33" s="10" t="str">
        <f t="shared" si="0"/>
        <v/>
      </c>
      <c r="F33" s="20" t="str">
        <f t="shared" si="1"/>
        <v/>
      </c>
      <c r="G33" s="18"/>
      <c r="H33" s="18"/>
    </row>
    <row r="34" spans="1:8" x14ac:dyDescent="0.3">
      <c r="A34" s="18"/>
      <c r="B34" s="18"/>
      <c r="C34" s="19"/>
      <c r="D34" s="19"/>
      <c r="E34" s="10" t="str">
        <f t="shared" si="0"/>
        <v/>
      </c>
      <c r="F34" s="20" t="str">
        <f t="shared" si="1"/>
        <v/>
      </c>
      <c r="G34" s="18"/>
      <c r="H34" s="18"/>
    </row>
    <row r="35" spans="1:8" x14ac:dyDescent="0.3">
      <c r="A35" s="18"/>
      <c r="B35" s="18"/>
      <c r="C35" s="19"/>
      <c r="D35" s="19"/>
      <c r="E35" s="10" t="str">
        <f t="shared" si="0"/>
        <v/>
      </c>
      <c r="F35" s="20" t="str">
        <f t="shared" si="1"/>
        <v/>
      </c>
      <c r="G35" s="18"/>
      <c r="H35" s="18"/>
    </row>
    <row r="36" spans="1:8" x14ac:dyDescent="0.3">
      <c r="A36" s="18"/>
      <c r="B36" s="18"/>
      <c r="C36" s="19"/>
      <c r="D36" s="19"/>
      <c r="E36" s="10" t="str">
        <f t="shared" si="0"/>
        <v/>
      </c>
      <c r="F36" s="20" t="str">
        <f t="shared" si="1"/>
        <v/>
      </c>
      <c r="G36" s="18"/>
      <c r="H36" s="18"/>
    </row>
    <row r="37" spans="1:8" x14ac:dyDescent="0.3">
      <c r="A37" s="18"/>
      <c r="B37" s="18"/>
      <c r="C37" s="19"/>
      <c r="D37" s="19"/>
      <c r="E37" s="10" t="str">
        <f t="shared" si="0"/>
        <v/>
      </c>
      <c r="F37" s="20" t="str">
        <f t="shared" si="1"/>
        <v/>
      </c>
      <c r="G37" s="18"/>
      <c r="H37" s="18"/>
    </row>
    <row r="38" spans="1:8" x14ac:dyDescent="0.3">
      <c r="A38" s="18"/>
      <c r="B38" s="18"/>
      <c r="C38" s="19"/>
      <c r="D38" s="19"/>
      <c r="E38" s="10" t="str">
        <f t="shared" si="0"/>
        <v/>
      </c>
      <c r="F38" s="20" t="str">
        <f t="shared" si="1"/>
        <v/>
      </c>
      <c r="G38" s="18"/>
      <c r="H38" s="18"/>
    </row>
    <row r="39" spans="1:8" x14ac:dyDescent="0.3">
      <c r="A39" s="18"/>
      <c r="B39" s="18"/>
      <c r="C39" s="19"/>
      <c r="D39" s="19"/>
      <c r="E39" s="10" t="str">
        <f t="shared" si="0"/>
        <v/>
      </c>
      <c r="F39" s="20" t="str">
        <f t="shared" si="1"/>
        <v/>
      </c>
      <c r="G39" s="18"/>
      <c r="H39" s="18"/>
    </row>
    <row r="40" spans="1:8" x14ac:dyDescent="0.3">
      <c r="A40" s="18"/>
      <c r="B40" s="18"/>
      <c r="C40" s="19"/>
      <c r="D40" s="19"/>
      <c r="E40" s="10" t="str">
        <f t="shared" si="0"/>
        <v/>
      </c>
      <c r="F40" s="20" t="str">
        <f t="shared" si="1"/>
        <v/>
      </c>
      <c r="G40" s="18"/>
      <c r="H40" s="18"/>
    </row>
    <row r="41" spans="1:8" x14ac:dyDescent="0.3">
      <c r="A41" s="18"/>
      <c r="B41" s="18"/>
      <c r="C41" s="19"/>
      <c r="D41" s="19"/>
      <c r="E41" s="10" t="str">
        <f t="shared" si="0"/>
        <v/>
      </c>
      <c r="F41" s="20" t="str">
        <f t="shared" si="1"/>
        <v/>
      </c>
      <c r="G41" s="18"/>
      <c r="H41" s="18"/>
    </row>
    <row r="42" spans="1:8" x14ac:dyDescent="0.3">
      <c r="A42" s="18"/>
      <c r="B42" s="18"/>
      <c r="C42" s="19"/>
      <c r="D42" s="19"/>
      <c r="E42" s="10" t="str">
        <f t="shared" si="0"/>
        <v/>
      </c>
      <c r="F42" s="20" t="str">
        <f t="shared" si="1"/>
        <v/>
      </c>
      <c r="G42" s="18"/>
      <c r="H42" s="18"/>
    </row>
    <row r="43" spans="1:8" x14ac:dyDescent="0.3">
      <c r="A43" s="18"/>
      <c r="B43" s="18"/>
      <c r="C43" s="19"/>
      <c r="D43" s="19"/>
      <c r="E43" s="10" t="str">
        <f t="shared" si="0"/>
        <v/>
      </c>
      <c r="F43" s="20" t="str">
        <f t="shared" si="1"/>
        <v/>
      </c>
      <c r="G43" s="18"/>
      <c r="H43" s="18"/>
    </row>
    <row r="44" spans="1:8" x14ac:dyDescent="0.3">
      <c r="A44" s="18"/>
      <c r="B44" s="18"/>
      <c r="C44" s="19"/>
      <c r="D44" s="19"/>
      <c r="E44" s="10" t="str">
        <f t="shared" si="0"/>
        <v/>
      </c>
      <c r="F44" s="20" t="str">
        <f t="shared" si="1"/>
        <v/>
      </c>
      <c r="G44" s="18"/>
      <c r="H44" s="18"/>
    </row>
    <row r="46" spans="1:8" x14ac:dyDescent="0.3">
      <c r="A46" s="2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Gollanma</vt:lpstr>
      <vt:lpstr>Gündelik Hasabat</vt:lpstr>
      <vt:lpstr>Aýlyk Jemleme</vt:lpstr>
      <vt:lpstr>Satuw</vt:lpstr>
      <vt:lpstr>Çykdajylar</vt:lpstr>
      <vt:lpstr>Haryt Gelişi</vt:lpstr>
      <vt:lpstr>Ammar Ýagdaýy</vt:lpstr>
      <vt:lpstr>Harytlar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1</cp:revision>
  <dcterms:created xsi:type="dcterms:W3CDTF">2026-10-07T05:31:20Z</dcterms:created>
  <dcterms:modified xsi:type="dcterms:W3CDTF">2026-10-07T07:25:44Z</dcterms:modified>
  <dc:language>en-US</dc:language>
</cp:coreProperties>
</file>