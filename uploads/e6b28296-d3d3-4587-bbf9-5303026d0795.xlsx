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Mart 2026\"/>
    </mc:Choice>
  </mc:AlternateContent>
  <xr:revisionPtr revIDLastSave="0" documentId="13_ncr:1_{B6858B5C-8335-4D54-AF54-6366CF9EACEF}" xr6:coauthVersionLast="45" xr6:coauthVersionMax="45" xr10:uidLastSave="{00000000-0000-0000-0000-000000000000}"/>
  <bookViews>
    <workbookView xWindow="-120" yWindow="-120" windowWidth="29040" windowHeight="15840" activeTab="11" xr2:uid="{00000000-000D-0000-FFFF-FFFF00000000}"/>
  </bookViews>
  <sheets>
    <sheet name="Hilli Gaplama " sheetId="22" r:id="rId1"/>
    <sheet name="Hilli Tudana" sheetId="10" r:id="rId2"/>
    <sheet name="B-1" sheetId="12" r:id="rId3"/>
    <sheet name="B-2" sheetId="19" r:id="rId4"/>
    <sheet name="B-3" sheetId="14" r:id="rId5"/>
    <sheet name="B-4" sheetId="13" r:id="rId6"/>
    <sheet name="A-1" sheetId="20" r:id="rId7"/>
    <sheet name="A-2" sheetId="15" r:id="rId8"/>
    <sheet name="A-3" sheetId="16" r:id="rId9"/>
    <sheet name="A-5" sheetId="18" r:id="rId10"/>
    <sheet name="A-7" sheetId="17" r:id="rId11"/>
    <sheet name="A-8" sheetId="23" r:id="rId12"/>
    <sheet name="Final" sheetId="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0" i="18" l="1"/>
  <c r="G10" i="18"/>
  <c r="N10" i="18" s="1"/>
  <c r="O10" i="18" l="1"/>
  <c r="K5" i="6"/>
  <c r="K6" i="6"/>
  <c r="K7" i="6"/>
  <c r="K8" i="6"/>
  <c r="K10" i="6"/>
  <c r="K11" i="6"/>
  <c r="K12" i="6"/>
  <c r="K13" i="6"/>
  <c r="K14" i="6"/>
  <c r="K4" i="6"/>
  <c r="I4" i="6"/>
  <c r="I5" i="6"/>
  <c r="I6" i="6"/>
  <c r="I7" i="6"/>
  <c r="I8" i="6"/>
  <c r="I9" i="6"/>
  <c r="K9" i="6" s="1"/>
  <c r="I10" i="6"/>
  <c r="I11" i="6"/>
  <c r="I12" i="6"/>
  <c r="I13" i="6"/>
  <c r="I14" i="6"/>
  <c r="E14" i="23" l="1"/>
  <c r="D14" i="23"/>
  <c r="C14" i="23"/>
  <c r="K7" i="23"/>
  <c r="G7" i="23"/>
  <c r="O7" i="23" s="1"/>
  <c r="G6" i="23"/>
  <c r="O6" i="23" s="1"/>
  <c r="E15" i="23" l="1"/>
  <c r="N6" i="23"/>
  <c r="N7" i="23"/>
  <c r="G9" i="16" l="1"/>
  <c r="O10" i="15" l="1"/>
  <c r="O9" i="15"/>
  <c r="O8" i="15"/>
  <c r="O7" i="15"/>
  <c r="O6" i="15"/>
  <c r="E18" i="18" l="1"/>
  <c r="D18" i="18"/>
  <c r="C18" i="18"/>
  <c r="E19" i="18" s="1"/>
  <c r="K11" i="18"/>
  <c r="G11" i="18"/>
  <c r="K9" i="18"/>
  <c r="G9" i="18"/>
  <c r="O9" i="18" s="1"/>
  <c r="K8" i="18"/>
  <c r="G8" i="18"/>
  <c r="K7" i="18"/>
  <c r="G7" i="18"/>
  <c r="O7" i="18" s="1"/>
  <c r="G6" i="18"/>
  <c r="O6" i="18" s="1"/>
  <c r="E16" i="17"/>
  <c r="D16" i="17"/>
  <c r="C16" i="17"/>
  <c r="E17" i="17" s="1"/>
  <c r="K9" i="17"/>
  <c r="G9" i="17"/>
  <c r="K8" i="17"/>
  <c r="G8" i="17"/>
  <c r="O8" i="17" s="1"/>
  <c r="K7" i="17"/>
  <c r="G7" i="17"/>
  <c r="G6" i="17"/>
  <c r="O6" i="17" s="1"/>
  <c r="E19" i="16"/>
  <c r="D19" i="16"/>
  <c r="C19" i="16"/>
  <c r="K12" i="16"/>
  <c r="G12" i="16"/>
  <c r="O12" i="16" s="1"/>
  <c r="K11" i="16"/>
  <c r="G11" i="16"/>
  <c r="O11" i="16" s="1"/>
  <c r="K10" i="16"/>
  <c r="G10" i="16"/>
  <c r="O10" i="16" s="1"/>
  <c r="K9" i="16"/>
  <c r="N9" i="16" s="1"/>
  <c r="N8" i="16"/>
  <c r="K8" i="16"/>
  <c r="G8" i="16"/>
  <c r="O8" i="16" s="1"/>
  <c r="K7" i="16"/>
  <c r="G7" i="16"/>
  <c r="O7" i="16" s="1"/>
  <c r="G6" i="16"/>
  <c r="O6" i="16" s="1"/>
  <c r="E18" i="15"/>
  <c r="D18" i="15"/>
  <c r="C18" i="15"/>
  <c r="E19" i="15" s="1"/>
  <c r="K11" i="15"/>
  <c r="G11" i="15"/>
  <c r="O11" i="15" s="1"/>
  <c r="K10" i="15"/>
  <c r="G10" i="15"/>
  <c r="K9" i="15"/>
  <c r="G9" i="15"/>
  <c r="K8" i="15"/>
  <c r="G8" i="15"/>
  <c r="K7" i="15"/>
  <c r="G7" i="15"/>
  <c r="G6" i="15"/>
  <c r="E18" i="20"/>
  <c r="D18" i="20"/>
  <c r="C18" i="20"/>
  <c r="E19" i="20" s="1"/>
  <c r="K11" i="20"/>
  <c r="G11" i="20"/>
  <c r="O11" i="20" s="1"/>
  <c r="K10" i="20"/>
  <c r="G10" i="20"/>
  <c r="O10" i="20" s="1"/>
  <c r="K9" i="20"/>
  <c r="G9" i="20"/>
  <c r="O9" i="20" s="1"/>
  <c r="K8" i="20"/>
  <c r="G8" i="20"/>
  <c r="O8" i="20" s="1"/>
  <c r="K7" i="20"/>
  <c r="G7" i="20"/>
  <c r="O7" i="20" s="1"/>
  <c r="G6" i="20"/>
  <c r="O6" i="20" s="1"/>
  <c r="E20" i="13"/>
  <c r="D20" i="13"/>
  <c r="C20" i="13"/>
  <c r="K13" i="13"/>
  <c r="G13" i="13"/>
  <c r="K12" i="13"/>
  <c r="G12" i="13"/>
  <c r="K11" i="13"/>
  <c r="G11" i="13"/>
  <c r="K10" i="13"/>
  <c r="G10" i="13"/>
  <c r="K9" i="13"/>
  <c r="G9" i="13"/>
  <c r="K8" i="13"/>
  <c r="G8" i="13"/>
  <c r="K7" i="13"/>
  <c r="G7" i="13"/>
  <c r="G6" i="13"/>
  <c r="N6" i="13" s="1"/>
  <c r="E19" i="14"/>
  <c r="D19" i="14"/>
  <c r="C19" i="14"/>
  <c r="K12" i="14"/>
  <c r="G12" i="14"/>
  <c r="O12" i="14" s="1"/>
  <c r="K11" i="14"/>
  <c r="G11" i="14"/>
  <c r="O11" i="14" s="1"/>
  <c r="K10" i="14"/>
  <c r="G10" i="14"/>
  <c r="O10" i="14" s="1"/>
  <c r="K9" i="14"/>
  <c r="G9" i="14"/>
  <c r="O9" i="14" s="1"/>
  <c r="K8" i="14"/>
  <c r="G8" i="14"/>
  <c r="O8" i="14" s="1"/>
  <c r="K7" i="14"/>
  <c r="G7" i="14"/>
  <c r="O7" i="14" s="1"/>
  <c r="G6" i="14"/>
  <c r="O6" i="14" s="1"/>
  <c r="E20" i="19"/>
  <c r="D20" i="19"/>
  <c r="C20" i="19"/>
  <c r="E21" i="19" s="1"/>
  <c r="K13" i="19"/>
  <c r="G13" i="19"/>
  <c r="K12" i="19"/>
  <c r="G12" i="19"/>
  <c r="O12" i="19" s="1"/>
  <c r="K11" i="19"/>
  <c r="G11" i="19"/>
  <c r="K10" i="19"/>
  <c r="G10" i="19"/>
  <c r="O10" i="19" s="1"/>
  <c r="K9" i="19"/>
  <c r="G9" i="19"/>
  <c r="K8" i="19"/>
  <c r="G8" i="19"/>
  <c r="O8" i="19" s="1"/>
  <c r="K7" i="19"/>
  <c r="G7" i="19"/>
  <c r="G6" i="19"/>
  <c r="O6" i="19" s="1"/>
  <c r="K11" i="12"/>
  <c r="K12" i="12"/>
  <c r="G11" i="12"/>
  <c r="N11" i="12" s="1"/>
  <c r="G12" i="12"/>
  <c r="O12" i="12" s="1"/>
  <c r="G13" i="12"/>
  <c r="E21" i="12"/>
  <c r="D21" i="12"/>
  <c r="C21" i="12"/>
  <c r="K14" i="12"/>
  <c r="G14" i="12"/>
  <c r="O14" i="12" s="1"/>
  <c r="K13" i="12"/>
  <c r="K10" i="12"/>
  <c r="G10" i="12"/>
  <c r="K9" i="12"/>
  <c r="G9" i="12"/>
  <c r="K8" i="12"/>
  <c r="G8" i="12"/>
  <c r="K7" i="12"/>
  <c r="G7" i="12"/>
  <c r="O7" i="12" s="1"/>
  <c r="G6" i="12"/>
  <c r="O6" i="12" s="1"/>
  <c r="O7" i="22"/>
  <c r="O8" i="22"/>
  <c r="O9" i="22"/>
  <c r="O10" i="22"/>
  <c r="O11" i="22"/>
  <c r="O12" i="22"/>
  <c r="O13" i="22"/>
  <c r="O6" i="22"/>
  <c r="K13" i="22"/>
  <c r="G13" i="22"/>
  <c r="K12" i="22"/>
  <c r="G12" i="22"/>
  <c r="K11" i="22"/>
  <c r="G11" i="22"/>
  <c r="K10" i="22"/>
  <c r="G10" i="22"/>
  <c r="K9" i="22"/>
  <c r="G9" i="22"/>
  <c r="K8" i="22"/>
  <c r="G8" i="22"/>
  <c r="K7" i="22"/>
  <c r="G7" i="22"/>
  <c r="G6" i="22"/>
  <c r="N12" i="22"/>
  <c r="E20" i="22"/>
  <c r="D20" i="22"/>
  <c r="C20" i="22"/>
  <c r="O8" i="18" l="1"/>
  <c r="O11" i="18"/>
  <c r="E21" i="13"/>
  <c r="O7" i="13"/>
  <c r="O9" i="13"/>
  <c r="O11" i="13"/>
  <c r="O13" i="13"/>
  <c r="O8" i="13"/>
  <c r="O10" i="13"/>
  <c r="O12" i="13"/>
  <c r="O6" i="13"/>
  <c r="O7" i="19"/>
  <c r="O9" i="19"/>
  <c r="O11" i="19"/>
  <c r="O13" i="19"/>
  <c r="E20" i="14"/>
  <c r="E22" i="12"/>
  <c r="O8" i="12"/>
  <c r="O10" i="12"/>
  <c r="N13" i="12"/>
  <c r="N12" i="12"/>
  <c r="O9" i="12"/>
  <c r="O11" i="12"/>
  <c r="O13" i="12"/>
  <c r="O7" i="17"/>
  <c r="O9" i="17"/>
  <c r="E20" i="16"/>
  <c r="O9" i="16"/>
  <c r="N12" i="16"/>
  <c r="N6" i="16"/>
  <c r="N7" i="16"/>
  <c r="N11" i="16"/>
  <c r="N10" i="16"/>
  <c r="N6" i="15"/>
  <c r="N6" i="18"/>
  <c r="N7" i="18"/>
  <c r="N8" i="18"/>
  <c r="N9" i="18"/>
  <c r="N11" i="18"/>
  <c r="N6" i="17"/>
  <c r="N7" i="17"/>
  <c r="N8" i="17"/>
  <c r="N9" i="17"/>
  <c r="N8" i="15"/>
  <c r="N9" i="15"/>
  <c r="N10" i="15"/>
  <c r="N11" i="15"/>
  <c r="N7" i="15"/>
  <c r="N6" i="20"/>
  <c r="N7" i="20"/>
  <c r="N8" i="20"/>
  <c r="N9" i="20"/>
  <c r="N10" i="20"/>
  <c r="N11" i="20"/>
  <c r="N7" i="13"/>
  <c r="N8" i="13"/>
  <c r="N9" i="13"/>
  <c r="N10" i="13"/>
  <c r="N11" i="13"/>
  <c r="N12" i="13"/>
  <c r="N13" i="13"/>
  <c r="N6" i="14"/>
  <c r="N7" i="14"/>
  <c r="N8" i="14"/>
  <c r="N9" i="14"/>
  <c r="N10" i="14"/>
  <c r="N11" i="14"/>
  <c r="N12" i="14"/>
  <c r="N6" i="19"/>
  <c r="N7" i="19"/>
  <c r="N8" i="19"/>
  <c r="N9" i="19"/>
  <c r="N10" i="19"/>
  <c r="N11" i="19"/>
  <c r="N12" i="19"/>
  <c r="N13" i="19"/>
  <c r="N6" i="12"/>
  <c r="N7" i="12"/>
  <c r="N8" i="12"/>
  <c r="N9" i="12"/>
  <c r="N10" i="12"/>
  <c r="N14" i="12"/>
  <c r="E21" i="22"/>
  <c r="N6" i="22"/>
  <c r="N7" i="22"/>
  <c r="N8" i="22"/>
  <c r="N9" i="22"/>
  <c r="N10" i="22"/>
  <c r="N11" i="22"/>
  <c r="N13" i="22"/>
  <c r="O7" i="10"/>
  <c r="O8" i="10"/>
  <c r="O9" i="10"/>
  <c r="O10" i="10"/>
  <c r="O11" i="10"/>
  <c r="O12" i="10"/>
  <c r="N7" i="10"/>
  <c r="N8" i="10"/>
  <c r="N9" i="10"/>
  <c r="N10" i="10"/>
  <c r="N11" i="10"/>
  <c r="N12" i="10"/>
  <c r="O6" i="10"/>
  <c r="N6" i="10"/>
  <c r="K6" i="10" l="1"/>
  <c r="J15" i="6" l="1"/>
  <c r="D6" i="6"/>
  <c r="H6" i="6" l="1"/>
  <c r="F6" i="6"/>
  <c r="F12" i="6"/>
  <c r="F13" i="6"/>
  <c r="F14" i="6"/>
  <c r="D14" i="6" l="1"/>
  <c r="D13" i="6"/>
  <c r="D12" i="6"/>
  <c r="H14" i="6"/>
  <c r="H13" i="6"/>
  <c r="H12" i="6"/>
  <c r="K7" i="10" l="1"/>
  <c r="K8" i="10"/>
  <c r="K9" i="10"/>
  <c r="K10" i="10"/>
  <c r="K11" i="10"/>
  <c r="K12" i="10"/>
  <c r="G15" i="6" l="1"/>
  <c r="E15" i="6"/>
  <c r="C15" i="6"/>
  <c r="H9" i="6" l="1"/>
  <c r="H11" i="6"/>
  <c r="H10" i="6"/>
  <c r="F9" i="6"/>
  <c r="D9" i="6"/>
  <c r="F10" i="6"/>
  <c r="F11" i="6"/>
  <c r="D10" i="6"/>
  <c r="D11" i="6"/>
  <c r="G7" i="10" l="1"/>
  <c r="G8" i="10"/>
  <c r="G9" i="10"/>
  <c r="G10" i="10"/>
  <c r="G11" i="10"/>
  <c r="G12" i="10"/>
  <c r="E21" i="6" l="1"/>
  <c r="D21" i="6"/>
  <c r="C21" i="6"/>
  <c r="I15" i="6" l="1"/>
  <c r="K15" i="6" s="1"/>
  <c r="E22" i="6"/>
  <c r="G6" i="10" l="1"/>
  <c r="H4" i="6" l="1"/>
  <c r="H5" i="6"/>
  <c r="H7" i="6"/>
  <c r="H8" i="6"/>
  <c r="F4" i="6"/>
  <c r="F5" i="6"/>
  <c r="F7" i="6"/>
  <c r="F8" i="6"/>
  <c r="D4" i="6"/>
  <c r="D5" i="6"/>
  <c r="D7" i="6"/>
  <c r="D8" i="6"/>
  <c r="E19" i="10"/>
  <c r="D19" i="10"/>
  <c r="C19" i="10"/>
  <c r="E20" i="10" l="1"/>
  <c r="D15" i="6" l="1"/>
  <c r="F15" i="6"/>
  <c r="H15" i="6"/>
</calcChain>
</file>

<file path=xl/sharedStrings.xml><?xml version="1.0" encoding="utf-8"?>
<sst xmlns="http://schemas.openxmlformats.org/spreadsheetml/2006/main" count="825" uniqueCount="165">
  <si>
    <t>№</t>
  </si>
  <si>
    <t>Işgärleriň ady, familiýasy</t>
  </si>
  <si>
    <t>Ýygym</t>
  </si>
  <si>
    <t>Ideg</t>
  </si>
  <si>
    <t>Jemi toplan baly</t>
  </si>
  <si>
    <t>Jemi</t>
  </si>
  <si>
    <t>Derejelendirme sistemasyna laýyklykda toplan ballary</t>
  </si>
  <si>
    <t>Tassyklan:</t>
  </si>
  <si>
    <t>Merkez agranom bölümi</t>
  </si>
  <si>
    <t>Ýetişik</t>
  </si>
  <si>
    <t>max=5</t>
  </si>
  <si>
    <t>max=4 bonus =4</t>
  </si>
  <si>
    <t>max=21</t>
  </si>
  <si>
    <t>max: 34 Bal</t>
  </si>
  <si>
    <t>max: 26 Bal</t>
  </si>
  <si>
    <t>max=30</t>
  </si>
  <si>
    <t>max=5 bonus = 5</t>
  </si>
  <si>
    <t>max=10</t>
  </si>
  <si>
    <t>max: 115</t>
  </si>
  <si>
    <t>max: 55 Bal</t>
  </si>
  <si>
    <t>Degişli aý</t>
  </si>
  <si>
    <t>1-nji dereje</t>
  </si>
  <si>
    <t>2-nji dereje</t>
  </si>
  <si>
    <t>3-nji dereje</t>
  </si>
  <si>
    <t>Jemi işkär sany</t>
  </si>
  <si>
    <t>Dereje boýunça</t>
  </si>
  <si>
    <t>Gatnaşykda</t>
  </si>
  <si>
    <t>jemi:</t>
  </si>
  <si>
    <t>Ýygym/ideg/
/Merkez agranom dereje</t>
  </si>
  <si>
    <t>Kontrol</t>
  </si>
  <si>
    <t>Norma ýetişik</t>
  </si>
  <si>
    <t xml:space="preserve">Ýyladyşhanalar </t>
  </si>
  <si>
    <t xml:space="preserve">1-dereje </t>
  </si>
  <si>
    <t>2-dereje</t>
  </si>
  <si>
    <t>3-dereje</t>
  </si>
  <si>
    <t xml:space="preserve">Jemi netije </t>
  </si>
  <si>
    <r>
      <t>b)</t>
    </r>
    <r>
      <rPr>
        <b/>
        <sz val="7"/>
        <color rgb="FF000000"/>
        <rFont val="Times New Roman"/>
        <family val="1"/>
        <charset val="204"/>
      </rPr>
      <t xml:space="preserve">    </t>
    </r>
    <r>
      <rPr>
        <b/>
        <sz val="14"/>
        <color rgb="FF000000"/>
        <rFont val="Times New Roman"/>
        <family val="1"/>
        <charset val="204"/>
      </rPr>
      <t>Ýygym/M.Agranom</t>
    </r>
  </si>
  <si>
    <r>
      <t>·</t>
    </r>
    <r>
      <rPr>
        <sz val="14"/>
        <color rgb="FF000000"/>
        <rFont val="Times New Roman"/>
        <family val="1"/>
        <charset val="204"/>
      </rPr>
      <t>       Ýokary= 71 we ýokary bal</t>
    </r>
  </si>
  <si>
    <r>
      <t>·</t>
    </r>
    <r>
      <rPr>
        <sz val="7"/>
        <color rgb="FF000000"/>
        <rFont val="Times New Roman"/>
        <family val="1"/>
        <charset val="204"/>
      </rPr>
      <t xml:space="preserve">        </t>
    </r>
    <r>
      <rPr>
        <sz val="14"/>
        <color rgb="FF000000"/>
        <rFont val="Times New Roman"/>
        <family val="1"/>
        <charset val="204"/>
      </rPr>
      <t>I dereje = 56-70 bal</t>
    </r>
  </si>
  <si>
    <r>
      <t>·</t>
    </r>
    <r>
      <rPr>
        <sz val="7"/>
        <color rgb="FF000000"/>
        <rFont val="Times New Roman"/>
        <family val="1"/>
        <charset val="204"/>
      </rPr>
      <t xml:space="preserve">        </t>
    </r>
    <r>
      <rPr>
        <sz val="14"/>
        <color rgb="FF000000"/>
        <rFont val="Times New Roman"/>
        <family val="1"/>
        <charset val="204"/>
      </rPr>
      <t>II dereje = 45-55 bal</t>
    </r>
  </si>
  <si>
    <r>
      <t>·</t>
    </r>
    <r>
      <rPr>
        <sz val="7"/>
        <color rgb="FF000000"/>
        <rFont val="Times New Roman"/>
        <family val="1"/>
        <charset val="204"/>
      </rPr>
      <t xml:space="preserve">        </t>
    </r>
    <r>
      <rPr>
        <sz val="14"/>
        <color rgb="FF000000"/>
        <rFont val="Times New Roman"/>
        <family val="1"/>
        <charset val="204"/>
      </rPr>
      <t>III dereje = 35-44 bal</t>
    </r>
  </si>
  <si>
    <r>
      <t>·</t>
    </r>
    <r>
      <rPr>
        <sz val="14"/>
        <color rgb="FF000000"/>
        <rFont val="Times New Roman"/>
        <family val="1"/>
        <charset val="204"/>
      </rPr>
      <t>      Duýduryş = 34 we pes bal</t>
    </r>
  </si>
  <si>
    <t>Taýýarlan:</t>
  </si>
  <si>
    <t>M.Haýydow</t>
  </si>
  <si>
    <t>_________</t>
  </si>
  <si>
    <t>D.Rawşanow</t>
  </si>
  <si>
    <t>___________</t>
  </si>
  <si>
    <t xml:space="preserve">S.Gaýypgulyýew </t>
  </si>
  <si>
    <t>Güýjowa Ejegül</t>
  </si>
  <si>
    <t>Joýtanowa Käkilik</t>
  </si>
  <si>
    <t>Joýtanowa Bilbil</t>
  </si>
  <si>
    <t>Garahanowa Ýazgül</t>
  </si>
  <si>
    <t>Jumammyradowa Maysa</t>
  </si>
  <si>
    <t>Garaýewa Rozagül</t>
  </si>
  <si>
    <t>"Hilli Tudana" ýyladyşhanasy.</t>
  </si>
  <si>
    <t>Kemalowa Muhabbet</t>
  </si>
  <si>
    <t>Durdyýewa Ogulboldy</t>
  </si>
  <si>
    <t>Toýmyradowa Zamira</t>
  </si>
  <si>
    <t>Ýazyýewa Gunça</t>
  </si>
  <si>
    <t>Öwlýägulyýewa Güljemal</t>
  </si>
  <si>
    <t>Bakgalowa Aýbölek</t>
  </si>
  <si>
    <r>
      <t>a)</t>
    </r>
    <r>
      <rPr>
        <b/>
        <sz val="7"/>
        <color rgb="FF000000"/>
        <rFont val="Times New Roman"/>
        <family val="1"/>
        <charset val="204"/>
      </rPr>
      <t xml:space="preserve">    </t>
    </r>
    <r>
      <rPr>
        <b/>
        <sz val="14"/>
        <color rgb="FF000000"/>
        <rFont val="Times New Roman"/>
        <family val="1"/>
        <charset val="204"/>
      </rPr>
      <t>Ýygym, Ideg,Merkez agranom bölüm:</t>
    </r>
  </si>
  <si>
    <r>
      <t>·</t>
    </r>
    <r>
      <rPr>
        <sz val="14"/>
        <color rgb="FF000000"/>
        <rFont val="Times New Roman"/>
        <family val="1"/>
        <charset val="204"/>
      </rPr>
      <t>       Ýokary= 101 we ýokary bal</t>
    </r>
  </si>
  <si>
    <r>
      <t>·</t>
    </r>
    <r>
      <rPr>
        <sz val="7"/>
        <color rgb="FF000000"/>
        <rFont val="Times New Roman"/>
        <family val="1"/>
        <charset val="204"/>
      </rPr>
      <t xml:space="preserve">        </t>
    </r>
    <r>
      <rPr>
        <sz val="14"/>
        <color rgb="FF000000"/>
        <rFont val="Times New Roman"/>
        <family val="1"/>
        <charset val="204"/>
      </rPr>
      <t>I dereje = 80-100 bal</t>
    </r>
  </si>
  <si>
    <r>
      <t>·</t>
    </r>
    <r>
      <rPr>
        <sz val="7"/>
        <color rgb="FF000000"/>
        <rFont val="Times New Roman"/>
        <family val="1"/>
        <charset val="204"/>
      </rPr>
      <t xml:space="preserve">        </t>
    </r>
    <r>
      <rPr>
        <sz val="14"/>
        <color rgb="FF000000"/>
        <rFont val="Times New Roman"/>
        <family val="1"/>
        <charset val="204"/>
      </rPr>
      <t>II dereje = 65-79 bal</t>
    </r>
  </si>
  <si>
    <r>
      <t>·</t>
    </r>
    <r>
      <rPr>
        <sz val="7"/>
        <color rgb="FF000000"/>
        <rFont val="Times New Roman"/>
        <family val="1"/>
        <charset val="204"/>
      </rPr>
      <t xml:space="preserve">        </t>
    </r>
    <r>
      <rPr>
        <sz val="14"/>
        <color rgb="FF000000"/>
        <rFont val="Times New Roman"/>
        <family val="1"/>
        <charset val="204"/>
      </rPr>
      <t>III dereje = 50-64 bal</t>
    </r>
  </si>
  <si>
    <r>
      <t>·</t>
    </r>
    <r>
      <rPr>
        <sz val="14"/>
        <color rgb="FF000000"/>
        <rFont val="Times New Roman"/>
        <family val="1"/>
        <charset val="204"/>
      </rPr>
      <t>      Duýduryş = 49 we pes bal</t>
    </r>
  </si>
  <si>
    <t>Ö.Meredow</t>
  </si>
  <si>
    <t xml:space="preserve">Hilli Gaplama </t>
  </si>
  <si>
    <t>Hilli Tudana</t>
  </si>
  <si>
    <t>Ak toprak A-2</t>
  </si>
  <si>
    <t>Ak toprak A-3</t>
  </si>
  <si>
    <t>Ak toprak A-5</t>
  </si>
  <si>
    <t>Ak toprak A-7</t>
  </si>
  <si>
    <t>Ak toprak B-1</t>
  </si>
  <si>
    <t>Ak toprak B-3</t>
  </si>
  <si>
    <t>Ak toprak B-4</t>
  </si>
  <si>
    <t>Ak toprak B-2</t>
  </si>
  <si>
    <t xml:space="preserve">Jemi şitil san </t>
  </si>
  <si>
    <t xml:space="preserve">1-işgäriň seredýän şitil sany </t>
  </si>
  <si>
    <t>Ak toprak A-1</t>
  </si>
  <si>
    <t>Mämmedowa Aýna</t>
  </si>
  <si>
    <t>Tagandurdyýewa Güljemal</t>
  </si>
  <si>
    <t xml:space="preserve">Fewral aý adam san </t>
  </si>
  <si>
    <t>Çaryýewa Tawus</t>
  </si>
  <si>
    <t>Mart  2026ý.</t>
  </si>
  <si>
    <t>max=20  bonus = 6</t>
  </si>
  <si>
    <t xml:space="preserve">Umumy ýagdaýlary boýunça </t>
  </si>
  <si>
    <t>Agronom bal</t>
  </si>
  <si>
    <t>Ideg edilen ýöne ösümlikden köp zat aýrylmaýanlygy sebäpli derejelendirme üçin norma wagt berilmedi we hasaba alynmady.</t>
  </si>
  <si>
    <t>Ak toprak"B-1" ýyladyşhanasy.</t>
  </si>
  <si>
    <t>Ak toprak"B-2" ýyladyşhanasy.</t>
  </si>
  <si>
    <t>Ak toprak"B-3" ýyladyşhanasy.</t>
  </si>
  <si>
    <t>Ak toprak"B-4" ýyladyşhanasy.</t>
  </si>
  <si>
    <t>Ak toprak"A-1" ýyladyşhanasy.</t>
  </si>
  <si>
    <t>Ak toprak"A-2" ýyladyşhanasy.</t>
  </si>
  <si>
    <t>Ak toprak"A-3" ýyladyşhanasy.</t>
  </si>
  <si>
    <t>Ak toprak"A-5" ýyladyşhanasy.</t>
  </si>
  <si>
    <t>Ak toprak"A-7" ýyladyşhanasy.</t>
  </si>
  <si>
    <t>Amanmyradowa Nurgozel</t>
  </si>
  <si>
    <t>Annanurowa Abadangözel</t>
  </si>
  <si>
    <t>Garaýewa Aksoltan</t>
  </si>
  <si>
    <t>Baýramowa Aýnur</t>
  </si>
  <si>
    <t>Serdarowa Güldesse</t>
  </si>
  <si>
    <t>Kakabaýewa Akgül</t>
  </si>
  <si>
    <t>"Hilli Gaplama" ýyladyşhanasy.</t>
  </si>
  <si>
    <t xml:space="preserve">Seýitmuhammedowa Oguljan </t>
  </si>
  <si>
    <t>Azadowa Ogulşat</t>
  </si>
  <si>
    <t>Öwezgeldiýewa Annajahan</t>
  </si>
  <si>
    <t>Çaryýewa Nurgözel</t>
  </si>
  <si>
    <t>Medeniýetowa Oguljeren</t>
  </si>
  <si>
    <t>Bagtyýarowa Güneş</t>
  </si>
  <si>
    <t>Gulçarowa Annagül</t>
  </si>
  <si>
    <t>Sazakowa Oguljan</t>
  </si>
  <si>
    <t>Kulyýewa Güldesse</t>
  </si>
  <si>
    <t>Piriýewa Aýgül</t>
  </si>
  <si>
    <t>Karryýewa Mähri</t>
  </si>
  <si>
    <t>Kömekowa Gülkamar</t>
  </si>
  <si>
    <t>Nazarowa Laçyn</t>
  </si>
  <si>
    <t>Kemalowa Güneş</t>
  </si>
  <si>
    <t>Saryjaýewa Gurbansoltan</t>
  </si>
  <si>
    <t>Welmyradowa Dünýägözel</t>
  </si>
  <si>
    <t>Hangeldiýewa Dünýägözel</t>
  </si>
  <si>
    <t>Gulgeldiýewa Melewşe</t>
  </si>
  <si>
    <t>Ataýewa Ogulşat</t>
  </si>
  <si>
    <t>Baýramowa Ogulbahar</t>
  </si>
  <si>
    <t>Ýollyýewa Mahym</t>
  </si>
  <si>
    <t>Ýuliýewa Güljahan</t>
  </si>
  <si>
    <t>Nurmyradowa Tawus</t>
  </si>
  <si>
    <t>Nebiýewa Gülçynar</t>
  </si>
  <si>
    <t>Agajanowa Çynar</t>
  </si>
  <si>
    <t>Täçliýewa Gülkamar</t>
  </si>
  <si>
    <t>Döwranowa Jahan</t>
  </si>
  <si>
    <t>Orradowa Orazgözel</t>
  </si>
  <si>
    <t>Jumanyýazowa Mährijemal</t>
  </si>
  <si>
    <t>Bäşimowa Mähri</t>
  </si>
  <si>
    <t>Permanowa Mährigözel</t>
  </si>
  <si>
    <t>Myradowa Bahargül</t>
  </si>
  <si>
    <t>Babaýewa Aýtäç</t>
  </si>
  <si>
    <t>Annamowa  Mähri</t>
  </si>
  <si>
    <t>Oradowa Aýjemal</t>
  </si>
  <si>
    <t>Hallyöwezowa Aýjeren</t>
  </si>
  <si>
    <t>Annaýewa  Mähri</t>
  </si>
  <si>
    <t>Hojageldiýewa Bägül</t>
  </si>
  <si>
    <t>Nazarowa Gurbanaý</t>
  </si>
  <si>
    <t>Abdyllaýewa Tawus</t>
  </si>
  <si>
    <t>Döwranowa Dursun</t>
  </si>
  <si>
    <t>Döwranowa Bagdagül</t>
  </si>
  <si>
    <t>Mürzäýewa Gözel</t>
  </si>
  <si>
    <t>Ýusupowa Akmaral</t>
  </si>
  <si>
    <t>Kadyrowa Gülnahal</t>
  </si>
  <si>
    <t>Babaýewa Ogulmyrat</t>
  </si>
  <si>
    <t>Daňatarowa Ogulbossan</t>
  </si>
  <si>
    <t>Daňatarowa Çeper</t>
  </si>
  <si>
    <t>Ataýewa Laçyn</t>
  </si>
  <si>
    <t>Durdyýewa Miwe</t>
  </si>
  <si>
    <t>Meredalyýewa Täzegül</t>
  </si>
  <si>
    <t>Durdymyradowa Annajemal</t>
  </si>
  <si>
    <t>Haýtmyradowa Şasenem</t>
  </si>
  <si>
    <t>Azatgeldiýewa Gunça</t>
  </si>
  <si>
    <t>Orazgylyjowa Täçjan</t>
  </si>
  <si>
    <t>Çaryýewa Merjen</t>
  </si>
  <si>
    <t>Ahmedowa Ogulnar</t>
  </si>
  <si>
    <t>Mart aýynda derejelendirme netijeleri</t>
  </si>
  <si>
    <t>Ak toprak"A-8" ýyladyşhanasy.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</si>
</sst>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7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4"/>
      <color rgb="FF000000"/>
      <name val="Symbol"/>
      <family val="1"/>
      <charset val="2"/>
    </font>
    <font>
      <b/>
      <sz val="12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6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scheme val="minor"/>
    </font>
    <font>
      <b/>
      <sz val="11"/>
      <color rgb="FF000000"/>
      <name val="Times New Roman"/>
      <family val="1"/>
      <charset val="204"/>
    </font>
    <font>
      <b/>
      <sz val="11"/>
      <color rgb="FF000000"/>
      <name val="Symbol"/>
      <family val="1"/>
      <charset val="204"/>
    </font>
    <font>
      <b/>
      <sz val="12"/>
      <color rgb="FF000000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b/>
      <sz val="16"/>
      <color rgb="FF000000"/>
      <name val="Symbol"/>
      <family val="1"/>
      <charset val="204"/>
    </font>
    <font>
      <b/>
      <sz val="16"/>
      <name val="Times New Roman"/>
      <family val="1"/>
      <charset val="204"/>
    </font>
    <font>
      <b/>
      <i/>
      <sz val="18"/>
      <color theme="1"/>
      <name val="Times New Roman"/>
      <family val="1"/>
      <charset val="204"/>
    </font>
    <font>
      <b/>
      <sz val="18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3" fillId="8" borderId="0" applyNumberFormat="0" applyBorder="0" applyAlignment="0" applyProtection="0"/>
  </cellStyleXfs>
  <cellXfs count="237">
    <xf numFmtId="0" fontId="0" fillId="0" borderId="0" xfId="0"/>
    <xf numFmtId="0" fontId="2" fillId="0" borderId="3" xfId="0" applyFont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9" fontId="7" fillId="0" borderId="2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/>
    <xf numFmtId="0" fontId="7" fillId="0" borderId="0" xfId="0" applyFont="1" applyAlignment="1">
      <alignment horizontal="justify" vertical="center"/>
    </xf>
    <xf numFmtId="0" fontId="2" fillId="0" borderId="0" xfId="0" applyFont="1" applyBorder="1" applyAlignment="1">
      <alignment horizontal="right"/>
    </xf>
    <xf numFmtId="9" fontId="2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/>
    </xf>
    <xf numFmtId="164" fontId="17" fillId="0" borderId="0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8" fillId="0" borderId="0" xfId="0" applyFont="1" applyBorder="1" applyAlignment="1">
      <alignment horizontal="center"/>
    </xf>
    <xf numFmtId="0" fontId="19" fillId="0" borderId="0" xfId="0" applyFont="1" applyAlignment="1">
      <alignment horizontal="justify" vertical="center"/>
    </xf>
    <xf numFmtId="0" fontId="17" fillId="0" borderId="0" xfId="0" applyFont="1" applyBorder="1" applyAlignment="1">
      <alignment horizontal="right"/>
    </xf>
    <xf numFmtId="9" fontId="17" fillId="0" borderId="0" xfId="0" applyNumberFormat="1" applyFont="1" applyBorder="1" applyAlignment="1">
      <alignment horizontal="center"/>
    </xf>
    <xf numFmtId="0" fontId="17" fillId="0" borderId="0" xfId="0" applyFont="1" applyBorder="1" applyAlignment="1">
      <alignment vertical="center"/>
    </xf>
    <xf numFmtId="0" fontId="17" fillId="0" borderId="0" xfId="0" applyFont="1" applyBorder="1" applyAlignment="1"/>
    <xf numFmtId="0" fontId="17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vertical="center" wrapText="1"/>
    </xf>
    <xf numFmtId="0" fontId="9" fillId="0" borderId="2" xfId="2" applyNumberFormat="1" applyFont="1" applyBorder="1" applyAlignment="1">
      <alignment horizontal="center" vertical="center"/>
    </xf>
    <xf numFmtId="9" fontId="9" fillId="0" borderId="2" xfId="2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wrapText="1"/>
    </xf>
    <xf numFmtId="0" fontId="9" fillId="0" borderId="9" xfId="0" applyFont="1" applyBorder="1" applyAlignment="1">
      <alignment horizontal="center"/>
    </xf>
    <xf numFmtId="0" fontId="23" fillId="0" borderId="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4" fillId="0" borderId="2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vertical="center" wrapText="1"/>
    </xf>
    <xf numFmtId="0" fontId="11" fillId="0" borderId="0" xfId="0" applyFont="1" applyBorder="1" applyAlignment="1"/>
    <xf numFmtId="9" fontId="11" fillId="0" borderId="0" xfId="0" applyNumberFormat="1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25" fillId="0" borderId="0" xfId="0" applyFont="1" applyAlignment="1">
      <alignment horizontal="justify" vertical="center"/>
    </xf>
    <xf numFmtId="0" fontId="11" fillId="0" borderId="0" xfId="0" applyFont="1" applyBorder="1" applyAlignment="1">
      <alignment horizontal="right"/>
    </xf>
    <xf numFmtId="0" fontId="11" fillId="0" borderId="0" xfId="0" applyFont="1" applyBorder="1" applyAlignment="1">
      <alignment vertical="center"/>
    </xf>
    <xf numFmtId="0" fontId="11" fillId="0" borderId="0" xfId="0" applyFont="1" applyAlignment="1">
      <alignment horizontal="center"/>
    </xf>
    <xf numFmtId="0" fontId="21" fillId="0" borderId="0" xfId="0" applyFont="1" applyBorder="1" applyAlignment="1">
      <alignment horizontal="center"/>
    </xf>
    <xf numFmtId="0" fontId="14" fillId="0" borderId="0" xfId="0" applyFont="1" applyBorder="1" applyAlignment="1">
      <alignment vertical="center" wrapText="1"/>
    </xf>
    <xf numFmtId="0" fontId="14" fillId="0" borderId="0" xfId="0" applyFont="1" applyBorder="1" applyAlignment="1"/>
    <xf numFmtId="9" fontId="14" fillId="0" borderId="0" xfId="0" applyNumberFormat="1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27" fillId="0" borderId="0" xfId="0" applyFont="1" applyAlignment="1">
      <alignment horizontal="justify" vertical="center"/>
    </xf>
    <xf numFmtId="0" fontId="14" fillId="0" borderId="0" xfId="0" applyFont="1" applyBorder="1" applyAlignment="1">
      <alignment horizontal="right"/>
    </xf>
    <xf numFmtId="0" fontId="14" fillId="0" borderId="0" xfId="0" applyFont="1" applyBorder="1" applyAlignment="1">
      <alignment vertical="center"/>
    </xf>
    <xf numFmtId="0" fontId="14" fillId="0" borderId="0" xfId="0" applyFont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28" fillId="0" borderId="2" xfId="0" applyFont="1" applyBorder="1" applyAlignment="1" applyProtection="1">
      <alignment horizontal="center" vertical="center"/>
      <protection locked="0"/>
    </xf>
    <xf numFmtId="0" fontId="14" fillId="0" borderId="2" xfId="0" applyFont="1" applyBorder="1" applyAlignment="1" applyProtection="1">
      <alignment horizontal="center" vertical="center"/>
      <protection locked="0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29" fillId="0" borderId="2" xfId="1" applyFont="1" applyFill="1" applyBorder="1" applyAlignment="1" applyProtection="1">
      <alignment horizontal="center" vertical="center"/>
      <protection locked="0"/>
    </xf>
    <xf numFmtId="0" fontId="14" fillId="0" borderId="17" xfId="0" applyFont="1" applyBorder="1" applyAlignment="1">
      <alignment horizontal="center" vertical="center"/>
    </xf>
    <xf numFmtId="0" fontId="14" fillId="0" borderId="19" xfId="0" applyFont="1" applyBorder="1" applyAlignment="1" applyProtection="1">
      <alignment horizontal="center" vertical="center" wrapText="1"/>
      <protection locked="0"/>
    </xf>
    <xf numFmtId="0" fontId="14" fillId="0" borderId="20" xfId="0" applyFont="1" applyBorder="1" applyAlignment="1" applyProtection="1">
      <alignment horizontal="center" vertical="center" wrapText="1"/>
      <protection locked="0"/>
    </xf>
    <xf numFmtId="0" fontId="29" fillId="0" borderId="19" xfId="1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 wrapText="1"/>
      <protection locked="0"/>
    </xf>
    <xf numFmtId="0" fontId="14" fillId="0" borderId="2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5" borderId="25" xfId="0" applyFont="1" applyFill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1" fontId="9" fillId="0" borderId="17" xfId="0" applyNumberFormat="1" applyFont="1" applyBorder="1" applyAlignment="1">
      <alignment horizontal="center" vertical="center"/>
    </xf>
    <xf numFmtId="0" fontId="9" fillId="0" borderId="19" xfId="2" applyNumberFormat="1" applyFont="1" applyBorder="1" applyAlignment="1">
      <alignment horizontal="center" vertical="center"/>
    </xf>
    <xf numFmtId="9" fontId="9" fillId="0" borderId="19" xfId="2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3" fontId="9" fillId="0" borderId="19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0" fontId="14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 wrapText="1"/>
    </xf>
    <xf numFmtId="0" fontId="26" fillId="2" borderId="17" xfId="0" applyFont="1" applyFill="1" applyBorder="1" applyAlignment="1" applyProtection="1">
      <alignment horizontal="center" vertical="center"/>
      <protection locked="0"/>
    </xf>
    <xf numFmtId="0" fontId="26" fillId="0" borderId="17" xfId="0" applyFont="1" applyBorder="1" applyAlignment="1" applyProtection="1">
      <alignment horizontal="center" vertical="center"/>
      <protection locked="0"/>
    </xf>
    <xf numFmtId="0" fontId="26" fillId="0" borderId="21" xfId="0" applyFont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4" fillId="0" borderId="16" xfId="0" applyFont="1" applyBorder="1" applyAlignment="1" applyProtection="1">
      <alignment horizontal="center" vertical="center" wrapText="1"/>
      <protection locked="0"/>
    </xf>
    <xf numFmtId="0" fontId="14" fillId="0" borderId="17" xfId="0" applyFont="1" applyBorder="1" applyAlignment="1">
      <alignment horizontal="center" vertical="center" wrapText="1"/>
    </xf>
    <xf numFmtId="0" fontId="14" fillId="0" borderId="18" xfId="0" applyFont="1" applyBorder="1" applyAlignment="1" applyProtection="1">
      <alignment horizontal="center" vertical="center" wrapText="1"/>
      <protection locked="0"/>
    </xf>
    <xf numFmtId="0" fontId="14" fillId="0" borderId="21" xfId="0" applyFont="1" applyBorder="1" applyAlignment="1">
      <alignment horizontal="center" vertical="center" wrapText="1"/>
    </xf>
    <xf numFmtId="0" fontId="14" fillId="2" borderId="16" xfId="0" applyFont="1" applyFill="1" applyBorder="1" applyAlignment="1" applyProtection="1">
      <alignment horizontal="center" vertical="center" wrapText="1"/>
      <protection locked="0"/>
    </xf>
    <xf numFmtId="0" fontId="14" fillId="2" borderId="18" xfId="0" applyFont="1" applyFill="1" applyBorder="1" applyAlignment="1" applyProtection="1">
      <alignment horizontal="center" vertical="center" wrapText="1"/>
      <protection locked="0"/>
    </xf>
    <xf numFmtId="0" fontId="3" fillId="6" borderId="34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" fontId="14" fillId="2" borderId="7" xfId="0" applyNumberFormat="1" applyFont="1" applyFill="1" applyBorder="1" applyAlignment="1">
      <alignment horizontal="center" vertical="center"/>
    </xf>
    <xf numFmtId="0" fontId="29" fillId="0" borderId="2" xfId="1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>
      <alignment horizontal="center" vertical="center"/>
    </xf>
    <xf numFmtId="0" fontId="29" fillId="0" borderId="19" xfId="1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>
      <alignment horizontal="center" vertical="center" wrapText="1"/>
    </xf>
    <xf numFmtId="1" fontId="14" fillId="2" borderId="16" xfId="0" applyNumberFormat="1" applyFont="1" applyFill="1" applyBorder="1" applyAlignment="1">
      <alignment horizontal="center" vertical="center"/>
    </xf>
    <xf numFmtId="1" fontId="14" fillId="2" borderId="18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26" fillId="0" borderId="2" xfId="0" applyFont="1" applyBorder="1" applyAlignment="1" applyProtection="1">
      <alignment horizontal="center" vertical="center"/>
      <protection locked="0"/>
    </xf>
    <xf numFmtId="0" fontId="26" fillId="2" borderId="2" xfId="0" applyFont="1" applyFill="1" applyBorder="1" applyAlignment="1" applyProtection="1">
      <alignment horizontal="center" vertical="center"/>
      <protection locked="0"/>
    </xf>
    <xf numFmtId="0" fontId="30" fillId="0" borderId="2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2" xfId="0" applyFont="1" applyBorder="1" applyAlignment="1" applyProtection="1">
      <alignment horizontal="center" vertical="center" wrapText="1"/>
      <protection locked="0"/>
    </xf>
    <xf numFmtId="0" fontId="31" fillId="0" borderId="2" xfId="1" applyFont="1" applyBorder="1" applyAlignment="1" applyProtection="1">
      <alignment horizontal="center" vertical="center"/>
      <protection locked="0"/>
    </xf>
    <xf numFmtId="0" fontId="30" fillId="2" borderId="2" xfId="0" applyFont="1" applyFill="1" applyBorder="1" applyAlignment="1" applyProtection="1">
      <alignment horizontal="center" vertical="center"/>
      <protection locked="0"/>
    </xf>
    <xf numFmtId="0" fontId="3" fillId="6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" fontId="14" fillId="2" borderId="2" xfId="0" applyNumberFormat="1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/>
    </xf>
    <xf numFmtId="0" fontId="30" fillId="0" borderId="19" xfId="0" applyFont="1" applyBorder="1" applyAlignment="1" applyProtection="1">
      <alignment horizontal="center" vertical="center"/>
      <protection locked="0"/>
    </xf>
    <xf numFmtId="0" fontId="15" fillId="0" borderId="19" xfId="0" applyFont="1" applyBorder="1" applyAlignment="1" applyProtection="1">
      <alignment horizontal="center" vertical="center" wrapText="1"/>
      <protection locked="0"/>
    </xf>
    <xf numFmtId="0" fontId="31" fillId="0" borderId="19" xfId="1" applyFont="1" applyBorder="1" applyAlignment="1" applyProtection="1">
      <alignment horizontal="center" vertical="center"/>
      <protection locked="0"/>
    </xf>
    <xf numFmtId="0" fontId="15" fillId="0" borderId="19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1" fontId="14" fillId="2" borderId="19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 wrapText="1"/>
    </xf>
    <xf numFmtId="164" fontId="14" fillId="2" borderId="17" xfId="0" applyNumberFormat="1" applyFont="1" applyFill="1" applyBorder="1" applyAlignment="1">
      <alignment horizontal="center" vertical="center" wrapText="1"/>
    </xf>
    <xf numFmtId="164" fontId="14" fillId="2" borderId="18" xfId="0" applyNumberFormat="1" applyFont="1" applyFill="1" applyBorder="1" applyAlignment="1">
      <alignment horizontal="center" vertical="center" wrapText="1"/>
    </xf>
    <xf numFmtId="164" fontId="14" fillId="2" borderId="21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/>
    </xf>
    <xf numFmtId="0" fontId="28" fillId="3" borderId="5" xfId="0" applyFont="1" applyFill="1" applyBorder="1" applyAlignment="1" applyProtection="1">
      <alignment horizontal="center" vertical="center"/>
      <protection locked="0"/>
    </xf>
    <xf numFmtId="0" fontId="28" fillId="3" borderId="6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0" fillId="6" borderId="30" xfId="0" applyFont="1" applyFill="1" applyBorder="1" applyAlignment="1">
      <alignment horizontal="center" vertical="center" wrapText="1"/>
    </xf>
    <xf numFmtId="0" fontId="20" fillId="6" borderId="27" xfId="0" applyFont="1" applyFill="1" applyBorder="1" applyAlignment="1">
      <alignment horizontal="center" vertical="center" wrapText="1"/>
    </xf>
    <xf numFmtId="0" fontId="20" fillId="6" borderId="33" xfId="0" applyFont="1" applyFill="1" applyBorder="1" applyAlignment="1">
      <alignment horizontal="center" vertical="center" wrapText="1"/>
    </xf>
    <xf numFmtId="0" fontId="15" fillId="6" borderId="35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2" borderId="30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2" borderId="16" xfId="0" applyFont="1" applyFill="1" applyBorder="1" applyAlignment="1" applyProtection="1">
      <alignment horizontal="center" vertical="center" wrapText="1"/>
      <protection locked="0"/>
    </xf>
    <xf numFmtId="0" fontId="14" fillId="2" borderId="2" xfId="0" applyFont="1" applyFill="1" applyBorder="1" applyAlignment="1" applyProtection="1">
      <alignment horizontal="center" vertical="center" wrapText="1"/>
      <protection locked="0"/>
    </xf>
    <xf numFmtId="0" fontId="14" fillId="2" borderId="18" xfId="0" applyFont="1" applyFill="1" applyBorder="1" applyAlignment="1" applyProtection="1">
      <alignment horizontal="center" vertical="center" wrapText="1"/>
      <protection locked="0"/>
    </xf>
    <xf numFmtId="0" fontId="14" fillId="2" borderId="19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>
      <alignment horizontal="center" vertical="center" wrapText="1"/>
    </xf>
    <xf numFmtId="1" fontId="14" fillId="2" borderId="16" xfId="0" applyNumberFormat="1" applyFont="1" applyFill="1" applyBorder="1" applyAlignment="1">
      <alignment horizontal="center" vertical="center" wrapText="1"/>
    </xf>
    <xf numFmtId="1" fontId="14" fillId="2" borderId="17" xfId="0" applyNumberFormat="1" applyFont="1" applyFill="1" applyBorder="1" applyAlignment="1">
      <alignment horizontal="center" vertical="center" wrapText="1"/>
    </xf>
    <xf numFmtId="1" fontId="14" fillId="2" borderId="18" xfId="0" applyNumberFormat="1" applyFont="1" applyFill="1" applyBorder="1" applyAlignment="1">
      <alignment horizontal="center" vertical="center" wrapText="1"/>
    </xf>
    <xf numFmtId="1" fontId="14" fillId="2" borderId="21" xfId="0" applyNumberFormat="1" applyFont="1" applyFill="1" applyBorder="1" applyAlignment="1">
      <alignment horizontal="center" vertical="center" wrapText="1"/>
    </xf>
    <xf numFmtId="0" fontId="20" fillId="6" borderId="14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6" borderId="15" xfId="0" applyFont="1" applyFill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2" borderId="3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5" fillId="6" borderId="10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1" fontId="14" fillId="2" borderId="2" xfId="0" applyNumberFormat="1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" fontId="14" fillId="2" borderId="19" xfId="0" applyNumberFormat="1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24" fillId="3" borderId="5" xfId="0" applyFont="1" applyFill="1" applyBorder="1" applyAlignment="1" applyProtection="1">
      <alignment horizontal="center" vertical="center"/>
      <protection locked="0"/>
    </xf>
    <xf numFmtId="0" fontId="24" fillId="3" borderId="6" xfId="0" applyFont="1" applyFill="1" applyBorder="1" applyAlignment="1" applyProtection="1">
      <alignment horizontal="center" vertical="center"/>
      <protection locked="0"/>
    </xf>
    <xf numFmtId="0" fontId="24" fillId="3" borderId="7" xfId="0" applyFont="1" applyFill="1" applyBorder="1" applyAlignment="1" applyProtection="1">
      <alignment horizontal="center" vertical="center"/>
      <protection locked="0"/>
    </xf>
    <xf numFmtId="0" fontId="9" fillId="6" borderId="13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</cellXfs>
  <cellStyles count="4">
    <cellStyle name="Нейтральный 2" xfId="3" xr:uid="{00000000-0005-0000-0000-000000000000}"/>
    <cellStyle name="Обычный" xfId="0" builtinId="0"/>
    <cellStyle name="Обычный 2" xfId="1" xr:uid="{00000000-0005-0000-0000-000002000000}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ED73-47CA-422F-BDE2-535EF2BA450A}">
  <sheetPr>
    <tabColor rgb="FF00B050"/>
    <pageSetUpPr fitToPage="1"/>
  </sheetPr>
  <dimension ref="A1:T33"/>
  <sheetViews>
    <sheetView zoomScale="85" zoomScaleNormal="85" workbookViewId="0">
      <selection activeCell="D8" sqref="D8"/>
    </sheetView>
  </sheetViews>
  <sheetFormatPr defaultColWidth="9.140625" defaultRowHeight="15" x14ac:dyDescent="0.25"/>
  <cols>
    <col min="1" max="1" width="4.42578125" style="1" customWidth="1"/>
    <col min="2" max="2" width="50.140625" style="10" customWidth="1"/>
    <col min="3" max="5" width="16.140625" style="10" customWidth="1"/>
    <col min="6" max="6" width="15.28515625" style="10" customWidth="1"/>
    <col min="7" max="7" width="8.7109375" style="10" customWidth="1"/>
    <col min="8" max="10" width="15.28515625" style="10" customWidth="1"/>
    <col min="11" max="11" width="8.7109375" style="10" customWidth="1"/>
    <col min="12" max="12" width="27.7109375" style="10" customWidth="1"/>
    <col min="13" max="13" width="11" style="10" customWidth="1"/>
    <col min="14" max="14" width="12.42578125" style="10" bestFit="1" customWidth="1"/>
    <col min="15" max="15" width="16.42578125" style="10" customWidth="1"/>
    <col min="16" max="16" width="20.85546875" style="10" customWidth="1"/>
    <col min="17" max="16384" width="9.140625" style="10"/>
  </cols>
  <sheetData>
    <row r="1" spans="1:20" s="11" customFormat="1" ht="15.75" thickBot="1" x14ac:dyDescent="0.3"/>
    <row r="2" spans="1:20" s="11" customFormat="1" ht="35.25" customHeight="1" x14ac:dyDescent="0.25">
      <c r="A2" s="172" t="s">
        <v>105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4"/>
    </row>
    <row r="3" spans="1:20" ht="29.25" customHeight="1" thickBot="1" x14ac:dyDescent="0.3">
      <c r="A3" s="175" t="s">
        <v>85</v>
      </c>
      <c r="B3" s="176"/>
      <c r="C3" s="176" t="s">
        <v>6</v>
      </c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21" t="s">
        <v>18</v>
      </c>
    </row>
    <row r="4" spans="1:20" ht="61.5" customHeight="1" x14ac:dyDescent="0.25">
      <c r="A4" s="177" t="s">
        <v>0</v>
      </c>
      <c r="B4" s="179" t="s">
        <v>1</v>
      </c>
      <c r="C4" s="181" t="s">
        <v>2</v>
      </c>
      <c r="D4" s="182"/>
      <c r="E4" s="182"/>
      <c r="F4" s="182"/>
      <c r="G4" s="113" t="s">
        <v>19</v>
      </c>
      <c r="H4" s="183" t="s">
        <v>3</v>
      </c>
      <c r="I4" s="184"/>
      <c r="J4" s="184"/>
      <c r="K4" s="109" t="s">
        <v>13</v>
      </c>
      <c r="L4" s="122" t="s">
        <v>8</v>
      </c>
      <c r="M4" s="113" t="s">
        <v>14</v>
      </c>
      <c r="N4" s="181" t="s">
        <v>4</v>
      </c>
      <c r="O4" s="186" t="s">
        <v>28</v>
      </c>
    </row>
    <row r="5" spans="1:20" ht="68.25" customHeight="1" x14ac:dyDescent="0.25">
      <c r="A5" s="178"/>
      <c r="B5" s="180"/>
      <c r="C5" s="114" t="s">
        <v>30</v>
      </c>
      <c r="D5" s="97" t="s">
        <v>29</v>
      </c>
      <c r="E5" s="96" t="s">
        <v>9</v>
      </c>
      <c r="F5" s="96" t="s">
        <v>88</v>
      </c>
      <c r="G5" s="98" t="s">
        <v>5</v>
      </c>
      <c r="H5" s="114" t="s">
        <v>30</v>
      </c>
      <c r="I5" s="96" t="s">
        <v>9</v>
      </c>
      <c r="J5" s="96" t="s">
        <v>88</v>
      </c>
      <c r="K5" s="98" t="s">
        <v>5</v>
      </c>
      <c r="L5" s="188" t="s">
        <v>87</v>
      </c>
      <c r="M5" s="189"/>
      <c r="N5" s="185"/>
      <c r="O5" s="187"/>
      <c r="Q5" s="100"/>
      <c r="R5" s="100"/>
      <c r="S5" s="100"/>
      <c r="T5" s="100"/>
    </row>
    <row r="6" spans="1:20" ht="30.75" customHeight="1" x14ac:dyDescent="0.25">
      <c r="A6" s="104">
        <v>1</v>
      </c>
      <c r="B6" s="111" t="s">
        <v>82</v>
      </c>
      <c r="C6" s="115">
        <v>30</v>
      </c>
      <c r="D6" s="68">
        <v>10</v>
      </c>
      <c r="E6" s="68">
        <v>10</v>
      </c>
      <c r="F6" s="128">
        <v>5</v>
      </c>
      <c r="G6" s="98">
        <f>C6+D6+F6+E6</f>
        <v>55</v>
      </c>
      <c r="H6" s="192" t="s">
        <v>89</v>
      </c>
      <c r="I6" s="193"/>
      <c r="J6" s="193"/>
      <c r="K6" s="98">
        <v>0</v>
      </c>
      <c r="L6" s="164">
        <v>18.5</v>
      </c>
      <c r="M6" s="165"/>
      <c r="N6" s="132">
        <f>G6+K6+$L$6</f>
        <v>73.5</v>
      </c>
      <c r="O6" s="71" t="str">
        <f>IF(SUM(G6,K6,$L$6)&gt;71,"Ýokary",IF(SUM(G6,K6,$L$6)&gt;=56,"I dereje",IF(SUM(G6,K6,$L$6)&gt;=45,"II dereje",IF(SUM(G6,K6,$L$6)&gt;=35,"III dereje",IF(SUM(G6,K6,$L$6)&lt;=34,"Duýduryş")))))</f>
        <v>Ýokary</v>
      </c>
    </row>
    <row r="7" spans="1:20" ht="30.75" customHeight="1" x14ac:dyDescent="0.25">
      <c r="A7" s="104">
        <v>2</v>
      </c>
      <c r="B7" s="111" t="s">
        <v>81</v>
      </c>
      <c r="C7" s="115">
        <v>30</v>
      </c>
      <c r="D7" s="68">
        <v>10</v>
      </c>
      <c r="E7" s="68">
        <v>10</v>
      </c>
      <c r="F7" s="128">
        <v>5</v>
      </c>
      <c r="G7" s="98">
        <f>C7+D7+F7+E7</f>
        <v>55</v>
      </c>
      <c r="H7" s="192"/>
      <c r="I7" s="193"/>
      <c r="J7" s="193"/>
      <c r="K7" s="98">
        <f>H7+I7+J7</f>
        <v>0</v>
      </c>
      <c r="L7" s="164"/>
      <c r="M7" s="165"/>
      <c r="N7" s="132">
        <f t="shared" ref="N7:N13" si="0">G7+K7+$L$6</f>
        <v>73.5</v>
      </c>
      <c r="O7" s="71" t="str">
        <f t="shared" ref="O7:O13" si="1">IF(SUM(G7,K7,$L$6)&gt;71,"Ýokary",IF(SUM(G7,K7,$L$6)&gt;=56,"I dereje",IF(SUM(G7,K7,$L$6)&gt;=45,"II dereje",IF(SUM(G7,K7,$L$6)&gt;=35,"III dereje",IF(SUM(G7,K7,$L$6)&lt;=34,"Duýduryş")))))</f>
        <v>Ýokary</v>
      </c>
    </row>
    <row r="8" spans="1:20" ht="30.75" customHeight="1" x14ac:dyDescent="0.25">
      <c r="A8" s="104">
        <v>3</v>
      </c>
      <c r="B8" s="111" t="s">
        <v>55</v>
      </c>
      <c r="C8" s="115">
        <v>30</v>
      </c>
      <c r="D8" s="68">
        <v>10</v>
      </c>
      <c r="E8" s="68">
        <v>10</v>
      </c>
      <c r="F8" s="128">
        <v>5</v>
      </c>
      <c r="G8" s="98">
        <f t="shared" ref="G8:G13" si="2">C8+D8+F8+E8</f>
        <v>55</v>
      </c>
      <c r="H8" s="192"/>
      <c r="I8" s="193"/>
      <c r="J8" s="193"/>
      <c r="K8" s="98">
        <f t="shared" ref="K8:K13" si="3">H8+I8+J8</f>
        <v>0</v>
      </c>
      <c r="L8" s="164"/>
      <c r="M8" s="165"/>
      <c r="N8" s="132">
        <f t="shared" si="0"/>
        <v>73.5</v>
      </c>
      <c r="O8" s="71" t="str">
        <f t="shared" si="1"/>
        <v>Ýokary</v>
      </c>
    </row>
    <row r="9" spans="1:20" ht="30.75" customHeight="1" x14ac:dyDescent="0.25">
      <c r="A9" s="104">
        <v>4</v>
      </c>
      <c r="B9" s="111" t="s">
        <v>56</v>
      </c>
      <c r="C9" s="115">
        <v>30</v>
      </c>
      <c r="D9" s="68">
        <v>10</v>
      </c>
      <c r="E9" s="68">
        <v>10</v>
      </c>
      <c r="F9" s="128">
        <v>5</v>
      </c>
      <c r="G9" s="98">
        <f t="shared" si="2"/>
        <v>55</v>
      </c>
      <c r="H9" s="192"/>
      <c r="I9" s="193"/>
      <c r="J9" s="193"/>
      <c r="K9" s="98">
        <f t="shared" si="3"/>
        <v>0</v>
      </c>
      <c r="L9" s="164"/>
      <c r="M9" s="165"/>
      <c r="N9" s="132">
        <f t="shared" si="0"/>
        <v>73.5</v>
      </c>
      <c r="O9" s="71" t="str">
        <f t="shared" si="1"/>
        <v>Ýokary</v>
      </c>
      <c r="P9" s="63"/>
    </row>
    <row r="10" spans="1:20" ht="30.75" customHeight="1" x14ac:dyDescent="0.25">
      <c r="A10" s="104">
        <v>5</v>
      </c>
      <c r="B10" s="111" t="s">
        <v>60</v>
      </c>
      <c r="C10" s="115">
        <v>30</v>
      </c>
      <c r="D10" s="68">
        <v>10</v>
      </c>
      <c r="E10" s="68">
        <v>0</v>
      </c>
      <c r="F10" s="128">
        <v>5</v>
      </c>
      <c r="G10" s="98">
        <f t="shared" si="2"/>
        <v>45</v>
      </c>
      <c r="H10" s="192"/>
      <c r="I10" s="193"/>
      <c r="J10" s="193"/>
      <c r="K10" s="98">
        <f t="shared" si="3"/>
        <v>0</v>
      </c>
      <c r="L10" s="164"/>
      <c r="M10" s="165"/>
      <c r="N10" s="132">
        <f t="shared" si="0"/>
        <v>63.5</v>
      </c>
      <c r="O10" s="71" t="str">
        <f t="shared" si="1"/>
        <v>I dereje</v>
      </c>
      <c r="P10" s="63"/>
    </row>
    <row r="11" spans="1:20" ht="30.75" customHeight="1" x14ac:dyDescent="0.25">
      <c r="A11" s="104">
        <v>6</v>
      </c>
      <c r="B11" s="111" t="s">
        <v>59</v>
      </c>
      <c r="C11" s="115">
        <v>30</v>
      </c>
      <c r="D11" s="68">
        <v>10</v>
      </c>
      <c r="E11" s="68">
        <v>10</v>
      </c>
      <c r="F11" s="128">
        <v>5</v>
      </c>
      <c r="G11" s="98">
        <f t="shared" si="2"/>
        <v>55</v>
      </c>
      <c r="H11" s="192"/>
      <c r="I11" s="193"/>
      <c r="J11" s="193"/>
      <c r="K11" s="98">
        <f t="shared" si="3"/>
        <v>0</v>
      </c>
      <c r="L11" s="164"/>
      <c r="M11" s="165"/>
      <c r="N11" s="132">
        <f t="shared" si="0"/>
        <v>73.5</v>
      </c>
      <c r="O11" s="71" t="str">
        <f t="shared" si="1"/>
        <v>Ýokary</v>
      </c>
      <c r="P11" s="63"/>
    </row>
    <row r="12" spans="1:20" ht="30.75" customHeight="1" x14ac:dyDescent="0.25">
      <c r="A12" s="104">
        <v>7</v>
      </c>
      <c r="B12" s="111" t="s">
        <v>58</v>
      </c>
      <c r="C12" s="115">
        <v>30</v>
      </c>
      <c r="D12" s="68">
        <v>10</v>
      </c>
      <c r="E12" s="68">
        <v>10</v>
      </c>
      <c r="F12" s="128">
        <v>5</v>
      </c>
      <c r="G12" s="98">
        <f t="shared" si="2"/>
        <v>55</v>
      </c>
      <c r="H12" s="192"/>
      <c r="I12" s="193"/>
      <c r="J12" s="193"/>
      <c r="K12" s="98">
        <f t="shared" si="3"/>
        <v>0</v>
      </c>
      <c r="L12" s="164"/>
      <c r="M12" s="165"/>
      <c r="N12" s="132">
        <f t="shared" ref="N12" si="4">G12+K12+$L$6</f>
        <v>73.5</v>
      </c>
      <c r="O12" s="71" t="str">
        <f t="shared" si="1"/>
        <v>Ýokary</v>
      </c>
      <c r="P12" s="63"/>
    </row>
    <row r="13" spans="1:20" ht="30.75" customHeight="1" thickBot="1" x14ac:dyDescent="0.3">
      <c r="A13" s="129">
        <v>8</v>
      </c>
      <c r="B13" s="112" t="s">
        <v>57</v>
      </c>
      <c r="C13" s="117">
        <v>30</v>
      </c>
      <c r="D13" s="72">
        <v>10</v>
      </c>
      <c r="E13" s="72">
        <v>5</v>
      </c>
      <c r="F13" s="130">
        <v>5</v>
      </c>
      <c r="G13" s="131">
        <f t="shared" si="2"/>
        <v>50</v>
      </c>
      <c r="H13" s="194"/>
      <c r="I13" s="195"/>
      <c r="J13" s="195"/>
      <c r="K13" s="131">
        <f t="shared" si="3"/>
        <v>0</v>
      </c>
      <c r="L13" s="166"/>
      <c r="M13" s="167"/>
      <c r="N13" s="133">
        <f t="shared" si="0"/>
        <v>68.5</v>
      </c>
      <c r="O13" s="76" t="str">
        <f t="shared" si="1"/>
        <v>I dereje</v>
      </c>
      <c r="Q13" s="101"/>
      <c r="R13" s="101"/>
      <c r="S13" s="101"/>
      <c r="T13" s="101"/>
    </row>
    <row r="14" spans="1:20" ht="28.5" customHeight="1" x14ac:dyDescent="0.25">
      <c r="A14" s="11"/>
      <c r="B14" s="11"/>
      <c r="C14" s="106" t="s">
        <v>15</v>
      </c>
      <c r="D14" s="106" t="s">
        <v>17</v>
      </c>
      <c r="E14" s="107" t="s">
        <v>16</v>
      </c>
      <c r="F14" s="108" t="s">
        <v>10</v>
      </c>
      <c r="G14" s="106"/>
      <c r="H14" s="106" t="s">
        <v>12</v>
      </c>
      <c r="I14" s="107" t="s">
        <v>11</v>
      </c>
      <c r="J14" s="106" t="s">
        <v>10</v>
      </c>
      <c r="K14" s="106"/>
      <c r="L14" s="107" t="s">
        <v>86</v>
      </c>
      <c r="M14" s="11"/>
      <c r="N14" s="11"/>
      <c r="O14" s="11"/>
      <c r="S14" s="99"/>
    </row>
    <row r="15" spans="1:20" ht="18.75" x14ac:dyDescent="0.3">
      <c r="A15" s="11"/>
      <c r="B15" s="11"/>
      <c r="C15" s="11"/>
      <c r="D15" s="11"/>
      <c r="E15" s="3"/>
      <c r="F15" s="2"/>
      <c r="G15" s="11"/>
      <c r="H15" s="100"/>
      <c r="I15" s="100"/>
      <c r="J15" s="100"/>
      <c r="K15" s="100"/>
      <c r="L15" s="3"/>
      <c r="M15" s="11"/>
      <c r="N15" s="11"/>
      <c r="O15" s="11"/>
      <c r="S15" s="99"/>
    </row>
    <row r="16" spans="1:20" ht="18.75" x14ac:dyDescent="0.3">
      <c r="A16" s="11"/>
      <c r="B16" s="168" t="s">
        <v>20</v>
      </c>
      <c r="C16" s="168"/>
      <c r="D16" s="11"/>
      <c r="E16" s="11"/>
      <c r="F16" s="2"/>
      <c r="G16" s="11"/>
      <c r="H16" s="100"/>
      <c r="I16" s="100"/>
      <c r="J16" s="100"/>
      <c r="K16" s="100"/>
      <c r="L16" s="3"/>
      <c r="M16" s="11"/>
      <c r="N16" s="11"/>
      <c r="O16" s="11"/>
      <c r="S16" s="99"/>
    </row>
    <row r="17" spans="1:19" ht="27.75" customHeight="1" x14ac:dyDescent="0.3">
      <c r="A17" s="11"/>
      <c r="B17" s="4"/>
      <c r="C17" s="105" t="s">
        <v>21</v>
      </c>
      <c r="D17" s="97" t="s">
        <v>22</v>
      </c>
      <c r="E17" s="97" t="s">
        <v>23</v>
      </c>
      <c r="F17" s="2"/>
      <c r="G17" s="36"/>
      <c r="H17" s="196" t="s">
        <v>36</v>
      </c>
      <c r="I17" s="196"/>
      <c r="J17" s="196"/>
      <c r="K17" s="101"/>
      <c r="M17" s="36"/>
      <c r="N17" s="36"/>
      <c r="O17" s="11"/>
      <c r="S17" s="99"/>
    </row>
    <row r="18" spans="1:19" ht="27.75" customHeight="1" x14ac:dyDescent="0.3">
      <c r="A18" s="11"/>
      <c r="B18" s="66" t="s">
        <v>24</v>
      </c>
      <c r="C18" s="169">
        <v>8</v>
      </c>
      <c r="D18" s="170"/>
      <c r="E18" s="171"/>
      <c r="F18" s="2"/>
      <c r="G18" s="36"/>
      <c r="H18" s="190" t="s">
        <v>37</v>
      </c>
      <c r="I18" s="190"/>
      <c r="J18" s="190"/>
      <c r="K18" s="101"/>
      <c r="M18" s="36"/>
      <c r="N18" s="36"/>
      <c r="O18" s="11"/>
    </row>
    <row r="19" spans="1:19" ht="27.75" customHeight="1" x14ac:dyDescent="0.3">
      <c r="A19" s="11"/>
      <c r="B19" s="67" t="s">
        <v>25</v>
      </c>
      <c r="C19" s="64">
        <v>8</v>
      </c>
      <c r="D19" s="65">
        <v>0</v>
      </c>
      <c r="E19" s="65">
        <v>0</v>
      </c>
      <c r="F19" s="2"/>
      <c r="G19" s="36"/>
      <c r="H19" s="190" t="s">
        <v>38</v>
      </c>
      <c r="I19" s="190"/>
      <c r="J19" s="190"/>
      <c r="K19" s="101"/>
      <c r="M19" s="36"/>
      <c r="N19" s="36"/>
      <c r="O19" s="11"/>
    </row>
    <row r="20" spans="1:19" ht="27.75" customHeight="1" x14ac:dyDescent="0.3">
      <c r="A20" s="11"/>
      <c r="B20" s="67" t="s">
        <v>26</v>
      </c>
      <c r="C20" s="5">
        <f>C19/C18</f>
        <v>1</v>
      </c>
      <c r="D20" s="5">
        <f>D19/C18</f>
        <v>0</v>
      </c>
      <c r="E20" s="5">
        <f>E19/C18</f>
        <v>0</v>
      </c>
      <c r="F20" s="11"/>
      <c r="G20" s="36"/>
      <c r="H20" s="190" t="s">
        <v>39</v>
      </c>
      <c r="I20" s="190"/>
      <c r="J20" s="190"/>
      <c r="K20" s="101"/>
      <c r="M20" s="36"/>
      <c r="N20" s="36"/>
      <c r="O20" s="11"/>
    </row>
    <row r="21" spans="1:19" ht="27.75" customHeight="1" x14ac:dyDescent="0.25">
      <c r="A21" s="11"/>
      <c r="B21" s="95"/>
      <c r="C21" s="13"/>
      <c r="D21" s="14" t="s">
        <v>27</v>
      </c>
      <c r="E21" s="15">
        <f>SUM(C20:E20)</f>
        <v>1</v>
      </c>
      <c r="F21" s="11"/>
      <c r="G21" s="11"/>
      <c r="H21" s="190" t="s">
        <v>40</v>
      </c>
      <c r="I21" s="190"/>
      <c r="J21" s="190"/>
      <c r="K21" s="101"/>
      <c r="M21" s="11"/>
      <c r="N21" s="11"/>
      <c r="O21" s="11"/>
    </row>
    <row r="22" spans="1:19" ht="27.75" customHeight="1" x14ac:dyDescent="0.25">
      <c r="A22" s="11"/>
      <c r="B22" s="17"/>
      <c r="C22" s="17"/>
      <c r="D22" s="12"/>
      <c r="E22" s="15"/>
      <c r="F22" s="11"/>
      <c r="G22" s="11"/>
      <c r="H22" s="190" t="s">
        <v>41</v>
      </c>
      <c r="I22" s="190"/>
      <c r="J22" s="190"/>
      <c r="M22" s="11"/>
      <c r="N22" s="11"/>
      <c r="O22" s="11"/>
    </row>
    <row r="23" spans="1:19" ht="21" customHeight="1" x14ac:dyDescent="0.3">
      <c r="A23" s="11"/>
      <c r="B23" s="53" t="s">
        <v>42</v>
      </c>
      <c r="C23" s="53"/>
      <c r="D23" s="54"/>
      <c r="E23" s="55"/>
      <c r="F23" s="56"/>
      <c r="G23" s="56"/>
      <c r="H23" s="11"/>
      <c r="I23" s="11"/>
      <c r="M23" s="11"/>
      <c r="N23" s="11"/>
      <c r="O23" s="11"/>
    </row>
    <row r="24" spans="1:19" ht="21.75" customHeight="1" x14ac:dyDescent="0.3">
      <c r="A24" s="11"/>
      <c r="B24" s="53" t="s">
        <v>47</v>
      </c>
      <c r="C24" s="53" t="s">
        <v>44</v>
      </c>
      <c r="D24" s="53"/>
      <c r="E24" s="55"/>
      <c r="F24" s="56"/>
      <c r="G24" s="56"/>
      <c r="H24" s="11"/>
      <c r="I24" s="11"/>
      <c r="J24" s="11"/>
      <c r="K24" s="11"/>
      <c r="L24" s="11"/>
      <c r="M24" s="11"/>
      <c r="N24" s="11"/>
      <c r="O24" s="11"/>
    </row>
    <row r="25" spans="1:19" ht="20.25" x14ac:dyDescent="0.3">
      <c r="A25" s="11"/>
      <c r="B25" s="56"/>
      <c r="C25" s="57"/>
      <c r="D25" s="58"/>
      <c r="E25" s="55"/>
      <c r="F25" s="56"/>
      <c r="G25" s="56"/>
      <c r="H25" s="11"/>
      <c r="I25" s="11"/>
      <c r="J25" s="11"/>
      <c r="K25" s="11"/>
      <c r="L25" s="11"/>
      <c r="M25" s="11"/>
      <c r="N25" s="11"/>
      <c r="O25" s="11"/>
    </row>
    <row r="26" spans="1:19" ht="18" customHeight="1" x14ac:dyDescent="0.3">
      <c r="A26" s="11"/>
      <c r="B26" s="53" t="s">
        <v>7</v>
      </c>
      <c r="C26" s="53"/>
      <c r="D26" s="54"/>
      <c r="E26" s="56"/>
      <c r="F26" s="56"/>
      <c r="G26" s="56"/>
      <c r="I26" s="6"/>
      <c r="J26" s="16"/>
      <c r="K26" s="16"/>
      <c r="L26" s="11"/>
      <c r="M26" s="11"/>
      <c r="N26" s="11"/>
      <c r="O26" s="11"/>
    </row>
    <row r="27" spans="1:19" ht="20.25" x14ac:dyDescent="0.3">
      <c r="A27" s="11"/>
      <c r="B27" s="53"/>
      <c r="C27" s="53"/>
      <c r="D27" s="54"/>
      <c r="E27" s="56"/>
      <c r="F27" s="56"/>
      <c r="G27" s="56"/>
      <c r="I27" s="11"/>
      <c r="J27" s="11"/>
      <c r="K27" s="11"/>
      <c r="L27" s="11"/>
      <c r="M27" s="11"/>
      <c r="N27" s="11"/>
      <c r="O27" s="11"/>
    </row>
    <row r="28" spans="1:19" ht="21.75" customHeight="1" x14ac:dyDescent="0.3">
      <c r="A28" s="11"/>
      <c r="B28" s="53" t="s">
        <v>47</v>
      </c>
      <c r="C28" s="59" t="s">
        <v>44</v>
      </c>
      <c r="D28" s="54"/>
      <c r="E28" s="56"/>
      <c r="F28" s="56"/>
      <c r="G28" s="56"/>
      <c r="H28" s="11"/>
      <c r="I28" s="11"/>
      <c r="J28" s="11"/>
      <c r="K28" s="11"/>
      <c r="L28" s="11"/>
      <c r="M28" s="11"/>
      <c r="N28" s="11"/>
      <c r="O28" s="11"/>
    </row>
    <row r="29" spans="1:19" ht="20.25" x14ac:dyDescent="0.3">
      <c r="A29" s="11"/>
      <c r="B29" s="60"/>
      <c r="C29" s="53"/>
      <c r="D29" s="54"/>
      <c r="E29" s="56"/>
      <c r="F29" s="56"/>
      <c r="G29" s="56"/>
      <c r="H29" s="17"/>
      <c r="I29" s="11"/>
      <c r="J29" s="11"/>
      <c r="K29" s="11"/>
      <c r="L29" s="11"/>
      <c r="M29" s="11"/>
      <c r="N29" s="11"/>
      <c r="O29" s="11"/>
    </row>
    <row r="30" spans="1:19" ht="21" customHeight="1" x14ac:dyDescent="0.25">
      <c r="A30" s="11"/>
      <c r="B30" s="59" t="s">
        <v>67</v>
      </c>
      <c r="C30" s="59" t="s">
        <v>44</v>
      </c>
      <c r="D30" s="59"/>
      <c r="E30" s="59"/>
      <c r="F30" s="59"/>
      <c r="G30" s="59"/>
      <c r="H30" s="11"/>
      <c r="I30" s="11"/>
      <c r="J30" s="11"/>
      <c r="K30" s="11"/>
      <c r="L30" s="11"/>
      <c r="M30" s="11"/>
      <c r="N30" s="11"/>
      <c r="O30" s="11"/>
    </row>
    <row r="31" spans="1:19" ht="20.25" x14ac:dyDescent="0.3">
      <c r="A31" s="11"/>
      <c r="B31" s="61"/>
      <c r="C31" s="61"/>
      <c r="D31" s="61"/>
      <c r="E31" s="61"/>
      <c r="F31" s="61"/>
      <c r="G31" s="61"/>
      <c r="H31" s="11"/>
      <c r="I31" s="11"/>
      <c r="J31" s="11"/>
      <c r="K31" s="11"/>
      <c r="L31" s="11"/>
      <c r="M31" s="11"/>
      <c r="N31" s="11"/>
      <c r="O31" s="11"/>
    </row>
    <row r="32" spans="1:19" ht="21" customHeight="1" x14ac:dyDescent="0.25">
      <c r="A32" s="11"/>
      <c r="B32" s="59" t="s">
        <v>43</v>
      </c>
      <c r="C32" s="59" t="s">
        <v>44</v>
      </c>
      <c r="D32" s="59"/>
      <c r="E32" s="191" t="s">
        <v>45</v>
      </c>
      <c r="F32" s="191"/>
      <c r="G32" s="59" t="s">
        <v>46</v>
      </c>
      <c r="H32" s="11"/>
      <c r="I32" s="11"/>
      <c r="J32" s="11"/>
      <c r="K32" s="11"/>
      <c r="L32" s="11"/>
      <c r="M32" s="11"/>
      <c r="N32" s="11"/>
      <c r="O32" s="11"/>
    </row>
    <row r="33" spans="2:7" ht="20.25" x14ac:dyDescent="0.3">
      <c r="B33" s="62"/>
      <c r="C33" s="62"/>
      <c r="D33" s="62"/>
      <c r="E33" s="62"/>
      <c r="F33" s="62"/>
      <c r="G33" s="62"/>
    </row>
  </sheetData>
  <mergeCells count="21">
    <mergeCell ref="H21:J21"/>
    <mergeCell ref="H22:J22"/>
    <mergeCell ref="E32:F32"/>
    <mergeCell ref="H6:J13"/>
    <mergeCell ref="H17:J17"/>
    <mergeCell ref="H18:J18"/>
    <mergeCell ref="H19:J19"/>
    <mergeCell ref="H20:J20"/>
    <mergeCell ref="L6:M13"/>
    <mergeCell ref="B16:C16"/>
    <mergeCell ref="C18:E18"/>
    <mergeCell ref="A2:O2"/>
    <mergeCell ref="A3:B3"/>
    <mergeCell ref="C3:N3"/>
    <mergeCell ref="A4:A5"/>
    <mergeCell ref="B4:B5"/>
    <mergeCell ref="C4:F4"/>
    <mergeCell ref="H4:J4"/>
    <mergeCell ref="N4:N5"/>
    <mergeCell ref="O4:O5"/>
    <mergeCell ref="L5:M5"/>
  </mergeCells>
  <conditionalFormatting sqref="N6:N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G13 K6:K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14000000000000001" right="0.13" top="0.17" bottom="0" header="0.18" footer="0"/>
  <pageSetup paperSize="9" scale="58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T32"/>
  <sheetViews>
    <sheetView zoomScale="85" zoomScaleNormal="85" workbookViewId="0">
      <selection activeCell="P9" sqref="P9"/>
    </sheetView>
  </sheetViews>
  <sheetFormatPr defaultColWidth="9.140625" defaultRowHeight="15" x14ac:dyDescent="0.25"/>
  <cols>
    <col min="1" max="1" width="4.42578125" style="1" customWidth="1"/>
    <col min="2" max="2" width="50.140625" style="10" customWidth="1"/>
    <col min="3" max="5" width="16.140625" style="10" customWidth="1"/>
    <col min="6" max="6" width="15.28515625" style="10" customWidth="1"/>
    <col min="7" max="7" width="8.7109375" style="10" customWidth="1"/>
    <col min="8" max="10" width="15.28515625" style="10" customWidth="1"/>
    <col min="11" max="11" width="8.7109375" style="10" customWidth="1"/>
    <col min="12" max="12" width="27.7109375" style="10" customWidth="1"/>
    <col min="13" max="13" width="11" style="10" customWidth="1"/>
    <col min="14" max="14" width="12.42578125" style="10" bestFit="1" customWidth="1"/>
    <col min="15" max="15" width="16.42578125" style="10" customWidth="1"/>
    <col min="16" max="16" width="20.85546875" style="10" customWidth="1"/>
    <col min="17" max="20" width="9.140625" style="10" customWidth="1"/>
    <col min="21" max="16384" width="9.140625" style="10"/>
  </cols>
  <sheetData>
    <row r="1" spans="1:20" s="11" customFormat="1" ht="15.75" thickBot="1" x14ac:dyDescent="0.3"/>
    <row r="2" spans="1:20" s="11" customFormat="1" ht="35.25" customHeight="1" x14ac:dyDescent="0.25">
      <c r="A2" s="201" t="s">
        <v>54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3"/>
    </row>
    <row r="3" spans="1:20" ht="29.25" customHeight="1" thickBot="1" x14ac:dyDescent="0.3">
      <c r="A3" s="175" t="s">
        <v>85</v>
      </c>
      <c r="B3" s="176"/>
      <c r="C3" s="207" t="s">
        <v>6</v>
      </c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9"/>
      <c r="O3" s="121" t="s">
        <v>18</v>
      </c>
    </row>
    <row r="4" spans="1:20" ht="61.5" customHeight="1" x14ac:dyDescent="0.25">
      <c r="A4" s="177" t="s">
        <v>0</v>
      </c>
      <c r="B4" s="179" t="s">
        <v>1</v>
      </c>
      <c r="C4" s="181" t="s">
        <v>2</v>
      </c>
      <c r="D4" s="182"/>
      <c r="E4" s="182"/>
      <c r="F4" s="182"/>
      <c r="G4" s="113" t="s">
        <v>19</v>
      </c>
      <c r="H4" s="183" t="s">
        <v>3</v>
      </c>
      <c r="I4" s="184"/>
      <c r="J4" s="184"/>
      <c r="K4" s="125" t="s">
        <v>13</v>
      </c>
      <c r="L4" s="122" t="s">
        <v>8</v>
      </c>
      <c r="M4" s="113" t="s">
        <v>14</v>
      </c>
      <c r="N4" s="205" t="s">
        <v>4</v>
      </c>
      <c r="O4" s="186" t="s">
        <v>28</v>
      </c>
    </row>
    <row r="5" spans="1:20" ht="68.25" customHeight="1" x14ac:dyDescent="0.25">
      <c r="A5" s="178"/>
      <c r="B5" s="204"/>
      <c r="C5" s="114" t="s">
        <v>30</v>
      </c>
      <c r="D5" s="93" t="s">
        <v>29</v>
      </c>
      <c r="E5" s="92" t="s">
        <v>9</v>
      </c>
      <c r="F5" s="92" t="s">
        <v>88</v>
      </c>
      <c r="G5" s="94" t="s">
        <v>5</v>
      </c>
      <c r="H5" s="114" t="s">
        <v>30</v>
      </c>
      <c r="I5" s="92" t="s">
        <v>9</v>
      </c>
      <c r="J5" s="92" t="s">
        <v>88</v>
      </c>
      <c r="K5" s="126" t="s">
        <v>5</v>
      </c>
      <c r="L5" s="188" t="s">
        <v>87</v>
      </c>
      <c r="M5" s="189"/>
      <c r="N5" s="206"/>
      <c r="O5" s="187"/>
      <c r="Q5" s="19"/>
      <c r="R5" s="19"/>
      <c r="S5" s="19"/>
      <c r="T5" s="19"/>
    </row>
    <row r="6" spans="1:20" ht="30.75" customHeight="1" x14ac:dyDescent="0.25">
      <c r="A6" s="102">
        <v>1</v>
      </c>
      <c r="B6" s="110" t="s">
        <v>48</v>
      </c>
      <c r="C6" s="115">
        <v>30</v>
      </c>
      <c r="D6" s="68">
        <v>6</v>
      </c>
      <c r="E6" s="69">
        <v>5</v>
      </c>
      <c r="F6" s="70">
        <v>5</v>
      </c>
      <c r="G6" s="116">
        <f>C6+D6+F6+E6</f>
        <v>46</v>
      </c>
      <c r="H6" s="119">
        <v>21</v>
      </c>
      <c r="I6" s="91">
        <v>4</v>
      </c>
      <c r="J6" s="91">
        <v>5</v>
      </c>
      <c r="K6" s="123">
        <f t="shared" ref="K6:K12" si="0">H6+I6+J6</f>
        <v>30</v>
      </c>
      <c r="L6" s="197">
        <v>19</v>
      </c>
      <c r="M6" s="198"/>
      <c r="N6" s="127">
        <f>G6+K6+$L$6</f>
        <v>95</v>
      </c>
      <c r="O6" s="71" t="str">
        <f>IF(SUM(G6,K6,$L$6)&gt;100,"Ýokary",IF(SUM(G6,K6,$L$6)&gt;=80,"I dereje",IF(SUM(G6,K6,$L$6)&gt;=65,"II dereje",IF(SUM(G6,K6,$L$6)&gt;=50,"III dereje",IF(SUM(G6,K6,$L$6)&lt;=49,"Duýduryş")))))</f>
        <v>I dereje</v>
      </c>
    </row>
    <row r="7" spans="1:20" ht="30.75" customHeight="1" x14ac:dyDescent="0.25">
      <c r="A7" s="102">
        <v>2</v>
      </c>
      <c r="B7" s="111" t="s">
        <v>49</v>
      </c>
      <c r="C7" s="115">
        <v>30</v>
      </c>
      <c r="D7" s="68">
        <v>6</v>
      </c>
      <c r="E7" s="69">
        <v>5</v>
      </c>
      <c r="F7" s="70">
        <v>5</v>
      </c>
      <c r="G7" s="116">
        <f t="shared" ref="G7:G12" si="1">C7+D7+F7+E7</f>
        <v>46</v>
      </c>
      <c r="H7" s="119">
        <v>21</v>
      </c>
      <c r="I7" s="91">
        <v>8</v>
      </c>
      <c r="J7" s="91">
        <v>5</v>
      </c>
      <c r="K7" s="123">
        <f t="shared" si="0"/>
        <v>34</v>
      </c>
      <c r="L7" s="197"/>
      <c r="M7" s="198"/>
      <c r="N7" s="127">
        <f t="shared" ref="N7:N12" si="2">G7+K7+$L$6</f>
        <v>99</v>
      </c>
      <c r="O7" s="71" t="str">
        <f t="shared" ref="O7:O12" si="3">IF(SUM(G7,K7,$L$6)&gt;100,"Ýokary",IF(SUM(G7,K7,$L$6)&gt;=80,"I dereje",IF(SUM(G7,K7,$L$6)&gt;=65,"II dereje",IF(SUM(G7,K7,$L$6)&gt;=50,"III dereje",IF(SUM(G7,K7,$L$6)&lt;=49,"Duýduryş")))))</f>
        <v>I dereje</v>
      </c>
    </row>
    <row r="8" spans="1:20" ht="30.75" customHeight="1" x14ac:dyDescent="0.25">
      <c r="A8" s="102">
        <v>3</v>
      </c>
      <c r="B8" s="111" t="s">
        <v>50</v>
      </c>
      <c r="C8" s="115">
        <v>30</v>
      </c>
      <c r="D8" s="68">
        <v>6</v>
      </c>
      <c r="E8" s="69">
        <v>5</v>
      </c>
      <c r="F8" s="70">
        <v>5</v>
      </c>
      <c r="G8" s="116">
        <f t="shared" si="1"/>
        <v>46</v>
      </c>
      <c r="H8" s="119">
        <v>21</v>
      </c>
      <c r="I8" s="91">
        <v>8</v>
      </c>
      <c r="J8" s="91">
        <v>5</v>
      </c>
      <c r="K8" s="123">
        <f t="shared" si="0"/>
        <v>34</v>
      </c>
      <c r="L8" s="197"/>
      <c r="M8" s="198"/>
      <c r="N8" s="127">
        <f t="shared" si="2"/>
        <v>99</v>
      </c>
      <c r="O8" s="71" t="str">
        <f t="shared" si="3"/>
        <v>I dereje</v>
      </c>
    </row>
    <row r="9" spans="1:20" ht="30.75" customHeight="1" x14ac:dyDescent="0.25">
      <c r="A9" s="102">
        <v>4</v>
      </c>
      <c r="B9" s="111" t="s">
        <v>51</v>
      </c>
      <c r="C9" s="115">
        <v>20</v>
      </c>
      <c r="D9" s="68">
        <v>6</v>
      </c>
      <c r="E9" s="69">
        <v>5</v>
      </c>
      <c r="F9" s="70">
        <v>5</v>
      </c>
      <c r="G9" s="116">
        <f t="shared" si="1"/>
        <v>36</v>
      </c>
      <c r="H9" s="119">
        <v>21</v>
      </c>
      <c r="I9" s="91">
        <v>0</v>
      </c>
      <c r="J9" s="91">
        <v>5</v>
      </c>
      <c r="K9" s="123">
        <f t="shared" si="0"/>
        <v>26</v>
      </c>
      <c r="L9" s="197"/>
      <c r="M9" s="198"/>
      <c r="N9" s="127">
        <f t="shared" si="2"/>
        <v>81</v>
      </c>
      <c r="O9" s="71" t="str">
        <f t="shared" si="3"/>
        <v>I dereje</v>
      </c>
      <c r="P9" s="63"/>
    </row>
    <row r="10" spans="1:20" ht="30.75" customHeight="1" x14ac:dyDescent="0.25">
      <c r="A10" s="102">
        <v>5</v>
      </c>
      <c r="B10" s="111" t="s">
        <v>84</v>
      </c>
      <c r="C10" s="115">
        <v>30</v>
      </c>
      <c r="D10" s="68">
        <v>6</v>
      </c>
      <c r="E10" s="69">
        <v>5</v>
      </c>
      <c r="F10" s="70">
        <v>5</v>
      </c>
      <c r="G10" s="116">
        <f t="shared" si="1"/>
        <v>46</v>
      </c>
      <c r="H10" s="119">
        <v>21</v>
      </c>
      <c r="I10" s="91">
        <v>8</v>
      </c>
      <c r="J10" s="91">
        <v>5</v>
      </c>
      <c r="K10" s="123">
        <f t="shared" si="0"/>
        <v>34</v>
      </c>
      <c r="L10" s="197"/>
      <c r="M10" s="198"/>
      <c r="N10" s="127">
        <f t="shared" si="2"/>
        <v>99</v>
      </c>
      <c r="O10" s="71" t="str">
        <f t="shared" si="3"/>
        <v>I dereje</v>
      </c>
      <c r="P10" s="63"/>
    </row>
    <row r="11" spans="1:20" ht="30.75" customHeight="1" x14ac:dyDescent="0.25">
      <c r="A11" s="102">
        <v>6</v>
      </c>
      <c r="B11" s="111" t="s">
        <v>52</v>
      </c>
      <c r="C11" s="115">
        <v>30</v>
      </c>
      <c r="D11" s="68">
        <v>6</v>
      </c>
      <c r="E11" s="69">
        <v>5</v>
      </c>
      <c r="F11" s="70">
        <v>5</v>
      </c>
      <c r="G11" s="116">
        <f t="shared" si="1"/>
        <v>46</v>
      </c>
      <c r="H11" s="119">
        <v>21</v>
      </c>
      <c r="I11" s="91">
        <v>8</v>
      </c>
      <c r="J11" s="91">
        <v>5</v>
      </c>
      <c r="K11" s="123">
        <f t="shared" si="0"/>
        <v>34</v>
      </c>
      <c r="L11" s="197"/>
      <c r="M11" s="198"/>
      <c r="N11" s="127">
        <f t="shared" si="2"/>
        <v>99</v>
      </c>
      <c r="O11" s="71" t="str">
        <f t="shared" si="3"/>
        <v>I dereje</v>
      </c>
      <c r="P11" s="63"/>
    </row>
    <row r="12" spans="1:20" ht="30.75" customHeight="1" thickBot="1" x14ac:dyDescent="0.3">
      <c r="A12" s="103">
        <v>7</v>
      </c>
      <c r="B12" s="112" t="s">
        <v>53</v>
      </c>
      <c r="C12" s="117">
        <v>20</v>
      </c>
      <c r="D12" s="72">
        <v>6</v>
      </c>
      <c r="E12" s="73">
        <v>5</v>
      </c>
      <c r="F12" s="74">
        <v>5</v>
      </c>
      <c r="G12" s="118">
        <f t="shared" si="1"/>
        <v>36</v>
      </c>
      <c r="H12" s="120">
        <v>21</v>
      </c>
      <c r="I12" s="75">
        <v>0</v>
      </c>
      <c r="J12" s="75">
        <v>5</v>
      </c>
      <c r="K12" s="124">
        <f t="shared" si="0"/>
        <v>26</v>
      </c>
      <c r="L12" s="199"/>
      <c r="M12" s="200"/>
      <c r="N12" s="127">
        <f t="shared" si="2"/>
        <v>81</v>
      </c>
      <c r="O12" s="71" t="str">
        <f t="shared" si="3"/>
        <v>I dereje</v>
      </c>
      <c r="Q12" s="20"/>
      <c r="R12" s="20"/>
      <c r="S12" s="20"/>
      <c r="T12" s="20"/>
    </row>
    <row r="13" spans="1:20" ht="28.5" customHeight="1" x14ac:dyDescent="0.25">
      <c r="A13" s="11"/>
      <c r="B13" s="11"/>
      <c r="C13" s="106" t="s">
        <v>15</v>
      </c>
      <c r="D13" s="106" t="s">
        <v>17</v>
      </c>
      <c r="E13" s="107" t="s">
        <v>16</v>
      </c>
      <c r="F13" s="108" t="s">
        <v>10</v>
      </c>
      <c r="G13" s="106"/>
      <c r="H13" s="106" t="s">
        <v>12</v>
      </c>
      <c r="I13" s="107" t="s">
        <v>11</v>
      </c>
      <c r="J13" s="106" t="s">
        <v>10</v>
      </c>
      <c r="K13" s="106"/>
      <c r="L13" s="107" t="s">
        <v>86</v>
      </c>
      <c r="M13" s="11"/>
      <c r="N13" s="11"/>
      <c r="O13" s="11"/>
      <c r="S13" s="7"/>
    </row>
    <row r="14" spans="1:20" ht="18.75" x14ac:dyDescent="0.3">
      <c r="A14" s="11"/>
      <c r="B14" s="11"/>
      <c r="C14" s="11"/>
      <c r="D14" s="11"/>
      <c r="E14" s="3"/>
      <c r="F14" s="2"/>
      <c r="G14" s="11"/>
      <c r="H14" s="196" t="s">
        <v>61</v>
      </c>
      <c r="I14" s="196"/>
      <c r="J14" s="196"/>
      <c r="K14" s="196"/>
      <c r="L14" s="3"/>
      <c r="M14" s="11"/>
      <c r="N14" s="11"/>
      <c r="O14" s="11"/>
      <c r="S14" s="7"/>
    </row>
    <row r="15" spans="1:20" ht="18.75" x14ac:dyDescent="0.3">
      <c r="A15" s="11"/>
      <c r="B15" s="168" t="s">
        <v>20</v>
      </c>
      <c r="C15" s="168"/>
      <c r="D15" s="11"/>
      <c r="E15" s="11"/>
      <c r="F15" s="2"/>
      <c r="G15" s="11"/>
      <c r="H15" s="196"/>
      <c r="I15" s="196"/>
      <c r="J15" s="196"/>
      <c r="K15" s="196"/>
      <c r="L15" s="3"/>
      <c r="M15" s="11"/>
      <c r="N15" s="11"/>
      <c r="O15" s="11"/>
      <c r="S15" s="7"/>
    </row>
    <row r="16" spans="1:20" ht="39.75" customHeight="1" x14ac:dyDescent="0.3">
      <c r="A16" s="11"/>
      <c r="B16" s="4"/>
      <c r="C16" s="105" t="s">
        <v>21</v>
      </c>
      <c r="D16" s="93" t="s">
        <v>22</v>
      </c>
      <c r="E16" s="93" t="s">
        <v>23</v>
      </c>
      <c r="F16" s="2"/>
      <c r="G16" s="36"/>
      <c r="H16" s="190" t="s">
        <v>62</v>
      </c>
      <c r="I16" s="190"/>
      <c r="J16" s="190"/>
      <c r="K16" s="190"/>
      <c r="M16" s="36"/>
      <c r="N16" s="36"/>
      <c r="O16" s="11"/>
      <c r="S16" s="7"/>
    </row>
    <row r="17" spans="1:15" ht="27" customHeight="1" x14ac:dyDescent="0.3">
      <c r="A17" s="11"/>
      <c r="B17" s="66" t="s">
        <v>24</v>
      </c>
      <c r="C17" s="169">
        <v>7</v>
      </c>
      <c r="D17" s="170"/>
      <c r="E17" s="171"/>
      <c r="F17" s="2"/>
      <c r="G17" s="36"/>
      <c r="H17" s="190" t="s">
        <v>63</v>
      </c>
      <c r="I17" s="190"/>
      <c r="J17" s="190"/>
      <c r="K17" s="190"/>
      <c r="M17" s="36"/>
      <c r="N17" s="36"/>
      <c r="O17" s="11"/>
    </row>
    <row r="18" spans="1:15" ht="27" customHeight="1" x14ac:dyDescent="0.3">
      <c r="A18" s="11"/>
      <c r="B18" s="67" t="s">
        <v>25</v>
      </c>
      <c r="C18" s="64">
        <v>7</v>
      </c>
      <c r="D18" s="65">
        <v>0</v>
      </c>
      <c r="E18" s="65">
        <v>0</v>
      </c>
      <c r="F18" s="2"/>
      <c r="G18" s="36"/>
      <c r="H18" s="190" t="s">
        <v>64</v>
      </c>
      <c r="I18" s="190"/>
      <c r="J18" s="190"/>
      <c r="K18" s="190"/>
      <c r="M18" s="36"/>
      <c r="N18" s="36"/>
      <c r="O18" s="11"/>
    </row>
    <row r="19" spans="1:15" ht="27" customHeight="1" x14ac:dyDescent="0.3">
      <c r="A19" s="11"/>
      <c r="B19" s="67" t="s">
        <v>26</v>
      </c>
      <c r="C19" s="5">
        <f>C18/C17</f>
        <v>1</v>
      </c>
      <c r="D19" s="5">
        <f>D18/C17</f>
        <v>0</v>
      </c>
      <c r="E19" s="5">
        <f>E18/C17</f>
        <v>0</v>
      </c>
      <c r="F19" s="11"/>
      <c r="G19" s="36"/>
      <c r="H19" s="190" t="s">
        <v>65</v>
      </c>
      <c r="I19" s="190"/>
      <c r="J19" s="190"/>
      <c r="K19" s="190"/>
      <c r="M19" s="36"/>
      <c r="N19" s="36"/>
      <c r="O19" s="11"/>
    </row>
    <row r="20" spans="1:15" ht="18.75" x14ac:dyDescent="0.25">
      <c r="A20" s="11"/>
      <c r="B20" s="18"/>
      <c r="C20" s="13"/>
      <c r="D20" s="14" t="s">
        <v>27</v>
      </c>
      <c r="E20" s="15">
        <f>SUM(C19:E19)</f>
        <v>1</v>
      </c>
      <c r="F20" s="11"/>
      <c r="G20" s="11"/>
      <c r="H20" s="190" t="s">
        <v>66</v>
      </c>
      <c r="I20" s="190"/>
      <c r="J20" s="190"/>
      <c r="K20" s="190"/>
      <c r="M20" s="11"/>
      <c r="N20" s="11"/>
      <c r="O20" s="11"/>
    </row>
    <row r="21" spans="1:15" ht="18.75" x14ac:dyDescent="0.25">
      <c r="A21" s="11"/>
      <c r="B21" s="17"/>
      <c r="C21" s="17"/>
      <c r="D21" s="12"/>
      <c r="E21" s="15"/>
      <c r="F21" s="11"/>
      <c r="G21" s="11"/>
      <c r="H21" s="11"/>
      <c r="I21" s="11"/>
      <c r="M21" s="11"/>
      <c r="N21" s="11"/>
      <c r="O21" s="11"/>
    </row>
    <row r="22" spans="1:15" ht="21" customHeight="1" x14ac:dyDescent="0.3">
      <c r="A22" s="11"/>
      <c r="B22" s="53" t="s">
        <v>42</v>
      </c>
      <c r="C22" s="53"/>
      <c r="D22" s="54"/>
      <c r="E22" s="55"/>
      <c r="F22" s="56"/>
      <c r="G22" s="56"/>
      <c r="H22" s="11"/>
      <c r="I22" s="11"/>
      <c r="M22" s="11"/>
      <c r="N22" s="11"/>
      <c r="O22" s="11"/>
    </row>
    <row r="23" spans="1:15" ht="21.75" customHeight="1" x14ac:dyDescent="0.3">
      <c r="A23" s="11"/>
      <c r="B23" s="53" t="s">
        <v>47</v>
      </c>
      <c r="C23" s="53" t="s">
        <v>44</v>
      </c>
      <c r="D23" s="53"/>
      <c r="E23" s="55"/>
      <c r="F23" s="56"/>
      <c r="G23" s="56"/>
      <c r="H23" s="11"/>
      <c r="I23" s="11"/>
      <c r="J23" s="11"/>
      <c r="K23" s="11"/>
      <c r="L23" s="11"/>
      <c r="M23" s="11"/>
      <c r="N23" s="11"/>
      <c r="O23" s="11"/>
    </row>
    <row r="24" spans="1:15" ht="20.25" x14ac:dyDescent="0.3">
      <c r="A24" s="11"/>
      <c r="B24" s="56"/>
      <c r="C24" s="57"/>
      <c r="D24" s="58"/>
      <c r="E24" s="55"/>
      <c r="F24" s="56"/>
      <c r="G24" s="56"/>
      <c r="H24" s="11"/>
      <c r="I24" s="11"/>
      <c r="J24" s="11"/>
      <c r="K24" s="11"/>
      <c r="L24" s="11"/>
      <c r="M24" s="11"/>
      <c r="N24" s="11"/>
      <c r="O24" s="11"/>
    </row>
    <row r="25" spans="1:15" ht="18" customHeight="1" x14ac:dyDescent="0.3">
      <c r="A25" s="11"/>
      <c r="B25" s="53" t="s">
        <v>7</v>
      </c>
      <c r="C25" s="53"/>
      <c r="D25" s="54"/>
      <c r="E25" s="56"/>
      <c r="F25" s="56"/>
      <c r="G25" s="56"/>
      <c r="I25" s="6"/>
      <c r="J25" s="16"/>
      <c r="K25" s="16"/>
      <c r="L25" s="11"/>
      <c r="M25" s="11"/>
      <c r="N25" s="11"/>
      <c r="O25" s="11"/>
    </row>
    <row r="26" spans="1:15" ht="20.25" x14ac:dyDescent="0.3">
      <c r="A26" s="11"/>
      <c r="B26" s="53"/>
      <c r="C26" s="53"/>
      <c r="D26" s="54"/>
      <c r="E26" s="56"/>
      <c r="F26" s="56"/>
      <c r="G26" s="56"/>
      <c r="I26" s="11"/>
      <c r="J26" s="11"/>
      <c r="K26" s="11"/>
      <c r="L26" s="11"/>
      <c r="M26" s="11"/>
      <c r="N26" s="11"/>
      <c r="O26" s="11"/>
    </row>
    <row r="27" spans="1:15" ht="21.75" customHeight="1" x14ac:dyDescent="0.3">
      <c r="A27" s="11"/>
      <c r="B27" s="53" t="s">
        <v>47</v>
      </c>
      <c r="C27" s="59" t="s">
        <v>44</v>
      </c>
      <c r="D27" s="54"/>
      <c r="E27" s="56"/>
      <c r="F27" s="56"/>
      <c r="G27" s="56"/>
      <c r="H27" s="11"/>
      <c r="I27" s="11"/>
      <c r="J27" s="11"/>
      <c r="K27" s="11"/>
      <c r="L27" s="11"/>
      <c r="M27" s="11"/>
      <c r="N27" s="11"/>
      <c r="O27" s="11"/>
    </row>
    <row r="28" spans="1:15" ht="20.25" x14ac:dyDescent="0.3">
      <c r="A28" s="11"/>
      <c r="B28" s="60"/>
      <c r="C28" s="53"/>
      <c r="D28" s="54"/>
      <c r="E28" s="56"/>
      <c r="F28" s="56"/>
      <c r="G28" s="56"/>
      <c r="H28" s="17"/>
      <c r="I28" s="11"/>
      <c r="J28" s="11"/>
      <c r="K28" s="11"/>
      <c r="L28" s="11"/>
      <c r="M28" s="11"/>
      <c r="N28" s="11"/>
      <c r="O28" s="11"/>
    </row>
    <row r="29" spans="1:15" ht="21" customHeight="1" x14ac:dyDescent="0.25">
      <c r="A29" s="11"/>
      <c r="B29" s="59" t="s">
        <v>67</v>
      </c>
      <c r="C29" s="59" t="s">
        <v>44</v>
      </c>
      <c r="D29" s="59"/>
      <c r="E29" s="59"/>
      <c r="F29" s="59"/>
      <c r="G29" s="59"/>
      <c r="H29" s="11"/>
      <c r="I29" s="11"/>
      <c r="J29" s="11"/>
      <c r="K29" s="11"/>
      <c r="L29" s="11"/>
      <c r="M29" s="11"/>
      <c r="N29" s="11"/>
      <c r="O29" s="11"/>
    </row>
    <row r="30" spans="1:15" ht="20.25" x14ac:dyDescent="0.3">
      <c r="A30" s="11"/>
      <c r="B30" s="61"/>
      <c r="C30" s="61"/>
      <c r="D30" s="61"/>
      <c r="E30" s="61"/>
      <c r="F30" s="61"/>
      <c r="G30" s="61"/>
      <c r="H30" s="11"/>
      <c r="I30" s="11"/>
      <c r="J30" s="11"/>
      <c r="K30" s="11"/>
      <c r="L30" s="11"/>
      <c r="M30" s="11"/>
      <c r="N30" s="11"/>
      <c r="O30" s="11"/>
    </row>
    <row r="31" spans="1:15" ht="21" customHeight="1" x14ac:dyDescent="0.25">
      <c r="A31" s="11"/>
      <c r="B31" s="59" t="s">
        <v>43</v>
      </c>
      <c r="C31" s="59" t="s">
        <v>44</v>
      </c>
      <c r="D31" s="59"/>
      <c r="E31" s="191" t="s">
        <v>45</v>
      </c>
      <c r="F31" s="191"/>
      <c r="G31" s="59" t="s">
        <v>46</v>
      </c>
      <c r="H31" s="11"/>
      <c r="I31" s="11"/>
      <c r="J31" s="11"/>
      <c r="K31" s="11"/>
      <c r="L31" s="11"/>
      <c r="M31" s="11"/>
      <c r="N31" s="11"/>
      <c r="O31" s="11"/>
    </row>
    <row r="32" spans="1:15" ht="20.25" x14ac:dyDescent="0.3">
      <c r="B32" s="62"/>
      <c r="C32" s="62"/>
      <c r="D32" s="62"/>
      <c r="E32" s="62"/>
      <c r="F32" s="62"/>
      <c r="G32" s="62"/>
    </row>
  </sheetData>
  <mergeCells count="20">
    <mergeCell ref="E31:F31"/>
    <mergeCell ref="H14:K15"/>
    <mergeCell ref="H20:K20"/>
    <mergeCell ref="H19:K19"/>
    <mergeCell ref="H16:K16"/>
    <mergeCell ref="H17:K17"/>
    <mergeCell ref="H18:K18"/>
    <mergeCell ref="L5:M5"/>
    <mergeCell ref="L6:M12"/>
    <mergeCell ref="B15:C15"/>
    <mergeCell ref="C17:E17"/>
    <mergeCell ref="A2:O2"/>
    <mergeCell ref="A3:B3"/>
    <mergeCell ref="A4:A5"/>
    <mergeCell ref="B4:B5"/>
    <mergeCell ref="C4:F4"/>
    <mergeCell ref="H4:J4"/>
    <mergeCell ref="N4:N5"/>
    <mergeCell ref="O4:O5"/>
    <mergeCell ref="C3:N3"/>
  </mergeCells>
  <conditionalFormatting sqref="G6:G12 K6:K12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:N12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:K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1" right="0.2" top="0.25" bottom="0" header="0" footer="0"/>
  <pageSetup paperSize="9" scale="58" fitToHeight="0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T34"/>
  <sheetViews>
    <sheetView zoomScale="70" zoomScaleNormal="70" workbookViewId="0">
      <selection activeCell="Q5" sqref="Q5"/>
    </sheetView>
  </sheetViews>
  <sheetFormatPr defaultColWidth="9.140625" defaultRowHeight="15" x14ac:dyDescent="0.25"/>
  <cols>
    <col min="1" max="1" width="4.42578125" style="1" customWidth="1"/>
    <col min="2" max="2" width="50.140625" style="10" customWidth="1"/>
    <col min="3" max="5" width="16.140625" style="10" customWidth="1"/>
    <col min="6" max="6" width="15.28515625" style="10" customWidth="1"/>
    <col min="7" max="7" width="8.7109375" style="10" customWidth="1"/>
    <col min="8" max="10" width="15.28515625" style="10" customWidth="1"/>
    <col min="11" max="11" width="8.7109375" style="10" customWidth="1"/>
    <col min="12" max="12" width="27.7109375" style="10" customWidth="1"/>
    <col min="13" max="13" width="11" style="10" customWidth="1"/>
    <col min="14" max="14" width="12.42578125" style="10" bestFit="1" customWidth="1"/>
    <col min="15" max="15" width="16.42578125" style="10" customWidth="1"/>
    <col min="16" max="16" width="20.85546875" style="10" customWidth="1"/>
    <col min="17" max="16384" width="9.140625" style="10"/>
  </cols>
  <sheetData>
    <row r="1" spans="1:20" s="11" customFormat="1" ht="15.75" thickBot="1" x14ac:dyDescent="0.3"/>
    <row r="2" spans="1:20" s="11" customFormat="1" ht="35.25" customHeight="1" x14ac:dyDescent="0.25">
      <c r="A2" s="172" t="s">
        <v>90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4"/>
    </row>
    <row r="3" spans="1:20" ht="29.25" customHeight="1" thickBot="1" x14ac:dyDescent="0.3">
      <c r="A3" s="175" t="s">
        <v>85</v>
      </c>
      <c r="B3" s="176"/>
      <c r="C3" s="176" t="s">
        <v>6</v>
      </c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21" t="s">
        <v>18</v>
      </c>
    </row>
    <row r="4" spans="1:20" ht="61.5" customHeight="1" x14ac:dyDescent="0.25">
      <c r="A4" s="177" t="s">
        <v>0</v>
      </c>
      <c r="B4" s="179" t="s">
        <v>1</v>
      </c>
      <c r="C4" s="181" t="s">
        <v>2</v>
      </c>
      <c r="D4" s="182"/>
      <c r="E4" s="182"/>
      <c r="F4" s="182"/>
      <c r="G4" s="113" t="s">
        <v>19</v>
      </c>
      <c r="H4" s="183" t="s">
        <v>3</v>
      </c>
      <c r="I4" s="184"/>
      <c r="J4" s="184"/>
      <c r="K4" s="109" t="s">
        <v>13</v>
      </c>
      <c r="L4" s="122" t="s">
        <v>8</v>
      </c>
      <c r="M4" s="113" t="s">
        <v>14</v>
      </c>
      <c r="N4" s="181" t="s">
        <v>4</v>
      </c>
      <c r="O4" s="186" t="s">
        <v>28</v>
      </c>
    </row>
    <row r="5" spans="1:20" ht="68.25" customHeight="1" x14ac:dyDescent="0.25">
      <c r="A5" s="178"/>
      <c r="B5" s="180"/>
      <c r="C5" s="114" t="s">
        <v>30</v>
      </c>
      <c r="D5" s="97" t="s">
        <v>29</v>
      </c>
      <c r="E5" s="96" t="s">
        <v>9</v>
      </c>
      <c r="F5" s="96" t="s">
        <v>88</v>
      </c>
      <c r="G5" s="98" t="s">
        <v>5</v>
      </c>
      <c r="H5" s="114" t="s">
        <v>30</v>
      </c>
      <c r="I5" s="96" t="s">
        <v>9</v>
      </c>
      <c r="J5" s="96" t="s">
        <v>88</v>
      </c>
      <c r="K5" s="98" t="s">
        <v>5</v>
      </c>
      <c r="L5" s="188" t="s">
        <v>87</v>
      </c>
      <c r="M5" s="189"/>
      <c r="N5" s="185"/>
      <c r="O5" s="187"/>
      <c r="Q5" s="100"/>
      <c r="R5" s="100"/>
      <c r="S5" s="100"/>
      <c r="T5" s="100"/>
    </row>
    <row r="6" spans="1:20" ht="30.75" customHeight="1" x14ac:dyDescent="0.25">
      <c r="A6" s="154">
        <v>1</v>
      </c>
      <c r="B6" s="144" t="s">
        <v>130</v>
      </c>
      <c r="C6" s="145">
        <v>10</v>
      </c>
      <c r="D6" s="146">
        <v>10</v>
      </c>
      <c r="E6" s="146">
        <v>5</v>
      </c>
      <c r="F6" s="147">
        <v>4</v>
      </c>
      <c r="G6" s="155">
        <f>C6+D6+F6+E6</f>
        <v>29</v>
      </c>
      <c r="H6" s="192" t="s">
        <v>89</v>
      </c>
      <c r="I6" s="193"/>
      <c r="J6" s="193"/>
      <c r="K6" s="136">
        <v>0</v>
      </c>
      <c r="L6" s="197">
        <v>17</v>
      </c>
      <c r="M6" s="198"/>
      <c r="N6" s="132">
        <f>G6+K6+$L$6</f>
        <v>46</v>
      </c>
      <c r="O6" s="71" t="str">
        <f>IF(SUM(G6,K6,$L$6)&gt;71,"Ýokary",IF(SUM(G6,K6,$L$6)&gt;=56,"I dereje",IF(SUM(G6,K6,$L$6)&gt;=45,"II dereje",IF(SUM(G6,K6,$L$6)&gt;=35,"III dereje",IF(SUM(G6,K6,$L$6)&lt;=34,"Duýduryş")))))</f>
        <v>II dereje</v>
      </c>
    </row>
    <row r="7" spans="1:20" ht="30.75" customHeight="1" x14ac:dyDescent="0.25">
      <c r="A7" s="154">
        <v>2</v>
      </c>
      <c r="B7" s="144" t="s">
        <v>131</v>
      </c>
      <c r="C7" s="145">
        <v>20</v>
      </c>
      <c r="D7" s="146">
        <v>10</v>
      </c>
      <c r="E7" s="146">
        <v>10</v>
      </c>
      <c r="F7" s="147">
        <v>4</v>
      </c>
      <c r="G7" s="155">
        <f>C7+D7+F7+E7</f>
        <v>44</v>
      </c>
      <c r="H7" s="192"/>
      <c r="I7" s="193"/>
      <c r="J7" s="193"/>
      <c r="K7" s="136">
        <f>H7+I7+J7</f>
        <v>0</v>
      </c>
      <c r="L7" s="197"/>
      <c r="M7" s="198"/>
      <c r="N7" s="132">
        <f t="shared" ref="N7:N14" si="0">G7+K7+$L$6</f>
        <v>61</v>
      </c>
      <c r="O7" s="71" t="str">
        <f t="shared" ref="O7:O14" si="1">IF(SUM(G7,K7,$L$6)&gt;71,"Ýokary",IF(SUM(G7,K7,$L$6)&gt;=56,"I dereje",IF(SUM(G7,K7,$L$6)&gt;=45,"II dereje",IF(SUM(G7,K7,$L$6)&gt;=35,"III dereje",IF(SUM(G7,K7,$L$6)&lt;=34,"Duýduryş")))))</f>
        <v>I dereje</v>
      </c>
    </row>
    <row r="8" spans="1:20" ht="30.75" customHeight="1" x14ac:dyDescent="0.25">
      <c r="A8" s="154">
        <v>3</v>
      </c>
      <c r="B8" s="144" t="s">
        <v>132</v>
      </c>
      <c r="C8" s="145">
        <v>20</v>
      </c>
      <c r="D8" s="146">
        <v>10</v>
      </c>
      <c r="E8" s="146">
        <v>10</v>
      </c>
      <c r="F8" s="147">
        <v>5</v>
      </c>
      <c r="G8" s="155">
        <f t="shared" ref="G8:G14" si="2">C8+D8+F8+E8</f>
        <v>45</v>
      </c>
      <c r="H8" s="192"/>
      <c r="I8" s="193"/>
      <c r="J8" s="193"/>
      <c r="K8" s="136">
        <f t="shared" ref="K8:K14" si="3">H8+I8+J8</f>
        <v>0</v>
      </c>
      <c r="L8" s="197"/>
      <c r="M8" s="198"/>
      <c r="N8" s="132">
        <f t="shared" si="0"/>
        <v>62</v>
      </c>
      <c r="O8" s="71" t="str">
        <f t="shared" si="1"/>
        <v>I dereje</v>
      </c>
    </row>
    <row r="9" spans="1:20" ht="30.75" customHeight="1" x14ac:dyDescent="0.25">
      <c r="A9" s="154">
        <v>4</v>
      </c>
      <c r="B9" s="144" t="s">
        <v>133</v>
      </c>
      <c r="C9" s="145">
        <v>10</v>
      </c>
      <c r="D9" s="146">
        <v>10</v>
      </c>
      <c r="E9" s="146">
        <v>5</v>
      </c>
      <c r="F9" s="147">
        <v>4</v>
      </c>
      <c r="G9" s="155">
        <f t="shared" si="2"/>
        <v>29</v>
      </c>
      <c r="H9" s="192"/>
      <c r="I9" s="193"/>
      <c r="J9" s="193"/>
      <c r="K9" s="136">
        <f t="shared" si="3"/>
        <v>0</v>
      </c>
      <c r="L9" s="197"/>
      <c r="M9" s="198"/>
      <c r="N9" s="132">
        <f t="shared" si="0"/>
        <v>46</v>
      </c>
      <c r="O9" s="71" t="str">
        <f t="shared" si="1"/>
        <v>II dereje</v>
      </c>
      <c r="P9" s="63"/>
    </row>
    <row r="10" spans="1:20" ht="30.75" customHeight="1" x14ac:dyDescent="0.25">
      <c r="A10" s="154">
        <v>5</v>
      </c>
      <c r="B10" s="144" t="s">
        <v>134</v>
      </c>
      <c r="C10" s="145">
        <v>10</v>
      </c>
      <c r="D10" s="146">
        <v>10</v>
      </c>
      <c r="E10" s="146">
        <v>10</v>
      </c>
      <c r="F10" s="147">
        <v>4</v>
      </c>
      <c r="G10" s="155">
        <f t="shared" si="2"/>
        <v>34</v>
      </c>
      <c r="H10" s="192"/>
      <c r="I10" s="193"/>
      <c r="J10" s="193"/>
      <c r="K10" s="136">
        <f t="shared" si="3"/>
        <v>0</v>
      </c>
      <c r="L10" s="197"/>
      <c r="M10" s="198"/>
      <c r="N10" s="132">
        <f t="shared" si="0"/>
        <v>51</v>
      </c>
      <c r="O10" s="71" t="str">
        <f t="shared" si="1"/>
        <v>II dereje</v>
      </c>
      <c r="P10" s="63"/>
    </row>
    <row r="11" spans="1:20" ht="30.75" customHeight="1" x14ac:dyDescent="0.25">
      <c r="A11" s="154">
        <v>6</v>
      </c>
      <c r="B11" s="148" t="s">
        <v>135</v>
      </c>
      <c r="C11" s="145">
        <v>20</v>
      </c>
      <c r="D11" s="146">
        <v>10</v>
      </c>
      <c r="E11" s="146">
        <v>10</v>
      </c>
      <c r="F11" s="147">
        <v>5</v>
      </c>
      <c r="G11" s="155">
        <f t="shared" si="2"/>
        <v>45</v>
      </c>
      <c r="H11" s="192"/>
      <c r="I11" s="193"/>
      <c r="J11" s="193"/>
      <c r="K11" s="136">
        <f t="shared" si="3"/>
        <v>0</v>
      </c>
      <c r="L11" s="197"/>
      <c r="M11" s="198"/>
      <c r="N11" s="132">
        <f t="shared" ref="N11:N13" si="4">G11+K11+$L$6</f>
        <v>62</v>
      </c>
      <c r="O11" s="71" t="str">
        <f t="shared" ref="O11:O13" si="5">IF(SUM(G11,K11,$L$6)&gt;71,"Ýokary",IF(SUM(G11,K11,$L$6)&gt;=56,"I dereje",IF(SUM(G11,K11,$L$6)&gt;=45,"II dereje",IF(SUM(G11,K11,$L$6)&gt;=35,"III dereje",IF(SUM(G11,K11,$L$6)&lt;=34,"Duýduryş")))))</f>
        <v>I dereje</v>
      </c>
      <c r="P11" s="63"/>
    </row>
    <row r="12" spans="1:20" ht="30.75" customHeight="1" x14ac:dyDescent="0.25">
      <c r="A12" s="154">
        <v>7</v>
      </c>
      <c r="B12" s="144" t="s">
        <v>136</v>
      </c>
      <c r="C12" s="145">
        <v>20</v>
      </c>
      <c r="D12" s="146">
        <v>10</v>
      </c>
      <c r="E12" s="146">
        <v>10</v>
      </c>
      <c r="F12" s="147">
        <v>5</v>
      </c>
      <c r="G12" s="155">
        <f t="shared" si="2"/>
        <v>45</v>
      </c>
      <c r="H12" s="192"/>
      <c r="I12" s="193"/>
      <c r="J12" s="193"/>
      <c r="K12" s="136">
        <f t="shared" si="3"/>
        <v>0</v>
      </c>
      <c r="L12" s="197"/>
      <c r="M12" s="198"/>
      <c r="N12" s="132">
        <f t="shared" si="4"/>
        <v>62</v>
      </c>
      <c r="O12" s="71" t="str">
        <f t="shared" si="5"/>
        <v>I dereje</v>
      </c>
      <c r="P12" s="63"/>
    </row>
    <row r="13" spans="1:20" ht="30.75" customHeight="1" x14ac:dyDescent="0.25">
      <c r="A13" s="154">
        <v>8</v>
      </c>
      <c r="B13" s="144" t="s">
        <v>137</v>
      </c>
      <c r="C13" s="145">
        <v>20</v>
      </c>
      <c r="D13" s="146">
        <v>10</v>
      </c>
      <c r="E13" s="146">
        <v>10</v>
      </c>
      <c r="F13" s="147">
        <v>4</v>
      </c>
      <c r="G13" s="155">
        <f t="shared" si="2"/>
        <v>44</v>
      </c>
      <c r="H13" s="192"/>
      <c r="I13" s="193"/>
      <c r="J13" s="193"/>
      <c r="K13" s="136">
        <f t="shared" si="3"/>
        <v>0</v>
      </c>
      <c r="L13" s="197"/>
      <c r="M13" s="198"/>
      <c r="N13" s="132">
        <f t="shared" si="4"/>
        <v>61</v>
      </c>
      <c r="O13" s="71" t="str">
        <f t="shared" si="5"/>
        <v>I dereje</v>
      </c>
      <c r="P13" s="63"/>
    </row>
    <row r="14" spans="1:20" ht="30.75" customHeight="1" x14ac:dyDescent="0.25">
      <c r="A14" s="154">
        <v>9</v>
      </c>
      <c r="B14" s="144" t="s">
        <v>138</v>
      </c>
      <c r="C14" s="146">
        <v>20</v>
      </c>
      <c r="D14" s="146">
        <v>10</v>
      </c>
      <c r="E14" s="146">
        <v>0</v>
      </c>
      <c r="F14" s="147">
        <v>4</v>
      </c>
      <c r="G14" s="155">
        <f t="shared" si="2"/>
        <v>34</v>
      </c>
      <c r="H14" s="192"/>
      <c r="I14" s="193"/>
      <c r="J14" s="193"/>
      <c r="K14" s="136">
        <f t="shared" si="3"/>
        <v>0</v>
      </c>
      <c r="L14" s="197"/>
      <c r="M14" s="198"/>
      <c r="N14" s="132">
        <f t="shared" si="0"/>
        <v>51</v>
      </c>
      <c r="O14" s="71" t="str">
        <f t="shared" si="1"/>
        <v>II dereje</v>
      </c>
      <c r="P14" s="63"/>
    </row>
    <row r="15" spans="1:20" ht="28.5" customHeight="1" x14ac:dyDescent="0.25">
      <c r="A15" s="11"/>
      <c r="B15" s="11"/>
      <c r="C15" s="106" t="s">
        <v>15</v>
      </c>
      <c r="D15" s="106" t="s">
        <v>17</v>
      </c>
      <c r="E15" s="107" t="s">
        <v>16</v>
      </c>
      <c r="F15" s="108" t="s">
        <v>10</v>
      </c>
      <c r="G15" s="106"/>
      <c r="H15" s="106" t="s">
        <v>12</v>
      </c>
      <c r="I15" s="107" t="s">
        <v>11</v>
      </c>
      <c r="J15" s="106" t="s">
        <v>10</v>
      </c>
      <c r="K15" s="106"/>
      <c r="L15" s="107" t="s">
        <v>86</v>
      </c>
      <c r="M15" s="11"/>
      <c r="N15" s="11"/>
      <c r="O15" s="11"/>
      <c r="S15" s="99"/>
    </row>
    <row r="16" spans="1:20" ht="18.75" x14ac:dyDescent="0.3">
      <c r="A16" s="11"/>
      <c r="B16" s="11"/>
      <c r="C16" s="11"/>
      <c r="D16" s="11"/>
      <c r="E16" s="3"/>
      <c r="F16" s="2"/>
      <c r="G16" s="11"/>
      <c r="H16" s="100"/>
      <c r="I16" s="100"/>
      <c r="J16" s="100"/>
      <c r="K16" s="100"/>
      <c r="L16" s="3"/>
      <c r="M16" s="11"/>
      <c r="N16" s="11"/>
      <c r="O16" s="11"/>
      <c r="S16" s="99"/>
    </row>
    <row r="17" spans="1:19" ht="18.75" x14ac:dyDescent="0.3">
      <c r="A17" s="11"/>
      <c r="B17" s="168" t="s">
        <v>20</v>
      </c>
      <c r="C17" s="168"/>
      <c r="D17" s="11"/>
      <c r="E17" s="11"/>
      <c r="F17" s="2"/>
      <c r="G17" s="11"/>
      <c r="H17" s="100"/>
      <c r="I17" s="100"/>
      <c r="J17" s="100"/>
      <c r="K17" s="100"/>
      <c r="L17" s="3"/>
      <c r="M17" s="11"/>
      <c r="N17" s="11"/>
      <c r="O17" s="11"/>
      <c r="S17" s="99"/>
    </row>
    <row r="18" spans="1:19" ht="27.75" customHeight="1" x14ac:dyDescent="0.3">
      <c r="A18" s="11"/>
      <c r="B18" s="4"/>
      <c r="C18" s="105" t="s">
        <v>21</v>
      </c>
      <c r="D18" s="97" t="s">
        <v>22</v>
      </c>
      <c r="E18" s="97" t="s">
        <v>23</v>
      </c>
      <c r="F18" s="2"/>
      <c r="G18" s="36"/>
      <c r="H18" s="196" t="s">
        <v>36</v>
      </c>
      <c r="I18" s="196"/>
      <c r="J18" s="196"/>
      <c r="K18" s="101"/>
      <c r="M18" s="36"/>
      <c r="N18" s="36"/>
      <c r="O18" s="11"/>
      <c r="S18" s="99"/>
    </row>
    <row r="19" spans="1:19" ht="27.75" customHeight="1" x14ac:dyDescent="0.3">
      <c r="A19" s="11"/>
      <c r="B19" s="66" t="s">
        <v>24</v>
      </c>
      <c r="C19" s="169">
        <v>9</v>
      </c>
      <c r="D19" s="170"/>
      <c r="E19" s="171"/>
      <c r="F19" s="2"/>
      <c r="G19" s="36"/>
      <c r="H19" s="190" t="s">
        <v>37</v>
      </c>
      <c r="I19" s="190"/>
      <c r="J19" s="190"/>
      <c r="K19" s="101"/>
      <c r="M19" s="36"/>
      <c r="N19" s="36"/>
      <c r="O19" s="11"/>
    </row>
    <row r="20" spans="1:19" ht="27.75" customHeight="1" x14ac:dyDescent="0.3">
      <c r="A20" s="11"/>
      <c r="B20" s="67" t="s">
        <v>25</v>
      </c>
      <c r="C20" s="64">
        <v>5</v>
      </c>
      <c r="D20" s="65">
        <v>4</v>
      </c>
      <c r="E20" s="65">
        <v>0</v>
      </c>
      <c r="F20" s="2"/>
      <c r="G20" s="36"/>
      <c r="H20" s="190" t="s">
        <v>38</v>
      </c>
      <c r="I20" s="190"/>
      <c r="J20" s="190"/>
      <c r="K20" s="101"/>
      <c r="M20" s="36"/>
      <c r="N20" s="36"/>
      <c r="O20" s="11"/>
    </row>
    <row r="21" spans="1:19" ht="27.75" customHeight="1" x14ac:dyDescent="0.3">
      <c r="A21" s="11"/>
      <c r="B21" s="67" t="s">
        <v>26</v>
      </c>
      <c r="C21" s="5">
        <f>C20/C19</f>
        <v>0.55555555555555558</v>
      </c>
      <c r="D21" s="5">
        <f>D20/C19</f>
        <v>0.44444444444444442</v>
      </c>
      <c r="E21" s="5">
        <f>E20/C19</f>
        <v>0</v>
      </c>
      <c r="F21" s="11"/>
      <c r="G21" s="36"/>
      <c r="H21" s="190" t="s">
        <v>39</v>
      </c>
      <c r="I21" s="190"/>
      <c r="J21" s="190"/>
      <c r="K21" s="101"/>
      <c r="M21" s="36"/>
      <c r="N21" s="36"/>
      <c r="O21" s="11"/>
    </row>
    <row r="22" spans="1:19" ht="27.75" customHeight="1" x14ac:dyDescent="0.25">
      <c r="A22" s="11"/>
      <c r="B22" s="95"/>
      <c r="C22" s="13"/>
      <c r="D22" s="14" t="s">
        <v>27</v>
      </c>
      <c r="E22" s="15">
        <f>SUM(C21:E21)</f>
        <v>1</v>
      </c>
      <c r="F22" s="11"/>
      <c r="G22" s="11"/>
      <c r="H22" s="190" t="s">
        <v>40</v>
      </c>
      <c r="I22" s="190"/>
      <c r="J22" s="190"/>
      <c r="K22" s="101"/>
      <c r="M22" s="11"/>
      <c r="N22" s="11"/>
      <c r="O22" s="11"/>
    </row>
    <row r="23" spans="1:19" ht="27.75" customHeight="1" x14ac:dyDescent="0.25">
      <c r="A23" s="11"/>
      <c r="B23" s="17"/>
      <c r="C23" s="17"/>
      <c r="D23" s="12"/>
      <c r="E23" s="15"/>
      <c r="F23" s="11"/>
      <c r="G23" s="11"/>
      <c r="H23" s="190" t="s">
        <v>41</v>
      </c>
      <c r="I23" s="190"/>
      <c r="J23" s="190"/>
      <c r="M23" s="11"/>
      <c r="N23" s="11"/>
      <c r="O23" s="11"/>
    </row>
    <row r="24" spans="1:19" ht="21" customHeight="1" x14ac:dyDescent="0.3">
      <c r="A24" s="11"/>
      <c r="B24" s="53" t="s">
        <v>42</v>
      </c>
      <c r="C24" s="53"/>
      <c r="D24" s="54"/>
      <c r="E24" s="55"/>
      <c r="F24" s="56"/>
      <c r="G24" s="56"/>
      <c r="H24" s="11"/>
      <c r="I24" s="11"/>
      <c r="M24" s="11"/>
      <c r="N24" s="11"/>
      <c r="O24" s="11"/>
    </row>
    <row r="25" spans="1:19" ht="21.75" customHeight="1" x14ac:dyDescent="0.3">
      <c r="A25" s="11"/>
      <c r="B25" s="53" t="s">
        <v>47</v>
      </c>
      <c r="C25" s="53" t="s">
        <v>44</v>
      </c>
      <c r="D25" s="53"/>
      <c r="E25" s="55"/>
      <c r="F25" s="56"/>
      <c r="G25" s="56"/>
      <c r="H25" s="11"/>
      <c r="I25" s="11"/>
      <c r="J25" s="11"/>
      <c r="K25" s="11"/>
      <c r="L25" s="11"/>
      <c r="M25" s="11"/>
      <c r="N25" s="11"/>
      <c r="O25" s="11"/>
    </row>
    <row r="26" spans="1:19" ht="20.25" x14ac:dyDescent="0.3">
      <c r="A26" s="11"/>
      <c r="B26" s="56"/>
      <c r="C26" s="57"/>
      <c r="D26" s="58"/>
      <c r="E26" s="55"/>
      <c r="F26" s="56"/>
      <c r="G26" s="56"/>
      <c r="H26" s="11"/>
      <c r="I26" s="11"/>
      <c r="J26" s="11"/>
      <c r="K26" s="11"/>
      <c r="L26" s="11"/>
      <c r="M26" s="11"/>
      <c r="N26" s="11"/>
      <c r="O26" s="11"/>
    </row>
    <row r="27" spans="1:19" ht="18" customHeight="1" x14ac:dyDescent="0.3">
      <c r="A27" s="11"/>
      <c r="B27" s="53" t="s">
        <v>7</v>
      </c>
      <c r="C27" s="53"/>
      <c r="D27" s="54"/>
      <c r="E27" s="56"/>
      <c r="F27" s="56"/>
      <c r="G27" s="56"/>
      <c r="I27" s="6"/>
      <c r="J27" s="16"/>
      <c r="K27" s="16"/>
      <c r="L27" s="11"/>
      <c r="M27" s="11"/>
      <c r="N27" s="11"/>
      <c r="O27" s="11"/>
    </row>
    <row r="28" spans="1:19" ht="20.25" x14ac:dyDescent="0.3">
      <c r="A28" s="11"/>
      <c r="B28" s="53"/>
      <c r="C28" s="53"/>
      <c r="D28" s="54"/>
      <c r="E28" s="56"/>
      <c r="F28" s="56"/>
      <c r="G28" s="56"/>
      <c r="I28" s="11"/>
      <c r="J28" s="11"/>
      <c r="K28" s="11"/>
      <c r="L28" s="11"/>
      <c r="M28" s="11"/>
      <c r="N28" s="11"/>
      <c r="O28" s="11"/>
    </row>
    <row r="29" spans="1:19" ht="21.75" customHeight="1" x14ac:dyDescent="0.3">
      <c r="A29" s="11"/>
      <c r="B29" s="53" t="s">
        <v>47</v>
      </c>
      <c r="C29" s="59" t="s">
        <v>44</v>
      </c>
      <c r="D29" s="54"/>
      <c r="E29" s="56"/>
      <c r="F29" s="56"/>
      <c r="G29" s="56"/>
      <c r="H29" s="11"/>
      <c r="I29" s="11"/>
      <c r="J29" s="11"/>
      <c r="K29" s="11"/>
      <c r="L29" s="11"/>
      <c r="M29" s="11"/>
      <c r="N29" s="11"/>
      <c r="O29" s="11"/>
    </row>
    <row r="30" spans="1:19" ht="20.25" x14ac:dyDescent="0.3">
      <c r="A30" s="11"/>
      <c r="B30" s="60"/>
      <c r="C30" s="53"/>
      <c r="D30" s="54"/>
      <c r="E30" s="56"/>
      <c r="F30" s="56"/>
      <c r="G30" s="56"/>
      <c r="H30" s="17"/>
      <c r="I30" s="11"/>
      <c r="J30" s="11"/>
      <c r="K30" s="11"/>
      <c r="L30" s="11"/>
      <c r="M30" s="11"/>
      <c r="N30" s="11"/>
      <c r="O30" s="11"/>
    </row>
    <row r="31" spans="1:19" ht="21" customHeight="1" x14ac:dyDescent="0.25">
      <c r="A31" s="11"/>
      <c r="B31" s="59" t="s">
        <v>67</v>
      </c>
      <c r="C31" s="59" t="s">
        <v>44</v>
      </c>
      <c r="D31" s="59"/>
      <c r="E31" s="59"/>
      <c r="F31" s="59"/>
      <c r="G31" s="59"/>
      <c r="H31" s="11"/>
      <c r="I31" s="11"/>
      <c r="J31" s="11"/>
      <c r="K31" s="11"/>
      <c r="L31" s="11"/>
      <c r="M31" s="11"/>
      <c r="N31" s="11"/>
      <c r="O31" s="11"/>
    </row>
    <row r="32" spans="1:19" ht="20.25" x14ac:dyDescent="0.3">
      <c r="A32" s="11"/>
      <c r="B32" s="61"/>
      <c r="C32" s="61"/>
      <c r="D32" s="61"/>
      <c r="E32" s="61"/>
      <c r="F32" s="61"/>
      <c r="G32" s="61"/>
      <c r="H32" s="11"/>
      <c r="I32" s="11"/>
      <c r="J32" s="11"/>
      <c r="K32" s="11"/>
      <c r="L32" s="11"/>
      <c r="M32" s="11"/>
      <c r="N32" s="11"/>
      <c r="O32" s="11"/>
    </row>
    <row r="33" spans="1:15" ht="21" customHeight="1" x14ac:dyDescent="0.25">
      <c r="A33" s="11"/>
      <c r="B33" s="59" t="s">
        <v>43</v>
      </c>
      <c r="C33" s="59" t="s">
        <v>44</v>
      </c>
      <c r="D33" s="59"/>
      <c r="E33" s="191" t="s">
        <v>45</v>
      </c>
      <c r="F33" s="191"/>
      <c r="G33" s="59" t="s">
        <v>46</v>
      </c>
      <c r="H33" s="11"/>
      <c r="I33" s="11"/>
      <c r="J33" s="11"/>
      <c r="K33" s="11"/>
      <c r="L33" s="11"/>
      <c r="M33" s="11"/>
      <c r="N33" s="11"/>
      <c r="O33" s="11"/>
    </row>
    <row r="34" spans="1:15" ht="20.25" x14ac:dyDescent="0.3">
      <c r="B34" s="62"/>
      <c r="C34" s="62"/>
      <c r="D34" s="62"/>
      <c r="E34" s="62"/>
      <c r="F34" s="62"/>
      <c r="G34" s="62"/>
    </row>
  </sheetData>
  <mergeCells count="21">
    <mergeCell ref="H6:J14"/>
    <mergeCell ref="L6:M14"/>
    <mergeCell ref="B17:C17"/>
    <mergeCell ref="H18:J18"/>
    <mergeCell ref="C19:E19"/>
    <mergeCell ref="H19:J19"/>
    <mergeCell ref="H20:J20"/>
    <mergeCell ref="H21:J21"/>
    <mergeCell ref="H22:J22"/>
    <mergeCell ref="H23:J23"/>
    <mergeCell ref="E33:F33"/>
    <mergeCell ref="H4:J4"/>
    <mergeCell ref="N4:N5"/>
    <mergeCell ref="O4:O5"/>
    <mergeCell ref="L5:M5"/>
    <mergeCell ref="A2:O2"/>
    <mergeCell ref="A3:B3"/>
    <mergeCell ref="C3:N3"/>
    <mergeCell ref="A4:A5"/>
    <mergeCell ref="B4:B5"/>
    <mergeCell ref="C4:F4"/>
  </mergeCells>
  <conditionalFormatting sqref="N6:N14"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G14 K6:K14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1" right="0.2" top="0.25" bottom="0" header="0" footer="0"/>
  <pageSetup paperSize="9" scale="58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T33"/>
  <sheetViews>
    <sheetView zoomScale="85" zoomScaleNormal="85" workbookViewId="0">
      <selection sqref="A1:XFD1048576"/>
    </sheetView>
  </sheetViews>
  <sheetFormatPr defaultColWidth="9.140625" defaultRowHeight="15" x14ac:dyDescent="0.25"/>
  <cols>
    <col min="1" max="1" width="4.42578125" style="1" customWidth="1"/>
    <col min="2" max="2" width="50.140625" style="10" customWidth="1"/>
    <col min="3" max="5" width="16.140625" style="10" customWidth="1"/>
    <col min="6" max="6" width="15.28515625" style="10" customWidth="1"/>
    <col min="7" max="7" width="8.7109375" style="10" customWidth="1"/>
    <col min="8" max="10" width="15.28515625" style="10" customWidth="1"/>
    <col min="11" max="11" width="8.7109375" style="10" customWidth="1"/>
    <col min="12" max="12" width="27.7109375" style="10" customWidth="1"/>
    <col min="13" max="13" width="11" style="10" customWidth="1"/>
    <col min="14" max="14" width="12.42578125" style="10" bestFit="1" customWidth="1"/>
    <col min="15" max="15" width="16.42578125" style="10" customWidth="1"/>
    <col min="16" max="16" width="20.85546875" style="10" customWidth="1"/>
    <col min="17" max="16384" width="9.140625" style="10"/>
  </cols>
  <sheetData>
    <row r="1" spans="1:20" s="11" customFormat="1" ht="15.75" thickBot="1" x14ac:dyDescent="0.3"/>
    <row r="2" spans="1:20" s="11" customFormat="1" ht="35.25" customHeight="1" x14ac:dyDescent="0.25">
      <c r="A2" s="172" t="s">
        <v>91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4"/>
    </row>
    <row r="3" spans="1:20" ht="29.25" customHeight="1" thickBot="1" x14ac:dyDescent="0.3">
      <c r="A3" s="175" t="s">
        <v>85</v>
      </c>
      <c r="B3" s="176"/>
      <c r="C3" s="176" t="s">
        <v>6</v>
      </c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21" t="s">
        <v>18</v>
      </c>
    </row>
    <row r="4" spans="1:20" ht="61.5" customHeight="1" x14ac:dyDescent="0.25">
      <c r="A4" s="177" t="s">
        <v>0</v>
      </c>
      <c r="B4" s="179" t="s">
        <v>1</v>
      </c>
      <c r="C4" s="181" t="s">
        <v>2</v>
      </c>
      <c r="D4" s="182"/>
      <c r="E4" s="182"/>
      <c r="F4" s="182"/>
      <c r="G4" s="113" t="s">
        <v>19</v>
      </c>
      <c r="H4" s="183" t="s">
        <v>3</v>
      </c>
      <c r="I4" s="184"/>
      <c r="J4" s="184"/>
      <c r="K4" s="109" t="s">
        <v>13</v>
      </c>
      <c r="L4" s="122" t="s">
        <v>8</v>
      </c>
      <c r="M4" s="113" t="s">
        <v>14</v>
      </c>
      <c r="N4" s="181" t="s">
        <v>4</v>
      </c>
      <c r="O4" s="186" t="s">
        <v>28</v>
      </c>
    </row>
    <row r="5" spans="1:20" ht="68.25" customHeight="1" x14ac:dyDescent="0.25">
      <c r="A5" s="178"/>
      <c r="B5" s="180"/>
      <c r="C5" s="114" t="s">
        <v>30</v>
      </c>
      <c r="D5" s="97" t="s">
        <v>29</v>
      </c>
      <c r="E5" s="96" t="s">
        <v>9</v>
      </c>
      <c r="F5" s="96" t="s">
        <v>88</v>
      </c>
      <c r="G5" s="98" t="s">
        <v>5</v>
      </c>
      <c r="H5" s="114" t="s">
        <v>30</v>
      </c>
      <c r="I5" s="96" t="s">
        <v>9</v>
      </c>
      <c r="J5" s="96" t="s">
        <v>88</v>
      </c>
      <c r="K5" s="98" t="s">
        <v>5</v>
      </c>
      <c r="L5" s="188" t="s">
        <v>87</v>
      </c>
      <c r="M5" s="189"/>
      <c r="N5" s="185"/>
      <c r="O5" s="187"/>
      <c r="Q5" s="100"/>
      <c r="R5" s="100"/>
      <c r="S5" s="100"/>
      <c r="T5" s="100"/>
    </row>
    <row r="6" spans="1:20" ht="30.75" customHeight="1" x14ac:dyDescent="0.25">
      <c r="A6" s="104">
        <v>1</v>
      </c>
      <c r="B6" s="142" t="s">
        <v>146</v>
      </c>
      <c r="C6" s="139">
        <v>20</v>
      </c>
      <c r="D6" s="68">
        <v>10</v>
      </c>
      <c r="E6" s="68">
        <v>5</v>
      </c>
      <c r="F6" s="128">
        <v>4</v>
      </c>
      <c r="G6" s="136">
        <f>C6+D6+F6+E6</f>
        <v>39</v>
      </c>
      <c r="H6" s="192" t="s">
        <v>89</v>
      </c>
      <c r="I6" s="193"/>
      <c r="J6" s="193"/>
      <c r="K6" s="98">
        <v>0</v>
      </c>
      <c r="L6" s="197">
        <v>17</v>
      </c>
      <c r="M6" s="198"/>
      <c r="N6" s="132">
        <f>G6+K6+$L$6</f>
        <v>56</v>
      </c>
      <c r="O6" s="71" t="str">
        <f>IF(SUM(G6,K6,$L$6)&gt;71,"Ýokary",IF(SUM(G6,K6,$L$6)&gt;=56,"I dereje",IF(SUM(G6,K6,$L$6)&gt;=45,"II dereje",IF(SUM(G6,K6,$L$6)&gt;=35,"III dereje",IF(SUM(G6,K6,$L$6)&lt;=34,"Duýduryş")))))</f>
        <v>I dereje</v>
      </c>
    </row>
    <row r="7" spans="1:20" ht="30.75" customHeight="1" x14ac:dyDescent="0.25">
      <c r="A7" s="104">
        <v>2</v>
      </c>
      <c r="B7" s="142" t="s">
        <v>147</v>
      </c>
      <c r="C7" s="139">
        <v>20</v>
      </c>
      <c r="D7" s="68">
        <v>10</v>
      </c>
      <c r="E7" s="68">
        <v>5</v>
      </c>
      <c r="F7" s="128">
        <v>4</v>
      </c>
      <c r="G7" s="136">
        <f>C7+D7+F7+E7</f>
        <v>39</v>
      </c>
      <c r="H7" s="192"/>
      <c r="I7" s="193"/>
      <c r="J7" s="193"/>
      <c r="K7" s="98">
        <f>H7+I7+J7</f>
        <v>0</v>
      </c>
      <c r="L7" s="197"/>
      <c r="M7" s="198"/>
      <c r="N7" s="132">
        <f t="shared" ref="N7:N13" si="0">G7+K7+$L$6</f>
        <v>56</v>
      </c>
      <c r="O7" s="71" t="str">
        <f t="shared" ref="O7:O13" si="1">IF(SUM(G7,K7,$L$6)&gt;71,"Ýokary",IF(SUM(G7,K7,$L$6)&gt;=56,"I dereje",IF(SUM(G7,K7,$L$6)&gt;=45,"II dereje",IF(SUM(G7,K7,$L$6)&gt;=35,"III dereje",IF(SUM(G7,K7,$L$6)&lt;=34,"Duýduryş")))))</f>
        <v>I dereje</v>
      </c>
    </row>
    <row r="8" spans="1:20" ht="30.75" customHeight="1" x14ac:dyDescent="0.25">
      <c r="A8" s="104">
        <v>3</v>
      </c>
      <c r="B8" s="142" t="s">
        <v>148</v>
      </c>
      <c r="C8" s="139">
        <v>20</v>
      </c>
      <c r="D8" s="68">
        <v>10</v>
      </c>
      <c r="E8" s="68">
        <v>10</v>
      </c>
      <c r="F8" s="128">
        <v>4</v>
      </c>
      <c r="G8" s="136">
        <f t="shared" ref="G8:G13" si="2">C8+D8+F8+E8</f>
        <v>44</v>
      </c>
      <c r="H8" s="192"/>
      <c r="I8" s="193"/>
      <c r="J8" s="193"/>
      <c r="K8" s="98">
        <f t="shared" ref="K8:K13" si="3">H8+I8+J8</f>
        <v>0</v>
      </c>
      <c r="L8" s="197"/>
      <c r="M8" s="198"/>
      <c r="N8" s="132">
        <f t="shared" si="0"/>
        <v>61</v>
      </c>
      <c r="O8" s="71" t="str">
        <f t="shared" si="1"/>
        <v>I dereje</v>
      </c>
    </row>
    <row r="9" spans="1:20" ht="30.75" customHeight="1" x14ac:dyDescent="0.25">
      <c r="A9" s="104">
        <v>4</v>
      </c>
      <c r="B9" s="142" t="s">
        <v>149</v>
      </c>
      <c r="C9" s="139">
        <v>20</v>
      </c>
      <c r="D9" s="68">
        <v>10</v>
      </c>
      <c r="E9" s="68">
        <v>10</v>
      </c>
      <c r="F9" s="128">
        <v>4</v>
      </c>
      <c r="G9" s="136">
        <f t="shared" si="2"/>
        <v>44</v>
      </c>
      <c r="H9" s="192"/>
      <c r="I9" s="193"/>
      <c r="J9" s="193"/>
      <c r="K9" s="98">
        <f t="shared" si="3"/>
        <v>0</v>
      </c>
      <c r="L9" s="197"/>
      <c r="M9" s="198"/>
      <c r="N9" s="132">
        <f t="shared" si="0"/>
        <v>61</v>
      </c>
      <c r="O9" s="71" t="str">
        <f t="shared" si="1"/>
        <v>I dereje</v>
      </c>
      <c r="P9" s="63"/>
    </row>
    <row r="10" spans="1:20" ht="30.75" customHeight="1" x14ac:dyDescent="0.25">
      <c r="A10" s="104">
        <v>5</v>
      </c>
      <c r="B10" s="143" t="s">
        <v>150</v>
      </c>
      <c r="C10" s="139">
        <v>20</v>
      </c>
      <c r="D10" s="68">
        <v>10</v>
      </c>
      <c r="E10" s="68">
        <v>10</v>
      </c>
      <c r="F10" s="128">
        <v>4</v>
      </c>
      <c r="G10" s="136">
        <f t="shared" si="2"/>
        <v>44</v>
      </c>
      <c r="H10" s="192"/>
      <c r="I10" s="193"/>
      <c r="J10" s="193"/>
      <c r="K10" s="98">
        <f t="shared" si="3"/>
        <v>0</v>
      </c>
      <c r="L10" s="197"/>
      <c r="M10" s="198"/>
      <c r="N10" s="132">
        <f t="shared" si="0"/>
        <v>61</v>
      </c>
      <c r="O10" s="71" t="str">
        <f t="shared" si="1"/>
        <v>I dereje</v>
      </c>
      <c r="P10" s="63"/>
    </row>
    <row r="11" spans="1:20" ht="30.75" customHeight="1" x14ac:dyDescent="0.25">
      <c r="A11" s="104">
        <v>6</v>
      </c>
      <c r="B11" s="142" t="s">
        <v>151</v>
      </c>
      <c r="C11" s="139">
        <v>30</v>
      </c>
      <c r="D11" s="68">
        <v>10</v>
      </c>
      <c r="E11" s="68">
        <v>10</v>
      </c>
      <c r="F11" s="128">
        <v>4</v>
      </c>
      <c r="G11" s="136">
        <f t="shared" si="2"/>
        <v>54</v>
      </c>
      <c r="H11" s="192"/>
      <c r="I11" s="193"/>
      <c r="J11" s="193"/>
      <c r="K11" s="98">
        <f t="shared" si="3"/>
        <v>0</v>
      </c>
      <c r="L11" s="197"/>
      <c r="M11" s="198"/>
      <c r="N11" s="132">
        <f t="shared" si="0"/>
        <v>71</v>
      </c>
      <c r="O11" s="71" t="str">
        <f t="shared" si="1"/>
        <v>I dereje</v>
      </c>
      <c r="P11" s="63"/>
    </row>
    <row r="12" spans="1:20" ht="30.75" customHeight="1" x14ac:dyDescent="0.25">
      <c r="A12" s="104">
        <v>7</v>
      </c>
      <c r="B12" s="142" t="s">
        <v>152</v>
      </c>
      <c r="C12" s="139">
        <v>10</v>
      </c>
      <c r="D12" s="68">
        <v>10</v>
      </c>
      <c r="E12" s="68">
        <v>5</v>
      </c>
      <c r="F12" s="128">
        <v>3</v>
      </c>
      <c r="G12" s="136">
        <f t="shared" si="2"/>
        <v>28</v>
      </c>
      <c r="H12" s="192"/>
      <c r="I12" s="193"/>
      <c r="J12" s="193"/>
      <c r="K12" s="98">
        <f t="shared" si="3"/>
        <v>0</v>
      </c>
      <c r="L12" s="197"/>
      <c r="M12" s="198"/>
      <c r="N12" s="132">
        <f t="shared" si="0"/>
        <v>45</v>
      </c>
      <c r="O12" s="71" t="str">
        <f t="shared" si="1"/>
        <v>II dereje</v>
      </c>
      <c r="P12" s="63"/>
    </row>
    <row r="13" spans="1:20" ht="30.75" customHeight="1" x14ac:dyDescent="0.25">
      <c r="A13" s="104">
        <v>8</v>
      </c>
      <c r="B13" s="142" t="s">
        <v>153</v>
      </c>
      <c r="C13" s="139">
        <v>20</v>
      </c>
      <c r="D13" s="68">
        <v>10</v>
      </c>
      <c r="E13" s="68">
        <v>5</v>
      </c>
      <c r="F13" s="128">
        <v>4</v>
      </c>
      <c r="G13" s="136">
        <f t="shared" si="2"/>
        <v>39</v>
      </c>
      <c r="H13" s="192"/>
      <c r="I13" s="193"/>
      <c r="J13" s="193"/>
      <c r="K13" s="98">
        <f t="shared" si="3"/>
        <v>0</v>
      </c>
      <c r="L13" s="197"/>
      <c r="M13" s="198"/>
      <c r="N13" s="132">
        <f t="shared" si="0"/>
        <v>56</v>
      </c>
      <c r="O13" s="71" t="str">
        <f t="shared" si="1"/>
        <v>I dereje</v>
      </c>
      <c r="P13" s="63"/>
    </row>
    <row r="14" spans="1:20" ht="28.5" customHeight="1" x14ac:dyDescent="0.25">
      <c r="A14" s="11"/>
      <c r="B14" s="11"/>
      <c r="C14" s="106" t="s">
        <v>15</v>
      </c>
      <c r="D14" s="106" t="s">
        <v>17</v>
      </c>
      <c r="E14" s="107" t="s">
        <v>16</v>
      </c>
      <c r="F14" s="108" t="s">
        <v>10</v>
      </c>
      <c r="G14" s="106"/>
      <c r="H14" s="106" t="s">
        <v>12</v>
      </c>
      <c r="I14" s="107" t="s">
        <v>11</v>
      </c>
      <c r="J14" s="106" t="s">
        <v>10</v>
      </c>
      <c r="K14" s="106"/>
      <c r="L14" s="107" t="s">
        <v>86</v>
      </c>
      <c r="M14" s="11"/>
      <c r="N14" s="11"/>
      <c r="O14" s="11"/>
      <c r="S14" s="99"/>
    </row>
    <row r="15" spans="1:20" ht="18.75" x14ac:dyDescent="0.3">
      <c r="A15" s="11"/>
      <c r="B15" s="11"/>
      <c r="C15" s="11"/>
      <c r="D15" s="11"/>
      <c r="E15" s="3"/>
      <c r="F15" s="2"/>
      <c r="G15" s="11"/>
      <c r="H15" s="100"/>
      <c r="I15" s="100"/>
      <c r="J15" s="100"/>
      <c r="K15" s="100"/>
      <c r="L15" s="3"/>
      <c r="M15" s="11"/>
      <c r="N15" s="11"/>
      <c r="O15" s="11"/>
      <c r="S15" s="99"/>
    </row>
    <row r="16" spans="1:20" ht="18.75" x14ac:dyDescent="0.3">
      <c r="A16" s="11"/>
      <c r="B16" s="168" t="s">
        <v>20</v>
      </c>
      <c r="C16" s="168"/>
      <c r="D16" s="11"/>
      <c r="E16" s="11"/>
      <c r="F16" s="2"/>
      <c r="G16" s="11"/>
      <c r="H16" s="100"/>
      <c r="I16" s="100"/>
      <c r="J16" s="100"/>
      <c r="K16" s="100"/>
      <c r="L16" s="3"/>
      <c r="M16" s="11"/>
      <c r="N16" s="11"/>
      <c r="O16" s="11"/>
      <c r="S16" s="99"/>
    </row>
    <row r="17" spans="1:19" ht="27.75" customHeight="1" x14ac:dyDescent="0.3">
      <c r="A17" s="11"/>
      <c r="B17" s="4"/>
      <c r="C17" s="105" t="s">
        <v>21</v>
      </c>
      <c r="D17" s="97" t="s">
        <v>22</v>
      </c>
      <c r="E17" s="97" t="s">
        <v>23</v>
      </c>
      <c r="F17" s="2"/>
      <c r="G17" s="36"/>
      <c r="H17" s="196" t="s">
        <v>36</v>
      </c>
      <c r="I17" s="196"/>
      <c r="J17" s="196"/>
      <c r="K17" s="101"/>
      <c r="M17" s="36"/>
      <c r="N17" s="36"/>
      <c r="O17" s="11"/>
      <c r="S17" s="99"/>
    </row>
    <row r="18" spans="1:19" ht="27.75" customHeight="1" x14ac:dyDescent="0.3">
      <c r="A18" s="11"/>
      <c r="B18" s="66" t="s">
        <v>24</v>
      </c>
      <c r="C18" s="169">
        <v>8</v>
      </c>
      <c r="D18" s="170"/>
      <c r="E18" s="171"/>
      <c r="F18" s="2"/>
      <c r="G18" s="36"/>
      <c r="H18" s="190" t="s">
        <v>37</v>
      </c>
      <c r="I18" s="190"/>
      <c r="J18" s="190"/>
      <c r="K18" s="101"/>
      <c r="M18" s="36"/>
      <c r="N18" s="36"/>
      <c r="O18" s="11"/>
    </row>
    <row r="19" spans="1:19" ht="27.75" customHeight="1" x14ac:dyDescent="0.3">
      <c r="A19" s="11"/>
      <c r="B19" s="67" t="s">
        <v>25</v>
      </c>
      <c r="C19" s="64">
        <v>7</v>
      </c>
      <c r="D19" s="65">
        <v>1</v>
      </c>
      <c r="E19" s="65">
        <v>0</v>
      </c>
      <c r="F19" s="2"/>
      <c r="G19" s="36"/>
      <c r="H19" s="190" t="s">
        <v>38</v>
      </c>
      <c r="I19" s="190"/>
      <c r="J19" s="190"/>
      <c r="K19" s="101"/>
      <c r="M19" s="36"/>
      <c r="N19" s="36"/>
      <c r="O19" s="11"/>
    </row>
    <row r="20" spans="1:19" ht="27.75" customHeight="1" x14ac:dyDescent="0.3">
      <c r="A20" s="11"/>
      <c r="B20" s="67" t="s">
        <v>26</v>
      </c>
      <c r="C20" s="5">
        <f>C19/C18</f>
        <v>0.875</v>
      </c>
      <c r="D20" s="5">
        <f>D19/C18</f>
        <v>0.125</v>
      </c>
      <c r="E20" s="5">
        <f>E19/C18</f>
        <v>0</v>
      </c>
      <c r="F20" s="11"/>
      <c r="G20" s="36"/>
      <c r="H20" s="190" t="s">
        <v>39</v>
      </c>
      <c r="I20" s="190"/>
      <c r="J20" s="190"/>
      <c r="K20" s="101"/>
      <c r="M20" s="36"/>
      <c r="N20" s="36"/>
      <c r="O20" s="11"/>
    </row>
    <row r="21" spans="1:19" ht="27.75" customHeight="1" x14ac:dyDescent="0.25">
      <c r="A21" s="11"/>
      <c r="B21" s="95"/>
      <c r="C21" s="13"/>
      <c r="D21" s="14" t="s">
        <v>27</v>
      </c>
      <c r="E21" s="15">
        <f>SUM(C20:E20)</f>
        <v>1</v>
      </c>
      <c r="F21" s="11"/>
      <c r="G21" s="11"/>
      <c r="H21" s="190" t="s">
        <v>40</v>
      </c>
      <c r="I21" s="190"/>
      <c r="J21" s="190"/>
      <c r="K21" s="101"/>
      <c r="M21" s="11"/>
      <c r="N21" s="11"/>
      <c r="O21" s="11"/>
    </row>
    <row r="22" spans="1:19" ht="27.75" customHeight="1" x14ac:dyDescent="0.25">
      <c r="A22" s="11"/>
      <c r="B22" s="17"/>
      <c r="C22" s="17"/>
      <c r="D22" s="12"/>
      <c r="E22" s="15"/>
      <c r="F22" s="11"/>
      <c r="G22" s="11"/>
      <c r="H22" s="190" t="s">
        <v>41</v>
      </c>
      <c r="I22" s="190"/>
      <c r="J22" s="190"/>
      <c r="M22" s="11"/>
      <c r="N22" s="11"/>
      <c r="O22" s="11"/>
    </row>
    <row r="23" spans="1:19" ht="21" customHeight="1" x14ac:dyDescent="0.3">
      <c r="A23" s="11"/>
      <c r="B23" s="53" t="s">
        <v>42</v>
      </c>
      <c r="C23" s="53"/>
      <c r="D23" s="54"/>
      <c r="E23" s="55"/>
      <c r="F23" s="56"/>
      <c r="G23" s="56"/>
      <c r="H23" s="11"/>
      <c r="I23" s="11"/>
      <c r="M23" s="11"/>
      <c r="N23" s="11"/>
      <c r="O23" s="11"/>
    </row>
    <row r="24" spans="1:19" ht="21.75" customHeight="1" x14ac:dyDescent="0.3">
      <c r="A24" s="11"/>
      <c r="B24" s="53" t="s">
        <v>47</v>
      </c>
      <c r="C24" s="53" t="s">
        <v>44</v>
      </c>
      <c r="D24" s="53"/>
      <c r="E24" s="55"/>
      <c r="F24" s="56"/>
      <c r="G24" s="56"/>
      <c r="H24" s="11"/>
      <c r="I24" s="11"/>
      <c r="J24" s="11"/>
      <c r="K24" s="11"/>
      <c r="L24" s="11"/>
      <c r="M24" s="11"/>
      <c r="N24" s="11"/>
      <c r="O24" s="11"/>
    </row>
    <row r="25" spans="1:19" ht="20.25" x14ac:dyDescent="0.3">
      <c r="A25" s="11"/>
      <c r="B25" s="56"/>
      <c r="C25" s="57"/>
      <c r="D25" s="58"/>
      <c r="E25" s="55"/>
      <c r="F25" s="56"/>
      <c r="G25" s="56"/>
      <c r="H25" s="11"/>
      <c r="I25" s="11"/>
      <c r="J25" s="11"/>
      <c r="K25" s="11"/>
      <c r="L25" s="11"/>
      <c r="M25" s="11"/>
      <c r="N25" s="11"/>
      <c r="O25" s="11"/>
    </row>
    <row r="26" spans="1:19" ht="18" customHeight="1" x14ac:dyDescent="0.3">
      <c r="A26" s="11"/>
      <c r="B26" s="53" t="s">
        <v>7</v>
      </c>
      <c r="C26" s="53"/>
      <c r="D26" s="54"/>
      <c r="E26" s="56"/>
      <c r="F26" s="56"/>
      <c r="G26" s="56"/>
      <c r="I26" s="6"/>
      <c r="J26" s="16"/>
      <c r="K26" s="16"/>
      <c r="L26" s="11"/>
      <c r="M26" s="11"/>
      <c r="N26" s="11"/>
      <c r="O26" s="11"/>
    </row>
    <row r="27" spans="1:19" ht="20.25" x14ac:dyDescent="0.3">
      <c r="A27" s="11"/>
      <c r="B27" s="53"/>
      <c r="C27" s="53"/>
      <c r="D27" s="54"/>
      <c r="E27" s="56"/>
      <c r="F27" s="56"/>
      <c r="G27" s="56"/>
      <c r="I27" s="11"/>
      <c r="J27" s="11"/>
      <c r="K27" s="11"/>
      <c r="L27" s="11"/>
      <c r="M27" s="11"/>
      <c r="N27" s="11"/>
      <c r="O27" s="11"/>
    </row>
    <row r="28" spans="1:19" ht="21.75" customHeight="1" x14ac:dyDescent="0.3">
      <c r="A28" s="11"/>
      <c r="B28" s="53" t="s">
        <v>47</v>
      </c>
      <c r="C28" s="59" t="s">
        <v>44</v>
      </c>
      <c r="D28" s="54"/>
      <c r="E28" s="56"/>
      <c r="F28" s="56"/>
      <c r="G28" s="56"/>
      <c r="H28" s="11"/>
      <c r="I28" s="11"/>
      <c r="J28" s="11"/>
      <c r="K28" s="11"/>
      <c r="L28" s="11"/>
      <c r="M28" s="11"/>
      <c r="N28" s="11"/>
      <c r="O28" s="11"/>
    </row>
    <row r="29" spans="1:19" ht="20.25" x14ac:dyDescent="0.3">
      <c r="A29" s="11"/>
      <c r="B29" s="60"/>
      <c r="C29" s="53"/>
      <c r="D29" s="54"/>
      <c r="E29" s="56"/>
      <c r="F29" s="56"/>
      <c r="G29" s="56"/>
      <c r="H29" s="17"/>
      <c r="I29" s="11"/>
      <c r="J29" s="11"/>
      <c r="K29" s="11"/>
      <c r="L29" s="11"/>
      <c r="M29" s="11"/>
      <c r="N29" s="11"/>
      <c r="O29" s="11"/>
    </row>
    <row r="30" spans="1:19" ht="21" customHeight="1" x14ac:dyDescent="0.25">
      <c r="A30" s="11"/>
      <c r="B30" s="59" t="s">
        <v>67</v>
      </c>
      <c r="C30" s="59" t="s">
        <v>44</v>
      </c>
      <c r="D30" s="59"/>
      <c r="E30" s="59"/>
      <c r="F30" s="59"/>
      <c r="G30" s="59"/>
      <c r="H30" s="11"/>
      <c r="I30" s="11"/>
      <c r="J30" s="11"/>
      <c r="K30" s="11"/>
      <c r="L30" s="11"/>
      <c r="M30" s="11"/>
      <c r="N30" s="11"/>
      <c r="O30" s="11"/>
    </row>
    <row r="31" spans="1:19" ht="20.25" x14ac:dyDescent="0.3">
      <c r="A31" s="11"/>
      <c r="B31" s="61"/>
      <c r="C31" s="61"/>
      <c r="D31" s="61"/>
      <c r="E31" s="61"/>
      <c r="F31" s="61"/>
      <c r="G31" s="61"/>
      <c r="H31" s="11"/>
      <c r="I31" s="11"/>
      <c r="J31" s="11"/>
      <c r="K31" s="11"/>
      <c r="L31" s="11"/>
      <c r="M31" s="11"/>
      <c r="N31" s="11"/>
      <c r="O31" s="11"/>
    </row>
    <row r="32" spans="1:19" ht="21" customHeight="1" x14ac:dyDescent="0.25">
      <c r="A32" s="11"/>
      <c r="B32" s="59" t="s">
        <v>43</v>
      </c>
      <c r="C32" s="59" t="s">
        <v>44</v>
      </c>
      <c r="D32" s="59"/>
      <c r="E32" s="191" t="s">
        <v>45</v>
      </c>
      <c r="F32" s="191"/>
      <c r="G32" s="59" t="s">
        <v>46</v>
      </c>
      <c r="H32" s="11"/>
      <c r="I32" s="11"/>
      <c r="J32" s="11"/>
      <c r="K32" s="11"/>
      <c r="L32" s="11"/>
      <c r="M32" s="11"/>
      <c r="N32" s="11"/>
      <c r="O32" s="11"/>
    </row>
    <row r="33" spans="2:7" ht="20.25" x14ac:dyDescent="0.3">
      <c r="B33" s="62"/>
      <c r="C33" s="62"/>
      <c r="D33" s="62"/>
      <c r="E33" s="62"/>
      <c r="F33" s="62"/>
      <c r="G33" s="62"/>
    </row>
  </sheetData>
  <mergeCells count="21">
    <mergeCell ref="H22:J22"/>
    <mergeCell ref="E32:F32"/>
    <mergeCell ref="H4:J4"/>
    <mergeCell ref="N4:N5"/>
    <mergeCell ref="O4:O5"/>
    <mergeCell ref="L5:M5"/>
    <mergeCell ref="H6:J13"/>
    <mergeCell ref="L6:M13"/>
    <mergeCell ref="H20:J20"/>
    <mergeCell ref="H21:J21"/>
    <mergeCell ref="A2:O2"/>
    <mergeCell ref="A3:B3"/>
    <mergeCell ref="C3:N3"/>
    <mergeCell ref="A4:A5"/>
    <mergeCell ref="B4:B5"/>
    <mergeCell ref="C4:F4"/>
    <mergeCell ref="B16:C16"/>
    <mergeCell ref="H17:J17"/>
    <mergeCell ref="C18:E18"/>
    <mergeCell ref="H18:J18"/>
    <mergeCell ref="H19:J19"/>
  </mergeCells>
  <conditionalFormatting sqref="N6:N13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G13 K6:K13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1" right="0.2" top="0.25" bottom="0" header="0" footer="0"/>
  <pageSetup paperSize="9" scale="58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T32"/>
  <sheetViews>
    <sheetView topLeftCell="A4" zoomScale="85" zoomScaleNormal="85" workbookViewId="0">
      <selection activeCell="A2" sqref="A2:O32"/>
    </sheetView>
  </sheetViews>
  <sheetFormatPr defaultColWidth="9.140625" defaultRowHeight="15" x14ac:dyDescent="0.25"/>
  <cols>
    <col min="1" max="1" width="4.42578125" style="1" customWidth="1"/>
    <col min="2" max="2" width="50.140625" style="10" customWidth="1"/>
    <col min="3" max="5" width="16.140625" style="10" customWidth="1"/>
    <col min="6" max="6" width="15.28515625" style="10" customWidth="1"/>
    <col min="7" max="7" width="8.7109375" style="10" customWidth="1"/>
    <col min="8" max="10" width="15.28515625" style="10" customWidth="1"/>
    <col min="11" max="11" width="8.7109375" style="10" customWidth="1"/>
    <col min="12" max="12" width="27.7109375" style="10" customWidth="1"/>
    <col min="13" max="13" width="11" style="10" customWidth="1"/>
    <col min="14" max="14" width="12.42578125" style="10" bestFit="1" customWidth="1"/>
    <col min="15" max="15" width="16.42578125" style="10" customWidth="1"/>
    <col min="16" max="16" width="20.85546875" style="10" customWidth="1"/>
    <col min="17" max="16384" width="9.140625" style="10"/>
  </cols>
  <sheetData>
    <row r="1" spans="1:20" s="11" customFormat="1" ht="15.75" thickBot="1" x14ac:dyDescent="0.3"/>
    <row r="2" spans="1:20" s="11" customFormat="1" ht="35.25" customHeight="1" x14ac:dyDescent="0.25">
      <c r="A2" s="172" t="s">
        <v>92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4"/>
    </row>
    <row r="3" spans="1:20" ht="29.25" customHeight="1" thickBot="1" x14ac:dyDescent="0.3">
      <c r="A3" s="175" t="s">
        <v>85</v>
      </c>
      <c r="B3" s="176"/>
      <c r="C3" s="176" t="s">
        <v>6</v>
      </c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21" t="s">
        <v>18</v>
      </c>
    </row>
    <row r="4" spans="1:20" ht="61.5" customHeight="1" x14ac:dyDescent="0.25">
      <c r="A4" s="177" t="s">
        <v>0</v>
      </c>
      <c r="B4" s="179" t="s">
        <v>1</v>
      </c>
      <c r="C4" s="181" t="s">
        <v>2</v>
      </c>
      <c r="D4" s="182"/>
      <c r="E4" s="182"/>
      <c r="F4" s="182"/>
      <c r="G4" s="113" t="s">
        <v>19</v>
      </c>
      <c r="H4" s="183" t="s">
        <v>3</v>
      </c>
      <c r="I4" s="184"/>
      <c r="J4" s="184"/>
      <c r="K4" s="109" t="s">
        <v>13</v>
      </c>
      <c r="L4" s="122" t="s">
        <v>8</v>
      </c>
      <c r="M4" s="113" t="s">
        <v>14</v>
      </c>
      <c r="N4" s="181" t="s">
        <v>4</v>
      </c>
      <c r="O4" s="186" t="s">
        <v>28</v>
      </c>
    </row>
    <row r="5" spans="1:20" ht="68.25" customHeight="1" x14ac:dyDescent="0.25">
      <c r="A5" s="178"/>
      <c r="B5" s="180"/>
      <c r="C5" s="114" t="s">
        <v>30</v>
      </c>
      <c r="D5" s="97" t="s">
        <v>29</v>
      </c>
      <c r="E5" s="96" t="s">
        <v>9</v>
      </c>
      <c r="F5" s="96" t="s">
        <v>88</v>
      </c>
      <c r="G5" s="98" t="s">
        <v>5</v>
      </c>
      <c r="H5" s="114" t="s">
        <v>30</v>
      </c>
      <c r="I5" s="96" t="s">
        <v>9</v>
      </c>
      <c r="J5" s="96" t="s">
        <v>88</v>
      </c>
      <c r="K5" s="98" t="s">
        <v>5</v>
      </c>
      <c r="L5" s="188" t="s">
        <v>87</v>
      </c>
      <c r="M5" s="189"/>
      <c r="N5" s="185"/>
      <c r="O5" s="187"/>
      <c r="Q5" s="100"/>
      <c r="R5" s="100"/>
      <c r="S5" s="100"/>
      <c r="T5" s="100"/>
    </row>
    <row r="6" spans="1:20" ht="30.75" customHeight="1" x14ac:dyDescent="0.25">
      <c r="A6" s="104">
        <v>1</v>
      </c>
      <c r="B6" s="144" t="s">
        <v>139</v>
      </c>
      <c r="C6" s="145">
        <v>20</v>
      </c>
      <c r="D6" s="146">
        <v>10</v>
      </c>
      <c r="E6" s="146">
        <v>10</v>
      </c>
      <c r="F6" s="147">
        <v>5</v>
      </c>
      <c r="G6" s="98">
        <f>C6+D6+F6+E6</f>
        <v>45</v>
      </c>
      <c r="H6" s="192" t="s">
        <v>89</v>
      </c>
      <c r="I6" s="193"/>
      <c r="J6" s="193"/>
      <c r="K6" s="98">
        <v>0</v>
      </c>
      <c r="L6" s="197">
        <v>17</v>
      </c>
      <c r="M6" s="198"/>
      <c r="N6" s="132">
        <f>G6+K6+$L$6</f>
        <v>62</v>
      </c>
      <c r="O6" s="71" t="str">
        <f>IF(SUM(G6,K6,$L$6)&gt;71,"Ýokary",IF(SUM(G6,K6,$L$6)&gt;=56,"I dereje",IF(SUM(G6,K6,$L$6)&gt;=45,"II dereje",IF(SUM(G6,K6,$L$6)&gt;=35,"III dereje",IF(SUM(G6,K6,$L$6)&lt;=34,"Duýduryş")))))</f>
        <v>I dereje</v>
      </c>
    </row>
    <row r="7" spans="1:20" ht="30.75" customHeight="1" x14ac:dyDescent="0.25">
      <c r="A7" s="104">
        <v>2</v>
      </c>
      <c r="B7" s="144" t="s">
        <v>140</v>
      </c>
      <c r="C7" s="145">
        <v>10</v>
      </c>
      <c r="D7" s="146">
        <v>10</v>
      </c>
      <c r="E7" s="146">
        <v>5</v>
      </c>
      <c r="F7" s="147">
        <v>3</v>
      </c>
      <c r="G7" s="98">
        <f>C7+D7+F7+E7</f>
        <v>28</v>
      </c>
      <c r="H7" s="192"/>
      <c r="I7" s="193"/>
      <c r="J7" s="193"/>
      <c r="K7" s="98">
        <f>H7+I7+J7</f>
        <v>0</v>
      </c>
      <c r="L7" s="197"/>
      <c r="M7" s="198"/>
      <c r="N7" s="132">
        <f t="shared" ref="N7:N12" si="0">G7+K7+$L$6</f>
        <v>45</v>
      </c>
      <c r="O7" s="71" t="str">
        <f t="shared" ref="O7:O12" si="1">IF(SUM(G7,K7,$L$6)&gt;71,"Ýokary",IF(SUM(G7,K7,$L$6)&gt;=56,"I dereje",IF(SUM(G7,K7,$L$6)&gt;=45,"II dereje",IF(SUM(G7,K7,$L$6)&gt;=35,"III dereje",IF(SUM(G7,K7,$L$6)&lt;=34,"Duýduryş")))))</f>
        <v>II dereje</v>
      </c>
    </row>
    <row r="8" spans="1:20" ht="30.75" customHeight="1" x14ac:dyDescent="0.25">
      <c r="A8" s="104">
        <v>3</v>
      </c>
      <c r="B8" s="144" t="s">
        <v>141</v>
      </c>
      <c r="C8" s="145">
        <v>20</v>
      </c>
      <c r="D8" s="146">
        <v>10</v>
      </c>
      <c r="E8" s="146">
        <v>10</v>
      </c>
      <c r="F8" s="147">
        <v>5</v>
      </c>
      <c r="G8" s="98">
        <f t="shared" ref="G8:G12" si="2">C8+D8+F8+E8</f>
        <v>45</v>
      </c>
      <c r="H8" s="192"/>
      <c r="I8" s="193"/>
      <c r="J8" s="193"/>
      <c r="K8" s="98">
        <f t="shared" ref="K8:K12" si="3">H8+I8+J8</f>
        <v>0</v>
      </c>
      <c r="L8" s="197"/>
      <c r="M8" s="198"/>
      <c r="N8" s="132">
        <f t="shared" si="0"/>
        <v>62</v>
      </c>
      <c r="O8" s="71" t="str">
        <f t="shared" si="1"/>
        <v>I dereje</v>
      </c>
    </row>
    <row r="9" spans="1:20" ht="30.75" customHeight="1" x14ac:dyDescent="0.25">
      <c r="A9" s="104">
        <v>4</v>
      </c>
      <c r="B9" s="144" t="s">
        <v>142</v>
      </c>
      <c r="C9" s="145">
        <v>30</v>
      </c>
      <c r="D9" s="146">
        <v>10</v>
      </c>
      <c r="E9" s="146">
        <v>10</v>
      </c>
      <c r="F9" s="147">
        <v>5</v>
      </c>
      <c r="G9" s="98">
        <f t="shared" si="2"/>
        <v>55</v>
      </c>
      <c r="H9" s="192"/>
      <c r="I9" s="193"/>
      <c r="J9" s="193"/>
      <c r="K9" s="98">
        <f t="shared" si="3"/>
        <v>0</v>
      </c>
      <c r="L9" s="197"/>
      <c r="M9" s="198"/>
      <c r="N9" s="132">
        <f t="shared" si="0"/>
        <v>72</v>
      </c>
      <c r="O9" s="71" t="str">
        <f t="shared" si="1"/>
        <v>Ýokary</v>
      </c>
      <c r="P9" s="63"/>
    </row>
    <row r="10" spans="1:20" ht="30.75" customHeight="1" x14ac:dyDescent="0.25">
      <c r="A10" s="104">
        <v>5</v>
      </c>
      <c r="B10" s="148" t="s">
        <v>143</v>
      </c>
      <c r="C10" s="145">
        <v>20</v>
      </c>
      <c r="D10" s="146">
        <v>10</v>
      </c>
      <c r="E10" s="146">
        <v>10</v>
      </c>
      <c r="F10" s="147">
        <v>3</v>
      </c>
      <c r="G10" s="98">
        <f t="shared" si="2"/>
        <v>43</v>
      </c>
      <c r="H10" s="192"/>
      <c r="I10" s="193"/>
      <c r="J10" s="193"/>
      <c r="K10" s="98">
        <f t="shared" si="3"/>
        <v>0</v>
      </c>
      <c r="L10" s="197"/>
      <c r="M10" s="198"/>
      <c r="N10" s="132">
        <f t="shared" si="0"/>
        <v>60</v>
      </c>
      <c r="O10" s="71" t="str">
        <f t="shared" si="1"/>
        <v>I dereje</v>
      </c>
      <c r="P10" s="63"/>
    </row>
    <row r="11" spans="1:20" ht="30.75" customHeight="1" x14ac:dyDescent="0.25">
      <c r="A11" s="104">
        <v>6</v>
      </c>
      <c r="B11" s="144" t="s">
        <v>144</v>
      </c>
      <c r="C11" s="145">
        <v>20</v>
      </c>
      <c r="D11" s="146">
        <v>10</v>
      </c>
      <c r="E11" s="146">
        <v>5</v>
      </c>
      <c r="F11" s="147">
        <v>4</v>
      </c>
      <c r="G11" s="98">
        <f t="shared" si="2"/>
        <v>39</v>
      </c>
      <c r="H11" s="192"/>
      <c r="I11" s="193"/>
      <c r="J11" s="193"/>
      <c r="K11" s="98">
        <f t="shared" si="3"/>
        <v>0</v>
      </c>
      <c r="L11" s="197"/>
      <c r="M11" s="198"/>
      <c r="N11" s="132">
        <f t="shared" si="0"/>
        <v>56</v>
      </c>
      <c r="O11" s="71" t="str">
        <f t="shared" si="1"/>
        <v>I dereje</v>
      </c>
      <c r="P11" s="63"/>
    </row>
    <row r="12" spans="1:20" ht="30.75" customHeight="1" x14ac:dyDescent="0.25">
      <c r="A12" s="104">
        <v>7</v>
      </c>
      <c r="B12" s="144" t="s">
        <v>145</v>
      </c>
      <c r="C12" s="145">
        <v>10</v>
      </c>
      <c r="D12" s="146">
        <v>10</v>
      </c>
      <c r="E12" s="146">
        <v>5</v>
      </c>
      <c r="F12" s="147">
        <v>4</v>
      </c>
      <c r="G12" s="98">
        <f t="shared" si="2"/>
        <v>29</v>
      </c>
      <c r="H12" s="192"/>
      <c r="I12" s="193"/>
      <c r="J12" s="193"/>
      <c r="K12" s="98">
        <f t="shared" si="3"/>
        <v>0</v>
      </c>
      <c r="L12" s="197"/>
      <c r="M12" s="198"/>
      <c r="N12" s="132">
        <f t="shared" si="0"/>
        <v>46</v>
      </c>
      <c r="O12" s="71" t="str">
        <f t="shared" si="1"/>
        <v>II dereje</v>
      </c>
      <c r="P12" s="63"/>
    </row>
    <row r="13" spans="1:20" ht="28.5" customHeight="1" x14ac:dyDescent="0.25">
      <c r="A13" s="11"/>
      <c r="B13" s="11"/>
      <c r="C13" s="106" t="s">
        <v>15</v>
      </c>
      <c r="D13" s="106" t="s">
        <v>17</v>
      </c>
      <c r="E13" s="107" t="s">
        <v>16</v>
      </c>
      <c r="F13" s="108" t="s">
        <v>10</v>
      </c>
      <c r="G13" s="106"/>
      <c r="H13" s="106" t="s">
        <v>12</v>
      </c>
      <c r="I13" s="107" t="s">
        <v>11</v>
      </c>
      <c r="J13" s="106" t="s">
        <v>10</v>
      </c>
      <c r="K13" s="106"/>
      <c r="L13" s="107" t="s">
        <v>86</v>
      </c>
      <c r="M13" s="11"/>
      <c r="N13" s="11"/>
      <c r="O13" s="11"/>
      <c r="S13" s="99"/>
    </row>
    <row r="14" spans="1:20" ht="18.75" x14ac:dyDescent="0.3">
      <c r="A14" s="11"/>
      <c r="B14" s="11"/>
      <c r="C14" s="11"/>
      <c r="D14" s="11"/>
      <c r="E14" s="3"/>
      <c r="F14" s="2"/>
      <c r="G14" s="11"/>
      <c r="H14" s="100"/>
      <c r="I14" s="100"/>
      <c r="J14" s="100"/>
      <c r="K14" s="100"/>
      <c r="L14" s="3"/>
      <c r="M14" s="11"/>
      <c r="N14" s="11"/>
      <c r="O14" s="11"/>
      <c r="S14" s="99"/>
    </row>
    <row r="15" spans="1:20" ht="18.75" x14ac:dyDescent="0.3">
      <c r="A15" s="11"/>
      <c r="B15" s="168" t="s">
        <v>20</v>
      </c>
      <c r="C15" s="168"/>
      <c r="D15" s="11"/>
      <c r="E15" s="11"/>
      <c r="F15" s="2"/>
      <c r="G15" s="11"/>
      <c r="H15" s="100"/>
      <c r="I15" s="100"/>
      <c r="J15" s="100"/>
      <c r="K15" s="100"/>
      <c r="L15" s="3"/>
      <c r="M15" s="11"/>
      <c r="N15" s="11"/>
      <c r="O15" s="11"/>
      <c r="S15" s="99"/>
    </row>
    <row r="16" spans="1:20" ht="27.75" customHeight="1" x14ac:dyDescent="0.3">
      <c r="A16" s="11"/>
      <c r="B16" s="4"/>
      <c r="C16" s="105" t="s">
        <v>21</v>
      </c>
      <c r="D16" s="97" t="s">
        <v>22</v>
      </c>
      <c r="E16" s="97" t="s">
        <v>23</v>
      </c>
      <c r="F16" s="2"/>
      <c r="G16" s="36"/>
      <c r="H16" s="196" t="s">
        <v>36</v>
      </c>
      <c r="I16" s="196"/>
      <c r="J16" s="196"/>
      <c r="K16" s="101"/>
      <c r="M16" s="36"/>
      <c r="N16" s="36"/>
      <c r="O16" s="11"/>
      <c r="S16" s="99"/>
    </row>
    <row r="17" spans="1:15" ht="27.75" customHeight="1" x14ac:dyDescent="0.3">
      <c r="A17" s="11"/>
      <c r="B17" s="66" t="s">
        <v>24</v>
      </c>
      <c r="C17" s="169">
        <v>7</v>
      </c>
      <c r="D17" s="170"/>
      <c r="E17" s="171"/>
      <c r="F17" s="2"/>
      <c r="G17" s="36"/>
      <c r="H17" s="190" t="s">
        <v>37</v>
      </c>
      <c r="I17" s="190"/>
      <c r="J17" s="190"/>
      <c r="K17" s="101"/>
      <c r="M17" s="36"/>
      <c r="N17" s="36"/>
      <c r="O17" s="11"/>
    </row>
    <row r="18" spans="1:15" ht="27.75" customHeight="1" x14ac:dyDescent="0.3">
      <c r="A18" s="11"/>
      <c r="B18" s="67" t="s">
        <v>25</v>
      </c>
      <c r="C18" s="64">
        <v>5</v>
      </c>
      <c r="D18" s="65">
        <v>2</v>
      </c>
      <c r="E18" s="65">
        <v>0</v>
      </c>
      <c r="F18" s="2"/>
      <c r="G18" s="36"/>
      <c r="H18" s="190" t="s">
        <v>38</v>
      </c>
      <c r="I18" s="190"/>
      <c r="J18" s="190"/>
      <c r="K18" s="101"/>
      <c r="M18" s="36"/>
      <c r="N18" s="36"/>
      <c r="O18" s="11"/>
    </row>
    <row r="19" spans="1:15" ht="27.75" customHeight="1" x14ac:dyDescent="0.3">
      <c r="A19" s="11"/>
      <c r="B19" s="67" t="s">
        <v>26</v>
      </c>
      <c r="C19" s="5">
        <f>C18/C17</f>
        <v>0.7142857142857143</v>
      </c>
      <c r="D19" s="5">
        <f>D18/C17</f>
        <v>0.2857142857142857</v>
      </c>
      <c r="E19" s="5">
        <f>E18/C17</f>
        <v>0</v>
      </c>
      <c r="F19" s="11"/>
      <c r="G19" s="36"/>
      <c r="H19" s="190" t="s">
        <v>39</v>
      </c>
      <c r="I19" s="190"/>
      <c r="J19" s="190"/>
      <c r="K19" s="101"/>
      <c r="M19" s="36"/>
      <c r="N19" s="36"/>
      <c r="O19" s="11"/>
    </row>
    <row r="20" spans="1:15" ht="27.75" customHeight="1" x14ac:dyDescent="0.25">
      <c r="A20" s="11"/>
      <c r="B20" s="95"/>
      <c r="C20" s="13"/>
      <c r="D20" s="14" t="s">
        <v>27</v>
      </c>
      <c r="E20" s="15">
        <f>SUM(C19:E19)</f>
        <v>1</v>
      </c>
      <c r="F20" s="11"/>
      <c r="G20" s="11"/>
      <c r="H20" s="190" t="s">
        <v>40</v>
      </c>
      <c r="I20" s="190"/>
      <c r="J20" s="190"/>
      <c r="K20" s="101"/>
      <c r="M20" s="11"/>
      <c r="N20" s="11"/>
      <c r="O20" s="11"/>
    </row>
    <row r="21" spans="1:15" ht="27.75" customHeight="1" x14ac:dyDescent="0.25">
      <c r="A21" s="11"/>
      <c r="B21" s="17"/>
      <c r="C21" s="17"/>
      <c r="D21" s="12"/>
      <c r="E21" s="15"/>
      <c r="F21" s="11"/>
      <c r="G21" s="11"/>
      <c r="H21" s="190" t="s">
        <v>41</v>
      </c>
      <c r="I21" s="190"/>
      <c r="J21" s="190"/>
      <c r="M21" s="11"/>
      <c r="N21" s="11"/>
      <c r="O21" s="11"/>
    </row>
    <row r="22" spans="1:15" ht="21" customHeight="1" x14ac:dyDescent="0.3">
      <c r="A22" s="11"/>
      <c r="B22" s="53" t="s">
        <v>42</v>
      </c>
      <c r="C22" s="53"/>
      <c r="D22" s="54"/>
      <c r="E22" s="55"/>
      <c r="F22" s="56"/>
      <c r="G22" s="56"/>
      <c r="H22" s="11"/>
      <c r="I22" s="11"/>
      <c r="M22" s="11"/>
      <c r="N22" s="11"/>
      <c r="O22" s="11"/>
    </row>
    <row r="23" spans="1:15" ht="21.75" customHeight="1" x14ac:dyDescent="0.3">
      <c r="A23" s="11"/>
      <c r="B23" s="53" t="s">
        <v>47</v>
      </c>
      <c r="C23" s="53" t="s">
        <v>44</v>
      </c>
      <c r="D23" s="53"/>
      <c r="E23" s="55"/>
      <c r="F23" s="56"/>
      <c r="G23" s="56"/>
      <c r="H23" s="11"/>
      <c r="I23" s="11"/>
      <c r="J23" s="11"/>
      <c r="K23" s="11"/>
      <c r="L23" s="11"/>
      <c r="M23" s="11"/>
      <c r="N23" s="11"/>
      <c r="O23" s="11"/>
    </row>
    <row r="24" spans="1:15" ht="20.25" x14ac:dyDescent="0.3">
      <c r="A24" s="11"/>
      <c r="B24" s="56"/>
      <c r="C24" s="57"/>
      <c r="D24" s="58"/>
      <c r="E24" s="55"/>
      <c r="F24" s="56"/>
      <c r="G24" s="56"/>
      <c r="H24" s="11"/>
      <c r="I24" s="11"/>
      <c r="J24" s="11"/>
      <c r="K24" s="11"/>
      <c r="L24" s="11"/>
      <c r="M24" s="11"/>
      <c r="N24" s="11"/>
      <c r="O24" s="11"/>
    </row>
    <row r="25" spans="1:15" ht="18" customHeight="1" x14ac:dyDescent="0.3">
      <c r="A25" s="11"/>
      <c r="B25" s="53" t="s">
        <v>7</v>
      </c>
      <c r="C25" s="53"/>
      <c r="D25" s="54"/>
      <c r="E25" s="56"/>
      <c r="F25" s="56"/>
      <c r="G25" s="56"/>
      <c r="I25" s="6"/>
      <c r="J25" s="16"/>
      <c r="K25" s="16"/>
      <c r="L25" s="11"/>
      <c r="M25" s="11"/>
      <c r="N25" s="11"/>
      <c r="O25" s="11"/>
    </row>
    <row r="26" spans="1:15" ht="20.25" x14ac:dyDescent="0.3">
      <c r="A26" s="11"/>
      <c r="B26" s="53"/>
      <c r="C26" s="53"/>
      <c r="D26" s="54"/>
      <c r="E26" s="56"/>
      <c r="F26" s="56"/>
      <c r="G26" s="56"/>
      <c r="I26" s="11"/>
      <c r="J26" s="11"/>
      <c r="K26" s="11"/>
      <c r="L26" s="11"/>
      <c r="M26" s="11"/>
      <c r="N26" s="11"/>
      <c r="O26" s="11"/>
    </row>
    <row r="27" spans="1:15" ht="21.75" customHeight="1" x14ac:dyDescent="0.3">
      <c r="A27" s="11"/>
      <c r="B27" s="53" t="s">
        <v>47</v>
      </c>
      <c r="C27" s="59" t="s">
        <v>44</v>
      </c>
      <c r="D27" s="54"/>
      <c r="E27" s="56"/>
      <c r="F27" s="56"/>
      <c r="G27" s="56"/>
      <c r="H27" s="11"/>
      <c r="I27" s="11"/>
      <c r="J27" s="11"/>
      <c r="K27" s="11"/>
      <c r="L27" s="11"/>
      <c r="M27" s="11"/>
      <c r="N27" s="11"/>
      <c r="O27" s="11"/>
    </row>
    <row r="28" spans="1:15" ht="20.25" x14ac:dyDescent="0.3">
      <c r="A28" s="11"/>
      <c r="B28" s="60"/>
      <c r="C28" s="53"/>
      <c r="D28" s="54"/>
      <c r="E28" s="56"/>
      <c r="F28" s="56"/>
      <c r="G28" s="56"/>
      <c r="H28" s="17"/>
      <c r="I28" s="11"/>
      <c r="J28" s="11"/>
      <c r="K28" s="11"/>
      <c r="L28" s="11"/>
      <c r="M28" s="11"/>
      <c r="N28" s="11"/>
      <c r="O28" s="11"/>
    </row>
    <row r="29" spans="1:15" ht="21" customHeight="1" x14ac:dyDescent="0.25">
      <c r="A29" s="11"/>
      <c r="B29" s="59" t="s">
        <v>67</v>
      </c>
      <c r="C29" s="59" t="s">
        <v>44</v>
      </c>
      <c r="D29" s="59"/>
      <c r="E29" s="59"/>
      <c r="F29" s="59"/>
      <c r="G29" s="59"/>
      <c r="H29" s="11"/>
      <c r="I29" s="11"/>
      <c r="J29" s="11"/>
      <c r="K29" s="11"/>
      <c r="L29" s="11"/>
      <c r="M29" s="11"/>
      <c r="N29" s="11"/>
      <c r="O29" s="11"/>
    </row>
    <row r="30" spans="1:15" ht="20.25" x14ac:dyDescent="0.3">
      <c r="A30" s="11"/>
      <c r="B30" s="61"/>
      <c r="C30" s="61"/>
      <c r="D30" s="61"/>
      <c r="E30" s="61"/>
      <c r="F30" s="61"/>
      <c r="G30" s="61"/>
      <c r="H30" s="11"/>
      <c r="I30" s="11"/>
      <c r="J30" s="11"/>
      <c r="K30" s="11"/>
      <c r="L30" s="11"/>
      <c r="M30" s="11"/>
      <c r="N30" s="11"/>
      <c r="O30" s="11"/>
    </row>
    <row r="31" spans="1:15" ht="21" customHeight="1" x14ac:dyDescent="0.25">
      <c r="A31" s="11"/>
      <c r="B31" s="59" t="s">
        <v>43</v>
      </c>
      <c r="C31" s="59" t="s">
        <v>44</v>
      </c>
      <c r="D31" s="59"/>
      <c r="E31" s="191" t="s">
        <v>45</v>
      </c>
      <c r="F31" s="191"/>
      <c r="G31" s="59" t="s">
        <v>46</v>
      </c>
      <c r="H31" s="11"/>
      <c r="I31" s="11"/>
      <c r="J31" s="11"/>
      <c r="K31" s="11"/>
      <c r="L31" s="11"/>
      <c r="M31" s="11"/>
      <c r="N31" s="11"/>
      <c r="O31" s="11"/>
    </row>
    <row r="32" spans="1:15" ht="20.25" x14ac:dyDescent="0.3">
      <c r="B32" s="62"/>
      <c r="C32" s="62"/>
      <c r="D32" s="62"/>
      <c r="E32" s="62"/>
      <c r="F32" s="62"/>
      <c r="G32" s="62"/>
    </row>
  </sheetData>
  <mergeCells count="21">
    <mergeCell ref="E31:F31"/>
    <mergeCell ref="H4:J4"/>
    <mergeCell ref="N4:N5"/>
    <mergeCell ref="O4:O5"/>
    <mergeCell ref="L5:M5"/>
    <mergeCell ref="H6:J12"/>
    <mergeCell ref="L6:M12"/>
    <mergeCell ref="H19:J19"/>
    <mergeCell ref="H20:J20"/>
    <mergeCell ref="H21:J21"/>
    <mergeCell ref="B15:C15"/>
    <mergeCell ref="H16:J16"/>
    <mergeCell ref="C17:E17"/>
    <mergeCell ref="H17:J17"/>
    <mergeCell ref="H18:J18"/>
    <mergeCell ref="A2:O2"/>
    <mergeCell ref="A3:B3"/>
    <mergeCell ref="C3:N3"/>
    <mergeCell ref="A4:A5"/>
    <mergeCell ref="B4:B5"/>
    <mergeCell ref="C4:F4"/>
  </mergeCells>
  <conditionalFormatting sqref="N6:N12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G12 K6:K12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1" right="0.2" top="0.25" bottom="0" header="0" footer="0"/>
  <pageSetup paperSize="9" scale="58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T33"/>
  <sheetViews>
    <sheetView zoomScale="85" zoomScaleNormal="85" workbookViewId="0">
      <selection activeCell="R7" sqref="R7"/>
    </sheetView>
  </sheetViews>
  <sheetFormatPr defaultColWidth="9.140625" defaultRowHeight="15" x14ac:dyDescent="0.25"/>
  <cols>
    <col min="1" max="1" width="4.42578125" style="1" customWidth="1"/>
    <col min="2" max="2" width="50.140625" style="10" customWidth="1"/>
    <col min="3" max="5" width="16.140625" style="10" customWidth="1"/>
    <col min="6" max="6" width="15.28515625" style="10" customWidth="1"/>
    <col min="7" max="7" width="8.7109375" style="10" customWidth="1"/>
    <col min="8" max="10" width="15.28515625" style="10" customWidth="1"/>
    <col min="11" max="11" width="8.7109375" style="10" customWidth="1"/>
    <col min="12" max="12" width="27.7109375" style="10" customWidth="1"/>
    <col min="13" max="13" width="11" style="10" customWidth="1"/>
    <col min="14" max="14" width="12.42578125" style="10" bestFit="1" customWidth="1"/>
    <col min="15" max="15" width="16.42578125" style="10" customWidth="1"/>
    <col min="16" max="16" width="20.85546875" style="10" customWidth="1"/>
    <col min="17" max="16384" width="9.140625" style="10"/>
  </cols>
  <sheetData>
    <row r="1" spans="1:20" s="11" customFormat="1" ht="15.75" thickBot="1" x14ac:dyDescent="0.3"/>
    <row r="2" spans="1:20" s="11" customFormat="1" ht="35.25" customHeight="1" x14ac:dyDescent="0.25">
      <c r="A2" s="172" t="s">
        <v>93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4"/>
    </row>
    <row r="3" spans="1:20" ht="29.25" customHeight="1" thickBot="1" x14ac:dyDescent="0.3">
      <c r="A3" s="175" t="s">
        <v>85</v>
      </c>
      <c r="B3" s="176"/>
      <c r="C3" s="176" t="s">
        <v>6</v>
      </c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21" t="s">
        <v>18</v>
      </c>
    </row>
    <row r="4" spans="1:20" ht="61.5" customHeight="1" x14ac:dyDescent="0.25">
      <c r="A4" s="177" t="s">
        <v>0</v>
      </c>
      <c r="B4" s="179" t="s">
        <v>1</v>
      </c>
      <c r="C4" s="181" t="s">
        <v>2</v>
      </c>
      <c r="D4" s="182"/>
      <c r="E4" s="182"/>
      <c r="F4" s="182"/>
      <c r="G4" s="113" t="s">
        <v>19</v>
      </c>
      <c r="H4" s="183" t="s">
        <v>3</v>
      </c>
      <c r="I4" s="184"/>
      <c r="J4" s="184"/>
      <c r="K4" s="109" t="s">
        <v>13</v>
      </c>
      <c r="L4" s="122" t="s">
        <v>8</v>
      </c>
      <c r="M4" s="113" t="s">
        <v>14</v>
      </c>
      <c r="N4" s="181" t="s">
        <v>4</v>
      </c>
      <c r="O4" s="186" t="s">
        <v>28</v>
      </c>
    </row>
    <row r="5" spans="1:20" ht="68.25" customHeight="1" x14ac:dyDescent="0.25">
      <c r="A5" s="178"/>
      <c r="B5" s="180"/>
      <c r="C5" s="114" t="s">
        <v>30</v>
      </c>
      <c r="D5" s="97" t="s">
        <v>29</v>
      </c>
      <c r="E5" s="96" t="s">
        <v>9</v>
      </c>
      <c r="F5" s="96" t="s">
        <v>88</v>
      </c>
      <c r="G5" s="98" t="s">
        <v>5</v>
      </c>
      <c r="H5" s="114" t="s">
        <v>30</v>
      </c>
      <c r="I5" s="96" t="s">
        <v>9</v>
      </c>
      <c r="J5" s="96" t="s">
        <v>88</v>
      </c>
      <c r="K5" s="98" t="s">
        <v>5</v>
      </c>
      <c r="L5" s="188" t="s">
        <v>87</v>
      </c>
      <c r="M5" s="189"/>
      <c r="N5" s="185"/>
      <c r="O5" s="187"/>
      <c r="Q5" s="100"/>
      <c r="R5" s="100"/>
      <c r="S5" s="100"/>
      <c r="T5" s="100"/>
    </row>
    <row r="6" spans="1:20" ht="30.75" customHeight="1" x14ac:dyDescent="0.25">
      <c r="A6" s="104">
        <v>1</v>
      </c>
      <c r="B6" s="144" t="s">
        <v>154</v>
      </c>
      <c r="C6" s="145">
        <v>20</v>
      </c>
      <c r="D6" s="146">
        <v>10</v>
      </c>
      <c r="E6" s="146">
        <v>5</v>
      </c>
      <c r="F6" s="147">
        <v>5</v>
      </c>
      <c r="G6" s="155">
        <f>C6+D6+F6+E6</f>
        <v>40</v>
      </c>
      <c r="H6" s="192" t="s">
        <v>89</v>
      </c>
      <c r="I6" s="193"/>
      <c r="J6" s="193"/>
      <c r="K6" s="98">
        <v>0</v>
      </c>
      <c r="L6" s="197">
        <v>17</v>
      </c>
      <c r="M6" s="198"/>
      <c r="N6" s="132">
        <f>G6+K6+$L$6</f>
        <v>57</v>
      </c>
      <c r="O6" s="71" t="str">
        <f>IF(SUM(G6,K6,$L$6)&gt;71,"Ýokary",IF(SUM(G6,K6,$L$6)&gt;=56,"I dereje",IF(SUM(G6,K6,$L$6)&gt;=45,"II dereje",IF(SUM(G6,K6,$L$6)&gt;=35,"III dereje",IF(SUM(G6,K6,$L$6)&lt;=34,"Duýduryş")))))</f>
        <v>I dereje</v>
      </c>
    </row>
    <row r="7" spans="1:20" ht="30.75" customHeight="1" x14ac:dyDescent="0.25">
      <c r="A7" s="104">
        <v>2</v>
      </c>
      <c r="B7" s="144" t="s">
        <v>155</v>
      </c>
      <c r="C7" s="145">
        <v>10</v>
      </c>
      <c r="D7" s="146">
        <v>10</v>
      </c>
      <c r="E7" s="146">
        <v>5</v>
      </c>
      <c r="F7" s="147">
        <v>4</v>
      </c>
      <c r="G7" s="155">
        <f>C7+D7+F7+E7</f>
        <v>29</v>
      </c>
      <c r="H7" s="192"/>
      <c r="I7" s="193"/>
      <c r="J7" s="193"/>
      <c r="K7" s="98">
        <f>H7+I7+J7</f>
        <v>0</v>
      </c>
      <c r="L7" s="197"/>
      <c r="M7" s="198"/>
      <c r="N7" s="132">
        <f t="shared" ref="N7:N13" si="0">G7+K7+$L$6</f>
        <v>46</v>
      </c>
      <c r="O7" s="71" t="str">
        <f t="shared" ref="O7:O13" si="1">IF(SUM(G7,K7,$L$6)&gt;71,"Ýokary",IF(SUM(G7,K7,$L$6)&gt;=56,"I dereje",IF(SUM(G7,K7,$L$6)&gt;=45,"II dereje",IF(SUM(G7,K7,$L$6)&gt;=35,"III dereje",IF(SUM(G7,K7,$L$6)&lt;=34,"Duýduryş")))))</f>
        <v>II dereje</v>
      </c>
    </row>
    <row r="8" spans="1:20" ht="30.75" customHeight="1" x14ac:dyDescent="0.25">
      <c r="A8" s="104">
        <v>3</v>
      </c>
      <c r="B8" s="144" t="s">
        <v>156</v>
      </c>
      <c r="C8" s="145">
        <v>10</v>
      </c>
      <c r="D8" s="146">
        <v>10</v>
      </c>
      <c r="E8" s="146">
        <v>5</v>
      </c>
      <c r="F8" s="147">
        <v>4</v>
      </c>
      <c r="G8" s="155">
        <f t="shared" ref="G8:G13" si="2">C8+D8+F8+E8</f>
        <v>29</v>
      </c>
      <c r="H8" s="192"/>
      <c r="I8" s="193"/>
      <c r="J8" s="193"/>
      <c r="K8" s="98">
        <f t="shared" ref="K8:K13" si="3">H8+I8+J8</f>
        <v>0</v>
      </c>
      <c r="L8" s="197"/>
      <c r="M8" s="198"/>
      <c r="N8" s="132">
        <f t="shared" si="0"/>
        <v>46</v>
      </c>
      <c r="O8" s="71" t="str">
        <f t="shared" si="1"/>
        <v>II dereje</v>
      </c>
    </row>
    <row r="9" spans="1:20" ht="30.75" customHeight="1" x14ac:dyDescent="0.25">
      <c r="A9" s="104">
        <v>4</v>
      </c>
      <c r="B9" s="144" t="s">
        <v>157</v>
      </c>
      <c r="C9" s="145">
        <v>20</v>
      </c>
      <c r="D9" s="146">
        <v>10</v>
      </c>
      <c r="E9" s="146">
        <v>5</v>
      </c>
      <c r="F9" s="147">
        <v>5</v>
      </c>
      <c r="G9" s="155">
        <f t="shared" si="2"/>
        <v>40</v>
      </c>
      <c r="H9" s="192"/>
      <c r="I9" s="193"/>
      <c r="J9" s="193"/>
      <c r="K9" s="98">
        <f t="shared" si="3"/>
        <v>0</v>
      </c>
      <c r="L9" s="197"/>
      <c r="M9" s="198"/>
      <c r="N9" s="132">
        <f t="shared" si="0"/>
        <v>57</v>
      </c>
      <c r="O9" s="71" t="str">
        <f t="shared" si="1"/>
        <v>I dereje</v>
      </c>
      <c r="P9" s="63"/>
    </row>
    <row r="10" spans="1:20" ht="30.75" customHeight="1" x14ac:dyDescent="0.25">
      <c r="A10" s="104">
        <v>5</v>
      </c>
      <c r="B10" s="148" t="s">
        <v>158</v>
      </c>
      <c r="C10" s="145">
        <v>10</v>
      </c>
      <c r="D10" s="146">
        <v>10</v>
      </c>
      <c r="E10" s="146">
        <v>5</v>
      </c>
      <c r="F10" s="147">
        <v>4</v>
      </c>
      <c r="G10" s="155">
        <f t="shared" si="2"/>
        <v>29</v>
      </c>
      <c r="H10" s="192"/>
      <c r="I10" s="193"/>
      <c r="J10" s="193"/>
      <c r="K10" s="98">
        <f t="shared" si="3"/>
        <v>0</v>
      </c>
      <c r="L10" s="197"/>
      <c r="M10" s="198"/>
      <c r="N10" s="132">
        <f t="shared" si="0"/>
        <v>46</v>
      </c>
      <c r="O10" s="71" t="str">
        <f t="shared" si="1"/>
        <v>II dereje</v>
      </c>
      <c r="P10" s="63"/>
    </row>
    <row r="11" spans="1:20" ht="30.75" customHeight="1" x14ac:dyDescent="0.25">
      <c r="A11" s="104">
        <v>6</v>
      </c>
      <c r="B11" s="144" t="s">
        <v>159</v>
      </c>
      <c r="C11" s="145">
        <v>30</v>
      </c>
      <c r="D11" s="146">
        <v>10</v>
      </c>
      <c r="E11" s="146">
        <v>10</v>
      </c>
      <c r="F11" s="147">
        <v>5</v>
      </c>
      <c r="G11" s="155">
        <f t="shared" si="2"/>
        <v>55</v>
      </c>
      <c r="H11" s="192"/>
      <c r="I11" s="193"/>
      <c r="J11" s="193"/>
      <c r="K11" s="98">
        <f t="shared" si="3"/>
        <v>0</v>
      </c>
      <c r="L11" s="197"/>
      <c r="M11" s="198"/>
      <c r="N11" s="132">
        <f t="shared" si="0"/>
        <v>72</v>
      </c>
      <c r="O11" s="71" t="str">
        <f t="shared" si="1"/>
        <v>Ýokary</v>
      </c>
      <c r="P11" s="63"/>
    </row>
    <row r="12" spans="1:20" ht="30.75" customHeight="1" x14ac:dyDescent="0.25">
      <c r="A12" s="104">
        <v>7</v>
      </c>
      <c r="B12" s="144" t="s">
        <v>160</v>
      </c>
      <c r="C12" s="145">
        <v>10</v>
      </c>
      <c r="D12" s="146">
        <v>10</v>
      </c>
      <c r="E12" s="146">
        <v>5</v>
      </c>
      <c r="F12" s="147">
        <v>4</v>
      </c>
      <c r="G12" s="155">
        <f t="shared" si="2"/>
        <v>29</v>
      </c>
      <c r="H12" s="192"/>
      <c r="I12" s="193"/>
      <c r="J12" s="193"/>
      <c r="K12" s="98">
        <f t="shared" si="3"/>
        <v>0</v>
      </c>
      <c r="L12" s="197"/>
      <c r="M12" s="198"/>
      <c r="N12" s="132">
        <f t="shared" si="0"/>
        <v>46</v>
      </c>
      <c r="O12" s="71" t="str">
        <f t="shared" si="1"/>
        <v>II dereje</v>
      </c>
      <c r="P12" s="63"/>
    </row>
    <row r="13" spans="1:20" ht="30.75" customHeight="1" x14ac:dyDescent="0.25">
      <c r="A13" s="104">
        <v>8</v>
      </c>
      <c r="B13" s="144" t="s">
        <v>161</v>
      </c>
      <c r="C13" s="145">
        <v>20</v>
      </c>
      <c r="D13" s="146">
        <v>10</v>
      </c>
      <c r="E13" s="146">
        <v>10</v>
      </c>
      <c r="F13" s="147">
        <v>5</v>
      </c>
      <c r="G13" s="155">
        <f t="shared" si="2"/>
        <v>45</v>
      </c>
      <c r="H13" s="192"/>
      <c r="I13" s="193"/>
      <c r="J13" s="193"/>
      <c r="K13" s="98">
        <f t="shared" si="3"/>
        <v>0</v>
      </c>
      <c r="L13" s="197"/>
      <c r="M13" s="198"/>
      <c r="N13" s="132">
        <f t="shared" si="0"/>
        <v>62</v>
      </c>
      <c r="O13" s="71" t="str">
        <f t="shared" si="1"/>
        <v>I dereje</v>
      </c>
      <c r="P13" s="63"/>
    </row>
    <row r="14" spans="1:20" ht="28.5" customHeight="1" x14ac:dyDescent="0.25">
      <c r="A14" s="11"/>
      <c r="B14" s="11"/>
      <c r="C14" s="106" t="s">
        <v>15</v>
      </c>
      <c r="D14" s="106" t="s">
        <v>17</v>
      </c>
      <c r="E14" s="107" t="s">
        <v>16</v>
      </c>
      <c r="F14" s="108" t="s">
        <v>10</v>
      </c>
      <c r="G14" s="106"/>
      <c r="H14" s="106" t="s">
        <v>12</v>
      </c>
      <c r="I14" s="107" t="s">
        <v>11</v>
      </c>
      <c r="J14" s="106" t="s">
        <v>10</v>
      </c>
      <c r="K14" s="106"/>
      <c r="L14" s="107" t="s">
        <v>86</v>
      </c>
      <c r="M14" s="11"/>
      <c r="N14" s="11"/>
      <c r="O14" s="11"/>
      <c r="S14" s="99"/>
    </row>
    <row r="15" spans="1:20" ht="18.75" x14ac:dyDescent="0.3">
      <c r="A15" s="11"/>
      <c r="B15" s="11"/>
      <c r="C15" s="11"/>
      <c r="D15" s="11"/>
      <c r="E15" s="3"/>
      <c r="F15" s="2"/>
      <c r="G15" s="11"/>
      <c r="H15" s="100"/>
      <c r="I15" s="100"/>
      <c r="J15" s="100"/>
      <c r="K15" s="100"/>
      <c r="L15" s="3"/>
      <c r="M15" s="11"/>
      <c r="N15" s="11"/>
      <c r="O15" s="11"/>
      <c r="S15" s="99"/>
    </row>
    <row r="16" spans="1:20" ht="18.75" x14ac:dyDescent="0.3">
      <c r="A16" s="11"/>
      <c r="B16" s="168" t="s">
        <v>20</v>
      </c>
      <c r="C16" s="168"/>
      <c r="D16" s="11"/>
      <c r="E16" s="11"/>
      <c r="F16" s="2"/>
      <c r="G16" s="11"/>
      <c r="H16" s="100"/>
      <c r="I16" s="100"/>
      <c r="J16" s="100"/>
      <c r="K16" s="100"/>
      <c r="L16" s="3"/>
      <c r="M16" s="11"/>
      <c r="N16" s="11"/>
      <c r="O16" s="11"/>
      <c r="S16" s="99"/>
    </row>
    <row r="17" spans="1:19" ht="27.75" customHeight="1" x14ac:dyDescent="0.3">
      <c r="A17" s="11"/>
      <c r="B17" s="4"/>
      <c r="C17" s="105" t="s">
        <v>21</v>
      </c>
      <c r="D17" s="97" t="s">
        <v>22</v>
      </c>
      <c r="E17" s="97" t="s">
        <v>23</v>
      </c>
      <c r="F17" s="2"/>
      <c r="G17" s="36"/>
      <c r="H17" s="196" t="s">
        <v>36</v>
      </c>
      <c r="I17" s="196"/>
      <c r="J17" s="196"/>
      <c r="K17" s="101"/>
      <c r="M17" s="36"/>
      <c r="N17" s="36"/>
      <c r="O17" s="11"/>
      <c r="S17" s="99"/>
    </row>
    <row r="18" spans="1:19" ht="27.75" customHeight="1" x14ac:dyDescent="0.3">
      <c r="A18" s="11"/>
      <c r="B18" s="66" t="s">
        <v>24</v>
      </c>
      <c r="C18" s="169">
        <v>8</v>
      </c>
      <c r="D18" s="170"/>
      <c r="E18" s="171"/>
      <c r="F18" s="2"/>
      <c r="G18" s="36"/>
      <c r="H18" s="190" t="s">
        <v>37</v>
      </c>
      <c r="I18" s="190"/>
      <c r="J18" s="190"/>
      <c r="K18" s="101"/>
      <c r="M18" s="36"/>
      <c r="N18" s="36"/>
      <c r="O18" s="11"/>
    </row>
    <row r="19" spans="1:19" ht="27.75" customHeight="1" x14ac:dyDescent="0.3">
      <c r="A19" s="11"/>
      <c r="B19" s="67" t="s">
        <v>25</v>
      </c>
      <c r="C19" s="64">
        <v>4</v>
      </c>
      <c r="D19" s="65">
        <v>4</v>
      </c>
      <c r="E19" s="65">
        <v>0</v>
      </c>
      <c r="F19" s="2"/>
      <c r="G19" s="36"/>
      <c r="H19" s="190" t="s">
        <v>38</v>
      </c>
      <c r="I19" s="190"/>
      <c r="J19" s="190"/>
      <c r="K19" s="101"/>
      <c r="M19" s="36"/>
      <c r="N19" s="36"/>
      <c r="O19" s="11"/>
    </row>
    <row r="20" spans="1:19" ht="27.75" customHeight="1" x14ac:dyDescent="0.3">
      <c r="A20" s="11"/>
      <c r="B20" s="67" t="s">
        <v>26</v>
      </c>
      <c r="C20" s="5">
        <f>C19/C18</f>
        <v>0.5</v>
      </c>
      <c r="D20" s="5">
        <f>D19/C18</f>
        <v>0.5</v>
      </c>
      <c r="E20" s="5">
        <f>E19/C18</f>
        <v>0</v>
      </c>
      <c r="F20" s="11"/>
      <c r="G20" s="36"/>
      <c r="H20" s="190" t="s">
        <v>39</v>
      </c>
      <c r="I20" s="190"/>
      <c r="J20" s="190"/>
      <c r="K20" s="101"/>
      <c r="M20" s="36"/>
      <c r="N20" s="36"/>
      <c r="O20" s="11"/>
    </row>
    <row r="21" spans="1:19" ht="27.75" customHeight="1" x14ac:dyDescent="0.25">
      <c r="A21" s="11"/>
      <c r="B21" s="95"/>
      <c r="C21" s="13"/>
      <c r="D21" s="14" t="s">
        <v>27</v>
      </c>
      <c r="E21" s="15">
        <f>SUM(C20:E20)</f>
        <v>1</v>
      </c>
      <c r="F21" s="11"/>
      <c r="G21" s="11"/>
      <c r="H21" s="190" t="s">
        <v>40</v>
      </c>
      <c r="I21" s="190"/>
      <c r="J21" s="190"/>
      <c r="K21" s="101"/>
      <c r="M21" s="11"/>
      <c r="N21" s="11"/>
      <c r="O21" s="11"/>
    </row>
    <row r="22" spans="1:19" ht="27.75" customHeight="1" x14ac:dyDescent="0.25">
      <c r="A22" s="11"/>
      <c r="B22" s="17"/>
      <c r="C22" s="17"/>
      <c r="D22" s="12"/>
      <c r="E22" s="15"/>
      <c r="F22" s="11"/>
      <c r="G22" s="11"/>
      <c r="H22" s="190" t="s">
        <v>41</v>
      </c>
      <c r="I22" s="190"/>
      <c r="J22" s="190"/>
      <c r="M22" s="11"/>
      <c r="N22" s="11"/>
      <c r="O22" s="11"/>
    </row>
    <row r="23" spans="1:19" ht="21" customHeight="1" x14ac:dyDescent="0.3">
      <c r="A23" s="11"/>
      <c r="B23" s="53" t="s">
        <v>42</v>
      </c>
      <c r="C23" s="53"/>
      <c r="D23" s="54"/>
      <c r="E23" s="55"/>
      <c r="F23" s="56"/>
      <c r="G23" s="56"/>
      <c r="H23" s="11"/>
      <c r="I23" s="11"/>
      <c r="M23" s="11"/>
      <c r="N23" s="11"/>
      <c r="O23" s="11"/>
    </row>
    <row r="24" spans="1:19" ht="21.75" customHeight="1" x14ac:dyDescent="0.3">
      <c r="A24" s="11"/>
      <c r="B24" s="53" t="s">
        <v>47</v>
      </c>
      <c r="C24" s="53" t="s">
        <v>44</v>
      </c>
      <c r="D24" s="53"/>
      <c r="E24" s="55"/>
      <c r="F24" s="56"/>
      <c r="G24" s="56"/>
      <c r="H24" s="11"/>
      <c r="I24" s="11"/>
      <c r="J24" s="11"/>
      <c r="K24" s="11"/>
      <c r="L24" s="11"/>
      <c r="M24" s="11"/>
      <c r="N24" s="11"/>
      <c r="O24" s="11"/>
    </row>
    <row r="25" spans="1:19" ht="20.25" x14ac:dyDescent="0.3">
      <c r="A25" s="11"/>
      <c r="B25" s="56"/>
      <c r="C25" s="57"/>
      <c r="D25" s="58"/>
      <c r="E25" s="55"/>
      <c r="F25" s="56"/>
      <c r="G25" s="56"/>
      <c r="H25" s="11"/>
      <c r="I25" s="11"/>
      <c r="J25" s="11"/>
      <c r="K25" s="11"/>
      <c r="L25" s="11"/>
      <c r="M25" s="11"/>
      <c r="N25" s="11"/>
      <c r="O25" s="11"/>
    </row>
    <row r="26" spans="1:19" ht="18" customHeight="1" x14ac:dyDescent="0.3">
      <c r="A26" s="11"/>
      <c r="B26" s="53" t="s">
        <v>7</v>
      </c>
      <c r="C26" s="53"/>
      <c r="D26" s="54"/>
      <c r="E26" s="56"/>
      <c r="F26" s="56"/>
      <c r="G26" s="56"/>
      <c r="I26" s="6"/>
      <c r="J26" s="16"/>
      <c r="K26" s="16"/>
      <c r="L26" s="11"/>
      <c r="M26" s="11"/>
      <c r="N26" s="11"/>
      <c r="O26" s="11"/>
    </row>
    <row r="27" spans="1:19" ht="20.25" x14ac:dyDescent="0.3">
      <c r="A27" s="11"/>
      <c r="B27" s="53"/>
      <c r="C27" s="53"/>
      <c r="D27" s="54"/>
      <c r="E27" s="56"/>
      <c r="F27" s="56"/>
      <c r="G27" s="56"/>
      <c r="I27" s="11"/>
      <c r="J27" s="11"/>
      <c r="K27" s="11"/>
      <c r="L27" s="11"/>
      <c r="M27" s="11"/>
      <c r="N27" s="11"/>
      <c r="O27" s="11"/>
    </row>
    <row r="28" spans="1:19" ht="21.75" customHeight="1" x14ac:dyDescent="0.3">
      <c r="A28" s="11"/>
      <c r="B28" s="53" t="s">
        <v>47</v>
      </c>
      <c r="C28" s="59" t="s">
        <v>44</v>
      </c>
      <c r="D28" s="54"/>
      <c r="E28" s="56"/>
      <c r="F28" s="56"/>
      <c r="G28" s="56"/>
      <c r="H28" s="11"/>
      <c r="I28" s="11"/>
      <c r="J28" s="11"/>
      <c r="K28" s="11"/>
      <c r="L28" s="11"/>
      <c r="M28" s="11"/>
      <c r="N28" s="11"/>
      <c r="O28" s="11"/>
    </row>
    <row r="29" spans="1:19" ht="20.25" x14ac:dyDescent="0.3">
      <c r="A29" s="11"/>
      <c r="B29" s="60"/>
      <c r="C29" s="53"/>
      <c r="D29" s="54"/>
      <c r="E29" s="56"/>
      <c r="F29" s="56"/>
      <c r="G29" s="56"/>
      <c r="H29" s="17"/>
      <c r="I29" s="11"/>
      <c r="J29" s="11"/>
      <c r="K29" s="11"/>
      <c r="L29" s="11"/>
      <c r="M29" s="11"/>
      <c r="N29" s="11"/>
      <c r="O29" s="11"/>
    </row>
    <row r="30" spans="1:19" ht="21" customHeight="1" x14ac:dyDescent="0.25">
      <c r="A30" s="11"/>
      <c r="B30" s="59" t="s">
        <v>67</v>
      </c>
      <c r="C30" s="59" t="s">
        <v>44</v>
      </c>
      <c r="D30" s="59"/>
      <c r="E30" s="59"/>
      <c r="F30" s="59"/>
      <c r="G30" s="59"/>
      <c r="H30" s="11"/>
      <c r="I30" s="11"/>
      <c r="J30" s="11"/>
      <c r="K30" s="11"/>
      <c r="L30" s="11"/>
      <c r="M30" s="11"/>
      <c r="N30" s="11"/>
      <c r="O30" s="11"/>
    </row>
    <row r="31" spans="1:19" ht="20.25" x14ac:dyDescent="0.3">
      <c r="A31" s="11"/>
      <c r="B31" s="61"/>
      <c r="C31" s="61"/>
      <c r="D31" s="61"/>
      <c r="E31" s="61"/>
      <c r="F31" s="61"/>
      <c r="G31" s="61"/>
      <c r="H31" s="11"/>
      <c r="I31" s="11"/>
      <c r="J31" s="11"/>
      <c r="K31" s="11"/>
      <c r="L31" s="11"/>
      <c r="M31" s="11"/>
      <c r="N31" s="11"/>
      <c r="O31" s="11"/>
    </row>
    <row r="32" spans="1:19" ht="21" customHeight="1" x14ac:dyDescent="0.25">
      <c r="A32" s="11"/>
      <c r="B32" s="59" t="s">
        <v>43</v>
      </c>
      <c r="C32" s="59" t="s">
        <v>44</v>
      </c>
      <c r="D32" s="59"/>
      <c r="E32" s="191" t="s">
        <v>45</v>
      </c>
      <c r="F32" s="191"/>
      <c r="G32" s="59" t="s">
        <v>46</v>
      </c>
      <c r="H32" s="11"/>
      <c r="I32" s="11"/>
      <c r="J32" s="11"/>
      <c r="K32" s="11"/>
      <c r="L32" s="11"/>
      <c r="M32" s="11"/>
      <c r="N32" s="11"/>
      <c r="O32" s="11"/>
    </row>
    <row r="33" spans="2:7" ht="20.25" x14ac:dyDescent="0.3">
      <c r="B33" s="62"/>
      <c r="C33" s="62"/>
      <c r="D33" s="62"/>
      <c r="E33" s="62"/>
      <c r="F33" s="62"/>
      <c r="G33" s="62"/>
    </row>
  </sheetData>
  <mergeCells count="21">
    <mergeCell ref="H20:J20"/>
    <mergeCell ref="H21:J21"/>
    <mergeCell ref="H22:J22"/>
    <mergeCell ref="E32:F32"/>
    <mergeCell ref="B16:C16"/>
    <mergeCell ref="H17:J17"/>
    <mergeCell ref="C18:E18"/>
    <mergeCell ref="H18:J18"/>
    <mergeCell ref="H19:J19"/>
    <mergeCell ref="H6:J13"/>
    <mergeCell ref="L6:M13"/>
    <mergeCell ref="A2:O2"/>
    <mergeCell ref="A3:B3"/>
    <mergeCell ref="C3:N3"/>
    <mergeCell ref="A4:A5"/>
    <mergeCell ref="B4:B5"/>
    <mergeCell ref="C4:F4"/>
    <mergeCell ref="H4:J4"/>
    <mergeCell ref="N4:N5"/>
    <mergeCell ref="O4:O5"/>
    <mergeCell ref="L5:M5"/>
  </mergeCells>
  <conditionalFormatting sqref="N6:N13"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G13 K6:K13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1" right="0.2" top="0.25" bottom="0" header="0" footer="0"/>
  <pageSetup paperSize="9" scale="58" fitToHeight="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T31"/>
  <sheetViews>
    <sheetView topLeftCell="A4" zoomScale="70" zoomScaleNormal="70" workbookViewId="0">
      <selection activeCell="A2" sqref="A2:O31"/>
    </sheetView>
  </sheetViews>
  <sheetFormatPr defaultColWidth="9.140625" defaultRowHeight="15" x14ac:dyDescent="0.25"/>
  <cols>
    <col min="1" max="1" width="4.42578125" style="1" customWidth="1"/>
    <col min="2" max="2" width="50.140625" style="10" customWidth="1"/>
    <col min="3" max="5" width="16.140625" style="10" customWidth="1"/>
    <col min="6" max="6" width="15.28515625" style="10" customWidth="1"/>
    <col min="7" max="7" width="8.7109375" style="10" customWidth="1"/>
    <col min="8" max="10" width="15.28515625" style="10" customWidth="1"/>
    <col min="11" max="11" width="8.7109375" style="10" customWidth="1"/>
    <col min="12" max="12" width="27.7109375" style="10" customWidth="1"/>
    <col min="13" max="13" width="11" style="10" customWidth="1"/>
    <col min="14" max="14" width="12.42578125" style="10" bestFit="1" customWidth="1"/>
    <col min="15" max="15" width="16.42578125" style="10" customWidth="1"/>
    <col min="16" max="16" width="20.85546875" style="10" customWidth="1"/>
    <col min="17" max="16384" width="9.140625" style="10"/>
  </cols>
  <sheetData>
    <row r="1" spans="1:20" s="11" customFormat="1" ht="15.75" thickBot="1" x14ac:dyDescent="0.3"/>
    <row r="2" spans="1:20" s="11" customFormat="1" ht="35.25" customHeight="1" x14ac:dyDescent="0.25">
      <c r="A2" s="172" t="s">
        <v>94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4"/>
    </row>
    <row r="3" spans="1:20" ht="29.25" customHeight="1" thickBot="1" x14ac:dyDescent="0.3">
      <c r="A3" s="175" t="s">
        <v>85</v>
      </c>
      <c r="B3" s="176"/>
      <c r="C3" s="176" t="s">
        <v>6</v>
      </c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21" t="s">
        <v>18</v>
      </c>
    </row>
    <row r="4" spans="1:20" ht="61.5" customHeight="1" x14ac:dyDescent="0.25">
      <c r="A4" s="177" t="s">
        <v>0</v>
      </c>
      <c r="B4" s="179" t="s">
        <v>1</v>
      </c>
      <c r="C4" s="181" t="s">
        <v>2</v>
      </c>
      <c r="D4" s="182"/>
      <c r="E4" s="182"/>
      <c r="F4" s="182"/>
      <c r="G4" s="113" t="s">
        <v>19</v>
      </c>
      <c r="H4" s="183" t="s">
        <v>3</v>
      </c>
      <c r="I4" s="184"/>
      <c r="J4" s="184"/>
      <c r="K4" s="109" t="s">
        <v>13</v>
      </c>
      <c r="L4" s="122" t="s">
        <v>8</v>
      </c>
      <c r="M4" s="113" t="s">
        <v>14</v>
      </c>
      <c r="N4" s="181" t="s">
        <v>4</v>
      </c>
      <c r="O4" s="186" t="s">
        <v>28</v>
      </c>
    </row>
    <row r="5" spans="1:20" ht="68.25" customHeight="1" x14ac:dyDescent="0.25">
      <c r="A5" s="178"/>
      <c r="B5" s="204"/>
      <c r="C5" s="114" t="s">
        <v>30</v>
      </c>
      <c r="D5" s="97" t="s">
        <v>29</v>
      </c>
      <c r="E5" s="96" t="s">
        <v>9</v>
      </c>
      <c r="F5" s="96" t="s">
        <v>88</v>
      </c>
      <c r="G5" s="98" t="s">
        <v>5</v>
      </c>
      <c r="H5" s="114" t="s">
        <v>30</v>
      </c>
      <c r="I5" s="96" t="s">
        <v>9</v>
      </c>
      <c r="J5" s="96" t="s">
        <v>88</v>
      </c>
      <c r="K5" s="98" t="s">
        <v>5</v>
      </c>
      <c r="L5" s="188" t="s">
        <v>87</v>
      </c>
      <c r="M5" s="189"/>
      <c r="N5" s="185"/>
      <c r="O5" s="187"/>
      <c r="Q5" s="100"/>
      <c r="R5" s="100"/>
      <c r="S5" s="100"/>
      <c r="T5" s="100"/>
    </row>
    <row r="6" spans="1:20" ht="30.75" customHeight="1" x14ac:dyDescent="0.25">
      <c r="A6" s="140">
        <v>1</v>
      </c>
      <c r="B6" s="142" t="s">
        <v>99</v>
      </c>
      <c r="C6" s="139">
        <v>30</v>
      </c>
      <c r="D6" s="68">
        <v>10</v>
      </c>
      <c r="E6" s="68">
        <v>10</v>
      </c>
      <c r="F6" s="128">
        <v>5</v>
      </c>
      <c r="G6" s="141">
        <f>C6+D6+F6+E6</f>
        <v>55</v>
      </c>
      <c r="H6" s="192" t="s">
        <v>89</v>
      </c>
      <c r="I6" s="193"/>
      <c r="J6" s="193"/>
      <c r="K6" s="98">
        <v>0</v>
      </c>
      <c r="L6" s="197">
        <v>17</v>
      </c>
      <c r="M6" s="198"/>
      <c r="N6" s="132">
        <f>G6+K6+$L$6</f>
        <v>72</v>
      </c>
      <c r="O6" s="71" t="str">
        <f>IF(SUM(G6,K6,$L$6)&gt;71,"Ýokary",IF(SUM(G6,K6,$L$6)&gt;=56,"I dereje",IF(SUM(G6,K6,$L$6)&gt;=45,"II dereje",IF(SUM(G6,K6,$L$6)&gt;=35,"III dereje",IF(SUM(G6,K6,$L$6)&lt;=34,"Duýduryş")))))</f>
        <v>Ýokary</v>
      </c>
    </row>
    <row r="7" spans="1:20" ht="30.75" customHeight="1" x14ac:dyDescent="0.25">
      <c r="A7" s="140">
        <v>2</v>
      </c>
      <c r="B7" s="142" t="s">
        <v>100</v>
      </c>
      <c r="C7" s="139">
        <v>30</v>
      </c>
      <c r="D7" s="68">
        <v>10</v>
      </c>
      <c r="E7" s="68">
        <v>5</v>
      </c>
      <c r="F7" s="128">
        <v>5</v>
      </c>
      <c r="G7" s="141">
        <f>C7+D7+F7+E7</f>
        <v>50</v>
      </c>
      <c r="H7" s="192"/>
      <c r="I7" s="193"/>
      <c r="J7" s="193"/>
      <c r="K7" s="98">
        <f>H7+I7+J7</f>
        <v>0</v>
      </c>
      <c r="L7" s="197"/>
      <c r="M7" s="198"/>
      <c r="N7" s="132">
        <f t="shared" ref="N7:N11" si="0">G7+K7+$L$6</f>
        <v>67</v>
      </c>
      <c r="O7" s="71" t="str">
        <f t="shared" ref="O7:O11" si="1">IF(SUM(G7,K7,$L$6)&gt;71,"Ýokary",IF(SUM(G7,K7,$L$6)&gt;=56,"I dereje",IF(SUM(G7,K7,$L$6)&gt;=45,"II dereje",IF(SUM(G7,K7,$L$6)&gt;=35,"III dereje",IF(SUM(G7,K7,$L$6)&lt;=34,"Duýduryş")))))</f>
        <v>I dereje</v>
      </c>
    </row>
    <row r="8" spans="1:20" ht="30.75" customHeight="1" x14ac:dyDescent="0.25">
      <c r="A8" s="140">
        <v>3</v>
      </c>
      <c r="B8" s="142" t="s">
        <v>101</v>
      </c>
      <c r="C8" s="139">
        <v>30</v>
      </c>
      <c r="D8" s="68">
        <v>10</v>
      </c>
      <c r="E8" s="68">
        <v>0</v>
      </c>
      <c r="F8" s="128">
        <v>5</v>
      </c>
      <c r="G8" s="141">
        <f t="shared" ref="G8:G11" si="2">C8+D8+F8+E8</f>
        <v>45</v>
      </c>
      <c r="H8" s="192"/>
      <c r="I8" s="193"/>
      <c r="J8" s="193"/>
      <c r="K8" s="98">
        <f t="shared" ref="K8:K11" si="3">H8+I8+J8</f>
        <v>0</v>
      </c>
      <c r="L8" s="197"/>
      <c r="M8" s="198"/>
      <c r="N8" s="132">
        <f t="shared" si="0"/>
        <v>62</v>
      </c>
      <c r="O8" s="71" t="str">
        <f t="shared" si="1"/>
        <v>I dereje</v>
      </c>
    </row>
    <row r="9" spans="1:20" ht="30.75" customHeight="1" x14ac:dyDescent="0.25">
      <c r="A9" s="140">
        <v>4</v>
      </c>
      <c r="B9" s="142" t="s">
        <v>102</v>
      </c>
      <c r="C9" s="139">
        <v>30</v>
      </c>
      <c r="D9" s="68">
        <v>10</v>
      </c>
      <c r="E9" s="68">
        <v>10</v>
      </c>
      <c r="F9" s="128">
        <v>5</v>
      </c>
      <c r="G9" s="141">
        <f t="shared" si="2"/>
        <v>55</v>
      </c>
      <c r="H9" s="192"/>
      <c r="I9" s="193"/>
      <c r="J9" s="193"/>
      <c r="K9" s="98">
        <f t="shared" si="3"/>
        <v>0</v>
      </c>
      <c r="L9" s="197"/>
      <c r="M9" s="198"/>
      <c r="N9" s="132">
        <f t="shared" si="0"/>
        <v>72</v>
      </c>
      <c r="O9" s="71" t="str">
        <f t="shared" si="1"/>
        <v>Ýokary</v>
      </c>
      <c r="P9" s="63"/>
    </row>
    <row r="10" spans="1:20" ht="30.75" customHeight="1" x14ac:dyDescent="0.25">
      <c r="A10" s="140">
        <v>5</v>
      </c>
      <c r="B10" s="142" t="s">
        <v>103</v>
      </c>
      <c r="C10" s="139">
        <v>20</v>
      </c>
      <c r="D10" s="68">
        <v>10</v>
      </c>
      <c r="E10" s="68">
        <v>5</v>
      </c>
      <c r="F10" s="128">
        <v>4</v>
      </c>
      <c r="G10" s="141">
        <f t="shared" si="2"/>
        <v>39</v>
      </c>
      <c r="H10" s="192"/>
      <c r="I10" s="193"/>
      <c r="J10" s="193"/>
      <c r="K10" s="98">
        <f t="shared" si="3"/>
        <v>0</v>
      </c>
      <c r="L10" s="197"/>
      <c r="M10" s="198"/>
      <c r="N10" s="132">
        <f t="shared" si="0"/>
        <v>56</v>
      </c>
      <c r="O10" s="71" t="str">
        <f t="shared" si="1"/>
        <v>I dereje</v>
      </c>
      <c r="P10" s="63"/>
    </row>
    <row r="11" spans="1:20" ht="30.75" customHeight="1" x14ac:dyDescent="0.25">
      <c r="A11" s="140">
        <v>6</v>
      </c>
      <c r="B11" s="142" t="s">
        <v>104</v>
      </c>
      <c r="C11" s="139">
        <v>10</v>
      </c>
      <c r="D11" s="68">
        <v>10</v>
      </c>
      <c r="E11" s="68">
        <v>5</v>
      </c>
      <c r="F11" s="128">
        <v>3</v>
      </c>
      <c r="G11" s="141">
        <f t="shared" si="2"/>
        <v>28</v>
      </c>
      <c r="H11" s="192"/>
      <c r="I11" s="193"/>
      <c r="J11" s="193"/>
      <c r="K11" s="98">
        <f t="shared" si="3"/>
        <v>0</v>
      </c>
      <c r="L11" s="197"/>
      <c r="M11" s="198"/>
      <c r="N11" s="132">
        <f t="shared" si="0"/>
        <v>45</v>
      </c>
      <c r="O11" s="71" t="str">
        <f t="shared" si="1"/>
        <v>II dereje</v>
      </c>
      <c r="P11" s="63"/>
    </row>
    <row r="12" spans="1:20" ht="28.5" customHeight="1" x14ac:dyDescent="0.25">
      <c r="A12" s="11"/>
      <c r="B12" s="11"/>
      <c r="C12" s="106" t="s">
        <v>15</v>
      </c>
      <c r="D12" s="106" t="s">
        <v>17</v>
      </c>
      <c r="E12" s="107" t="s">
        <v>16</v>
      </c>
      <c r="F12" s="108" t="s">
        <v>10</v>
      </c>
      <c r="G12" s="106"/>
      <c r="H12" s="106" t="s">
        <v>12</v>
      </c>
      <c r="I12" s="107" t="s">
        <v>11</v>
      </c>
      <c r="J12" s="106" t="s">
        <v>10</v>
      </c>
      <c r="K12" s="106"/>
      <c r="L12" s="107" t="s">
        <v>86</v>
      </c>
      <c r="M12" s="11"/>
      <c r="N12" s="11"/>
      <c r="O12" s="11"/>
      <c r="S12" s="99"/>
    </row>
    <row r="13" spans="1:20" ht="18.75" x14ac:dyDescent="0.3">
      <c r="A13" s="11"/>
      <c r="B13" s="11"/>
      <c r="C13" s="11"/>
      <c r="D13" s="11"/>
      <c r="E13" s="3"/>
      <c r="F13" s="2"/>
      <c r="G13" s="11"/>
      <c r="H13" s="100"/>
      <c r="I13" s="100"/>
      <c r="J13" s="100"/>
      <c r="K13" s="100"/>
      <c r="L13" s="3"/>
      <c r="M13" s="11"/>
      <c r="N13" s="11"/>
      <c r="O13" s="11"/>
      <c r="S13" s="99"/>
    </row>
    <row r="14" spans="1:20" ht="18.75" x14ac:dyDescent="0.3">
      <c r="A14" s="11"/>
      <c r="B14" s="168" t="s">
        <v>20</v>
      </c>
      <c r="C14" s="168"/>
      <c r="D14" s="11"/>
      <c r="E14" s="11"/>
      <c r="F14" s="2"/>
      <c r="G14" s="11"/>
      <c r="H14" s="100"/>
      <c r="I14" s="100"/>
      <c r="J14" s="100"/>
      <c r="K14" s="100"/>
      <c r="L14" s="3"/>
      <c r="M14" s="11"/>
      <c r="N14" s="11"/>
      <c r="O14" s="11"/>
      <c r="S14" s="99"/>
    </row>
    <row r="15" spans="1:20" ht="27.75" customHeight="1" x14ac:dyDescent="0.3">
      <c r="A15" s="11"/>
      <c r="B15" s="4"/>
      <c r="C15" s="105" t="s">
        <v>21</v>
      </c>
      <c r="D15" s="97" t="s">
        <v>22</v>
      </c>
      <c r="E15" s="97" t="s">
        <v>23</v>
      </c>
      <c r="F15" s="2"/>
      <c r="G15" s="36"/>
      <c r="H15" s="196" t="s">
        <v>36</v>
      </c>
      <c r="I15" s="196"/>
      <c r="J15" s="196"/>
      <c r="K15" s="101"/>
      <c r="M15" s="36"/>
      <c r="N15" s="36"/>
      <c r="O15" s="11"/>
      <c r="S15" s="99"/>
    </row>
    <row r="16" spans="1:20" ht="27.75" customHeight="1" x14ac:dyDescent="0.3">
      <c r="A16" s="11"/>
      <c r="B16" s="66" t="s">
        <v>24</v>
      </c>
      <c r="C16" s="169">
        <v>6</v>
      </c>
      <c r="D16" s="170"/>
      <c r="E16" s="171"/>
      <c r="F16" s="2"/>
      <c r="G16" s="36"/>
      <c r="H16" s="190" t="s">
        <v>37</v>
      </c>
      <c r="I16" s="190"/>
      <c r="J16" s="190"/>
      <c r="K16" s="101"/>
      <c r="M16" s="36"/>
      <c r="N16" s="36"/>
      <c r="O16" s="11"/>
    </row>
    <row r="17" spans="1:15" ht="27.75" customHeight="1" x14ac:dyDescent="0.3">
      <c r="A17" s="11"/>
      <c r="B17" s="67" t="s">
        <v>25</v>
      </c>
      <c r="C17" s="64">
        <v>5</v>
      </c>
      <c r="D17" s="65">
        <v>1</v>
      </c>
      <c r="E17" s="65">
        <v>0</v>
      </c>
      <c r="F17" s="2"/>
      <c r="G17" s="36"/>
      <c r="H17" s="190" t="s">
        <v>38</v>
      </c>
      <c r="I17" s="190"/>
      <c r="J17" s="190"/>
      <c r="K17" s="101"/>
      <c r="M17" s="36"/>
      <c r="N17" s="36"/>
      <c r="O17" s="11"/>
    </row>
    <row r="18" spans="1:15" ht="27.75" customHeight="1" x14ac:dyDescent="0.3">
      <c r="A18" s="11"/>
      <c r="B18" s="67" t="s">
        <v>26</v>
      </c>
      <c r="C18" s="5">
        <f>C17/C16</f>
        <v>0.83333333333333337</v>
      </c>
      <c r="D18" s="5">
        <f>D17/C16</f>
        <v>0.16666666666666666</v>
      </c>
      <c r="E18" s="5">
        <f>E17/C16</f>
        <v>0</v>
      </c>
      <c r="F18" s="11"/>
      <c r="G18" s="36"/>
      <c r="H18" s="190" t="s">
        <v>39</v>
      </c>
      <c r="I18" s="190"/>
      <c r="J18" s="190"/>
      <c r="K18" s="101"/>
      <c r="M18" s="36"/>
      <c r="N18" s="36"/>
      <c r="O18" s="11"/>
    </row>
    <row r="19" spans="1:15" ht="27.75" customHeight="1" x14ac:dyDescent="0.25">
      <c r="A19" s="11"/>
      <c r="B19" s="95"/>
      <c r="C19" s="13"/>
      <c r="D19" s="14" t="s">
        <v>27</v>
      </c>
      <c r="E19" s="15">
        <f>SUM(C18:E18)</f>
        <v>1</v>
      </c>
      <c r="F19" s="11"/>
      <c r="G19" s="11"/>
      <c r="H19" s="190" t="s">
        <v>40</v>
      </c>
      <c r="I19" s="190"/>
      <c r="J19" s="190"/>
      <c r="K19" s="101"/>
      <c r="M19" s="11"/>
      <c r="N19" s="11"/>
      <c r="O19" s="11"/>
    </row>
    <row r="20" spans="1:15" ht="27.75" customHeight="1" x14ac:dyDescent="0.25">
      <c r="A20" s="11"/>
      <c r="B20" s="17"/>
      <c r="C20" s="17"/>
      <c r="D20" s="12"/>
      <c r="E20" s="15"/>
      <c r="F20" s="11"/>
      <c r="G20" s="11"/>
      <c r="H20" s="190" t="s">
        <v>41</v>
      </c>
      <c r="I20" s="190"/>
      <c r="J20" s="190"/>
      <c r="M20" s="11"/>
      <c r="N20" s="11"/>
      <c r="O20" s="11"/>
    </row>
    <row r="21" spans="1:15" ht="21" customHeight="1" x14ac:dyDescent="0.3">
      <c r="A21" s="11"/>
      <c r="B21" s="53" t="s">
        <v>42</v>
      </c>
      <c r="C21" s="53"/>
      <c r="D21" s="54"/>
      <c r="E21" s="55"/>
      <c r="F21" s="56"/>
      <c r="G21" s="56"/>
      <c r="H21" s="11"/>
      <c r="I21" s="11"/>
      <c r="M21" s="11"/>
      <c r="N21" s="11"/>
      <c r="O21" s="11"/>
    </row>
    <row r="22" spans="1:15" ht="21.75" customHeight="1" x14ac:dyDescent="0.3">
      <c r="A22" s="11"/>
      <c r="B22" s="53" t="s">
        <v>47</v>
      </c>
      <c r="C22" s="53" t="s">
        <v>44</v>
      </c>
      <c r="D22" s="53"/>
      <c r="E22" s="55"/>
      <c r="F22" s="56"/>
      <c r="G22" s="56"/>
      <c r="H22" s="11"/>
      <c r="I22" s="11"/>
      <c r="J22" s="11"/>
      <c r="K22" s="11"/>
      <c r="L22" s="11"/>
      <c r="M22" s="11"/>
      <c r="N22" s="11"/>
      <c r="O22" s="11"/>
    </row>
    <row r="23" spans="1:15" ht="20.25" x14ac:dyDescent="0.3">
      <c r="A23" s="11"/>
      <c r="B23" s="56"/>
      <c r="C23" s="57"/>
      <c r="D23" s="58"/>
      <c r="E23" s="55"/>
      <c r="F23" s="56"/>
      <c r="G23" s="56"/>
      <c r="H23" s="11"/>
      <c r="I23" s="11"/>
      <c r="J23" s="11"/>
      <c r="K23" s="11"/>
      <c r="L23" s="11"/>
      <c r="M23" s="11"/>
      <c r="N23" s="11"/>
      <c r="O23" s="11"/>
    </row>
    <row r="24" spans="1:15" ht="18" customHeight="1" x14ac:dyDescent="0.3">
      <c r="A24" s="11"/>
      <c r="B24" s="53" t="s">
        <v>7</v>
      </c>
      <c r="C24" s="53"/>
      <c r="D24" s="54"/>
      <c r="E24" s="56"/>
      <c r="F24" s="56"/>
      <c r="G24" s="56"/>
      <c r="I24" s="6"/>
      <c r="J24" s="16"/>
      <c r="K24" s="16"/>
      <c r="L24" s="11"/>
      <c r="M24" s="11"/>
      <c r="N24" s="11"/>
      <c r="O24" s="11"/>
    </row>
    <row r="25" spans="1:15" ht="20.25" x14ac:dyDescent="0.3">
      <c r="A25" s="11"/>
      <c r="B25" s="53"/>
      <c r="C25" s="53"/>
      <c r="D25" s="54"/>
      <c r="E25" s="56"/>
      <c r="F25" s="56"/>
      <c r="G25" s="56"/>
      <c r="I25" s="11"/>
      <c r="J25" s="11"/>
      <c r="K25" s="11"/>
      <c r="L25" s="11"/>
      <c r="M25" s="11"/>
      <c r="N25" s="11"/>
      <c r="O25" s="11"/>
    </row>
    <row r="26" spans="1:15" ht="21.75" customHeight="1" x14ac:dyDescent="0.3">
      <c r="A26" s="11"/>
      <c r="B26" s="53" t="s">
        <v>47</v>
      </c>
      <c r="C26" s="59" t="s">
        <v>44</v>
      </c>
      <c r="D26" s="54"/>
      <c r="E26" s="56"/>
      <c r="F26" s="56"/>
      <c r="G26" s="56"/>
      <c r="H26" s="11"/>
      <c r="I26" s="11"/>
      <c r="J26" s="11"/>
      <c r="K26" s="11"/>
      <c r="L26" s="11"/>
      <c r="M26" s="11"/>
      <c r="N26" s="11"/>
      <c r="O26" s="11"/>
    </row>
    <row r="27" spans="1:15" ht="20.25" x14ac:dyDescent="0.3">
      <c r="A27" s="11"/>
      <c r="B27" s="60"/>
      <c r="C27" s="53"/>
      <c r="D27" s="54"/>
      <c r="E27" s="56"/>
      <c r="F27" s="56"/>
      <c r="G27" s="56"/>
      <c r="H27" s="17"/>
      <c r="I27" s="11"/>
      <c r="J27" s="11"/>
      <c r="K27" s="11"/>
      <c r="L27" s="11"/>
      <c r="M27" s="11"/>
      <c r="N27" s="11"/>
      <c r="O27" s="11"/>
    </row>
    <row r="28" spans="1:15" ht="21" customHeight="1" x14ac:dyDescent="0.25">
      <c r="A28" s="11"/>
      <c r="B28" s="59" t="s">
        <v>67</v>
      </c>
      <c r="C28" s="59" t="s">
        <v>44</v>
      </c>
      <c r="D28" s="59"/>
      <c r="E28" s="59"/>
      <c r="F28" s="59"/>
      <c r="G28" s="59"/>
      <c r="H28" s="11"/>
      <c r="I28" s="11"/>
      <c r="J28" s="11"/>
      <c r="K28" s="11"/>
      <c r="L28" s="11"/>
      <c r="M28" s="11"/>
      <c r="N28" s="11"/>
      <c r="O28" s="11"/>
    </row>
    <row r="29" spans="1:15" ht="20.25" x14ac:dyDescent="0.3">
      <c r="A29" s="11"/>
      <c r="B29" s="61"/>
      <c r="C29" s="61"/>
      <c r="D29" s="61"/>
      <c r="E29" s="61"/>
      <c r="F29" s="61"/>
      <c r="G29" s="61"/>
      <c r="H29" s="11"/>
      <c r="I29" s="11"/>
      <c r="J29" s="11"/>
      <c r="K29" s="11"/>
      <c r="L29" s="11"/>
      <c r="M29" s="11"/>
      <c r="N29" s="11"/>
      <c r="O29" s="11"/>
    </row>
    <row r="30" spans="1:15" ht="21" customHeight="1" x14ac:dyDescent="0.25">
      <c r="A30" s="11"/>
      <c r="B30" s="59" t="s">
        <v>43</v>
      </c>
      <c r="C30" s="59" t="s">
        <v>44</v>
      </c>
      <c r="D30" s="59"/>
      <c r="E30" s="191" t="s">
        <v>45</v>
      </c>
      <c r="F30" s="191"/>
      <c r="G30" s="59" t="s">
        <v>46</v>
      </c>
      <c r="H30" s="11"/>
      <c r="I30" s="11"/>
      <c r="J30" s="11"/>
      <c r="K30" s="11"/>
      <c r="L30" s="11"/>
      <c r="M30" s="11"/>
      <c r="N30" s="11"/>
      <c r="O30" s="11"/>
    </row>
    <row r="31" spans="1:15" ht="20.25" x14ac:dyDescent="0.3">
      <c r="B31" s="62"/>
      <c r="C31" s="62"/>
      <c r="D31" s="62"/>
      <c r="E31" s="62"/>
      <c r="F31" s="62"/>
      <c r="G31" s="62"/>
    </row>
  </sheetData>
  <mergeCells count="21">
    <mergeCell ref="H20:J20"/>
    <mergeCell ref="E30:F30"/>
    <mergeCell ref="C16:E16"/>
    <mergeCell ref="H16:J16"/>
    <mergeCell ref="H17:J17"/>
    <mergeCell ref="H18:J18"/>
    <mergeCell ref="H19:J19"/>
    <mergeCell ref="H6:J11"/>
    <mergeCell ref="L6:M11"/>
    <mergeCell ref="B14:C14"/>
    <mergeCell ref="H15:J15"/>
    <mergeCell ref="A2:O2"/>
    <mergeCell ref="A3:B3"/>
    <mergeCell ref="C3:N3"/>
    <mergeCell ref="A4:A5"/>
    <mergeCell ref="B4:B5"/>
    <mergeCell ref="C4:F4"/>
    <mergeCell ref="H4:J4"/>
    <mergeCell ref="N4:N5"/>
    <mergeCell ref="O4:O5"/>
    <mergeCell ref="L5:M5"/>
  </mergeCells>
  <conditionalFormatting sqref="N6:N11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G11 K6:K11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3622047244094488" right="0.23622047244094488" top="0.46" bottom="0.45" header="0.31496062992125984" footer="0.31496062992125984"/>
  <pageSetup paperSize="9" scale="57" fitToHeight="0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T31"/>
  <sheetViews>
    <sheetView zoomScale="85" zoomScaleNormal="85" workbookViewId="0">
      <selection activeCell="L24" sqref="L24"/>
    </sheetView>
  </sheetViews>
  <sheetFormatPr defaultColWidth="9.140625" defaultRowHeight="15" x14ac:dyDescent="0.25"/>
  <cols>
    <col min="1" max="1" width="4.42578125" style="1" customWidth="1"/>
    <col min="2" max="2" width="50.140625" style="10" customWidth="1"/>
    <col min="3" max="5" width="16.140625" style="10" customWidth="1"/>
    <col min="6" max="6" width="15.28515625" style="10" customWidth="1"/>
    <col min="7" max="7" width="8.7109375" style="10" customWidth="1"/>
    <col min="8" max="10" width="15.28515625" style="10" customWidth="1"/>
    <col min="11" max="11" width="8.7109375" style="10" customWidth="1"/>
    <col min="12" max="12" width="27.7109375" style="10" customWidth="1"/>
    <col min="13" max="13" width="11" style="10" customWidth="1"/>
    <col min="14" max="14" width="12.42578125" style="10" bestFit="1" customWidth="1"/>
    <col min="15" max="15" width="16.42578125" style="10" customWidth="1"/>
    <col min="16" max="16" width="20.85546875" style="10" customWidth="1"/>
    <col min="17" max="16384" width="9.140625" style="10"/>
  </cols>
  <sheetData>
    <row r="1" spans="1:20" s="11" customFormat="1" ht="15.75" thickBot="1" x14ac:dyDescent="0.3"/>
    <row r="2" spans="1:20" s="11" customFormat="1" ht="35.25" customHeight="1" x14ac:dyDescent="0.25">
      <c r="A2" s="172" t="s">
        <v>95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4"/>
    </row>
    <row r="3" spans="1:20" ht="29.25" customHeight="1" thickBot="1" x14ac:dyDescent="0.3">
      <c r="A3" s="175" t="s">
        <v>85</v>
      </c>
      <c r="B3" s="176"/>
      <c r="C3" s="176" t="s">
        <v>6</v>
      </c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21" t="s">
        <v>18</v>
      </c>
    </row>
    <row r="4" spans="1:20" ht="61.5" customHeight="1" x14ac:dyDescent="0.25">
      <c r="A4" s="177" t="s">
        <v>0</v>
      </c>
      <c r="B4" s="179" t="s">
        <v>1</v>
      </c>
      <c r="C4" s="181" t="s">
        <v>2</v>
      </c>
      <c r="D4" s="182"/>
      <c r="E4" s="182"/>
      <c r="F4" s="182"/>
      <c r="G4" s="113" t="s">
        <v>19</v>
      </c>
      <c r="H4" s="183" t="s">
        <v>3</v>
      </c>
      <c r="I4" s="184"/>
      <c r="J4" s="184"/>
      <c r="K4" s="109" t="s">
        <v>13</v>
      </c>
      <c r="L4" s="122" t="s">
        <v>8</v>
      </c>
      <c r="M4" s="113" t="s">
        <v>14</v>
      </c>
      <c r="N4" s="181" t="s">
        <v>4</v>
      </c>
      <c r="O4" s="186" t="s">
        <v>28</v>
      </c>
    </row>
    <row r="5" spans="1:20" ht="68.25" customHeight="1" x14ac:dyDescent="0.25">
      <c r="A5" s="178"/>
      <c r="B5" s="180"/>
      <c r="C5" s="114" t="s">
        <v>30</v>
      </c>
      <c r="D5" s="97" t="s">
        <v>29</v>
      </c>
      <c r="E5" s="96" t="s">
        <v>9</v>
      </c>
      <c r="F5" s="96" t="s">
        <v>88</v>
      </c>
      <c r="G5" s="98" t="s">
        <v>5</v>
      </c>
      <c r="H5" s="114" t="s">
        <v>30</v>
      </c>
      <c r="I5" s="96" t="s">
        <v>9</v>
      </c>
      <c r="J5" s="96" t="s">
        <v>88</v>
      </c>
      <c r="K5" s="98" t="s">
        <v>5</v>
      </c>
      <c r="L5" s="188" t="s">
        <v>87</v>
      </c>
      <c r="M5" s="189"/>
      <c r="N5" s="185"/>
      <c r="O5" s="187"/>
      <c r="Q5" s="100"/>
      <c r="R5" s="100"/>
      <c r="S5" s="100"/>
      <c r="T5" s="100"/>
    </row>
    <row r="6" spans="1:20" ht="30.75" customHeight="1" x14ac:dyDescent="0.25">
      <c r="A6" s="140">
        <v>1</v>
      </c>
      <c r="B6" s="142" t="s">
        <v>106</v>
      </c>
      <c r="C6" s="139">
        <v>30</v>
      </c>
      <c r="D6" s="68">
        <v>10</v>
      </c>
      <c r="E6" s="68">
        <v>10</v>
      </c>
      <c r="F6" s="128">
        <v>5</v>
      </c>
      <c r="G6" s="141">
        <f>C6+D6+F6+E6</f>
        <v>55</v>
      </c>
      <c r="H6" s="192" t="s">
        <v>89</v>
      </c>
      <c r="I6" s="193"/>
      <c r="J6" s="193"/>
      <c r="K6" s="98">
        <v>0</v>
      </c>
      <c r="L6" s="197">
        <v>17</v>
      </c>
      <c r="M6" s="198"/>
      <c r="N6" s="132">
        <f>G6+K6+$L$6</f>
        <v>72</v>
      </c>
      <c r="O6" s="71" t="str">
        <f>IF(SUM(G6,K6,$L$6)&gt;71,"Ýokary",IF(SUM(G6,K6,$L$6)&gt;=56,"I dereje",IF(SUM(G6,K6,$L$6)&gt;=45,"II dereje",IF(SUM(G6,K6,$L$6)&gt;=35,"III dereje",IF(SUM(G6,K6,$L$6)&lt;=34,"Duýduryş")))))</f>
        <v>Ýokary</v>
      </c>
    </row>
    <row r="7" spans="1:20" ht="30.75" customHeight="1" x14ac:dyDescent="0.25">
      <c r="A7" s="140">
        <v>2</v>
      </c>
      <c r="B7" s="142" t="s">
        <v>107</v>
      </c>
      <c r="C7" s="139">
        <v>20</v>
      </c>
      <c r="D7" s="68">
        <v>10</v>
      </c>
      <c r="E7" s="68">
        <v>10</v>
      </c>
      <c r="F7" s="128">
        <v>5</v>
      </c>
      <c r="G7" s="141">
        <f>C7+D7+F7+E7</f>
        <v>45</v>
      </c>
      <c r="H7" s="192"/>
      <c r="I7" s="193"/>
      <c r="J7" s="193"/>
      <c r="K7" s="98">
        <f>H7+I7+J7</f>
        <v>0</v>
      </c>
      <c r="L7" s="197"/>
      <c r="M7" s="198"/>
      <c r="N7" s="132">
        <f t="shared" ref="N7:N11" si="0">G7+K7+$L$6</f>
        <v>62</v>
      </c>
      <c r="O7" s="71" t="str">
        <f>IF(SUM(G7,K7,$L$6)&gt;71,"Ýokary",IF(SUM(G7,K7,$L$6)&gt;=56,"I dereje",IF(SUM(G7,K7,$L$6)&gt;=45,"II dereje",IF(SUM(G7,K7,$L$6)&gt;=35,"III dereje",IF(SUM(G7,K7,$L$6)&lt;=34,"Duýduryş")))))</f>
        <v>I dereje</v>
      </c>
    </row>
    <row r="8" spans="1:20" ht="30.75" customHeight="1" x14ac:dyDescent="0.25">
      <c r="A8" s="140">
        <v>3</v>
      </c>
      <c r="B8" s="142" t="s">
        <v>108</v>
      </c>
      <c r="C8" s="139">
        <v>10</v>
      </c>
      <c r="D8" s="68">
        <v>10</v>
      </c>
      <c r="E8" s="68">
        <v>5</v>
      </c>
      <c r="F8" s="128">
        <v>4</v>
      </c>
      <c r="G8" s="141">
        <f t="shared" ref="G8:G11" si="1">C8+D8+F8+E8</f>
        <v>29</v>
      </c>
      <c r="H8" s="192"/>
      <c r="I8" s="193"/>
      <c r="J8" s="193"/>
      <c r="K8" s="98">
        <f t="shared" ref="K8:K11" si="2">H8+I8+J8</f>
        <v>0</v>
      </c>
      <c r="L8" s="197"/>
      <c r="M8" s="198"/>
      <c r="N8" s="132">
        <f t="shared" si="0"/>
        <v>46</v>
      </c>
      <c r="O8" s="71" t="str">
        <f>IF(SUM(G8,K8,$L$6)&gt;71,"Ýokary",IF(SUM(G8,K8,$L$6)&gt;=56,"I dereje",IF(SUM(G8,K8,$L$6)&gt;=45,"II dereje",IF(SUM(G8,K8,$L$6)&gt;=35,"III dereje",IF(SUM(G8,K8,$L$6)&lt;=34,"Duýduryş")))))</f>
        <v>II dereje</v>
      </c>
    </row>
    <row r="9" spans="1:20" ht="30.75" customHeight="1" x14ac:dyDescent="0.25">
      <c r="A9" s="140">
        <v>4</v>
      </c>
      <c r="B9" s="142" t="s">
        <v>109</v>
      </c>
      <c r="C9" s="139">
        <v>20</v>
      </c>
      <c r="D9" s="68">
        <v>10</v>
      </c>
      <c r="E9" s="68">
        <v>10</v>
      </c>
      <c r="F9" s="128">
        <v>4</v>
      </c>
      <c r="G9" s="141">
        <f t="shared" si="1"/>
        <v>44</v>
      </c>
      <c r="H9" s="192"/>
      <c r="I9" s="193"/>
      <c r="J9" s="193"/>
      <c r="K9" s="98">
        <f t="shared" si="2"/>
        <v>0</v>
      </c>
      <c r="L9" s="197"/>
      <c r="M9" s="198"/>
      <c r="N9" s="132">
        <f t="shared" si="0"/>
        <v>61</v>
      </c>
      <c r="O9" s="71" t="str">
        <f>IF(SUM(G9,K9,$L$6)&gt;71,"Ýokary",IF(SUM(G9,K9,$L$6)&gt;=56,"I dereje",IF(SUM(G9,K9,$L$6)&gt;=45,"II dereje",IF(SUM(G9,K9,$L$6)&gt;=35,"III dereje",IF(SUM(G9,K9,$L$6)&lt;=34,"Duýduryş")))))</f>
        <v>I dereje</v>
      </c>
      <c r="P9" s="63"/>
    </row>
    <row r="10" spans="1:20" ht="30.75" customHeight="1" x14ac:dyDescent="0.25">
      <c r="A10" s="140">
        <v>5</v>
      </c>
      <c r="B10" s="142" t="s">
        <v>110</v>
      </c>
      <c r="C10" s="139">
        <v>20</v>
      </c>
      <c r="D10" s="68">
        <v>10</v>
      </c>
      <c r="E10" s="68">
        <v>10</v>
      </c>
      <c r="F10" s="128">
        <v>5</v>
      </c>
      <c r="G10" s="141">
        <f t="shared" si="1"/>
        <v>45</v>
      </c>
      <c r="H10" s="192"/>
      <c r="I10" s="193"/>
      <c r="J10" s="193"/>
      <c r="K10" s="98">
        <f t="shared" si="2"/>
        <v>0</v>
      </c>
      <c r="L10" s="197"/>
      <c r="M10" s="198"/>
      <c r="N10" s="132">
        <f t="shared" si="0"/>
        <v>62</v>
      </c>
      <c r="O10" s="71" t="str">
        <f>IF(SUM(G10,K10,$L$6)&gt;71,"Ýokary",IF(SUM(G10,K10,$L$6)&gt;=56,"I dereje",IF(SUM(G10,K10,$L$6)&gt;=45,"II dereje",IF(SUM(G10,K10,$L$6)&gt;=35,"III dereje",IF(SUM(G10,K10,$L$6)&lt;=34,"Duýduryş")))))</f>
        <v>I dereje</v>
      </c>
      <c r="P10" s="63"/>
    </row>
    <row r="11" spans="1:20" ht="30.75" customHeight="1" x14ac:dyDescent="0.25">
      <c r="A11" s="140">
        <v>6</v>
      </c>
      <c r="B11" s="142" t="s">
        <v>111</v>
      </c>
      <c r="C11" s="139">
        <v>20</v>
      </c>
      <c r="D11" s="68">
        <v>10</v>
      </c>
      <c r="E11" s="68">
        <v>0</v>
      </c>
      <c r="F11" s="128">
        <v>4</v>
      </c>
      <c r="G11" s="141">
        <f t="shared" si="1"/>
        <v>34</v>
      </c>
      <c r="H11" s="192"/>
      <c r="I11" s="193"/>
      <c r="J11" s="193"/>
      <c r="K11" s="98">
        <f t="shared" si="2"/>
        <v>0</v>
      </c>
      <c r="L11" s="197"/>
      <c r="M11" s="198"/>
      <c r="N11" s="132">
        <f t="shared" si="0"/>
        <v>51</v>
      </c>
      <c r="O11" s="71" t="str">
        <f t="shared" ref="O11" si="3">IF(SUM(G11,K11,$L$6)&gt;71,"Ýokary",IF(SUM(G11,K11,$L$6)&gt;=56,"I dereje",IF(SUM(G11,K11,$L$6)&gt;=45,"II dereje",IF(SUM(G11,K11,$L$6)&gt;=35,"III dereje",IF(SUM(G11,K11,$L$6)&lt;=34,"Duýduryş")))))</f>
        <v>II dereje</v>
      </c>
      <c r="P11" s="63"/>
    </row>
    <row r="12" spans="1:20" ht="28.5" customHeight="1" x14ac:dyDescent="0.25">
      <c r="A12" s="11"/>
      <c r="B12" s="11"/>
      <c r="C12" s="106" t="s">
        <v>15</v>
      </c>
      <c r="D12" s="106" t="s">
        <v>17</v>
      </c>
      <c r="E12" s="107" t="s">
        <v>16</v>
      </c>
      <c r="F12" s="108" t="s">
        <v>10</v>
      </c>
      <c r="G12" s="106"/>
      <c r="H12" s="106" t="s">
        <v>12</v>
      </c>
      <c r="I12" s="107" t="s">
        <v>11</v>
      </c>
      <c r="J12" s="106" t="s">
        <v>10</v>
      </c>
      <c r="K12" s="106"/>
      <c r="L12" s="107" t="s">
        <v>86</v>
      </c>
      <c r="M12" s="11"/>
      <c r="N12" s="11"/>
      <c r="O12" s="11"/>
      <c r="S12" s="99"/>
    </row>
    <row r="13" spans="1:20" ht="18.75" x14ac:dyDescent="0.3">
      <c r="A13" s="11"/>
      <c r="B13" s="11"/>
      <c r="C13" s="11"/>
      <c r="D13" s="11"/>
      <c r="E13" s="3"/>
      <c r="F13" s="2"/>
      <c r="G13" s="11"/>
      <c r="H13" s="100"/>
      <c r="I13" s="100"/>
      <c r="J13" s="100"/>
      <c r="K13" s="100"/>
      <c r="L13" s="3"/>
      <c r="M13" s="11"/>
      <c r="N13" s="11"/>
      <c r="O13" s="11"/>
      <c r="S13" s="99"/>
    </row>
    <row r="14" spans="1:20" ht="18.75" x14ac:dyDescent="0.3">
      <c r="A14" s="11"/>
      <c r="B14" s="168" t="s">
        <v>20</v>
      </c>
      <c r="C14" s="168"/>
      <c r="D14" s="11"/>
      <c r="E14" s="11"/>
      <c r="F14" s="2"/>
      <c r="G14" s="11"/>
      <c r="H14" s="100"/>
      <c r="I14" s="100"/>
      <c r="J14" s="100"/>
      <c r="K14" s="100"/>
      <c r="L14" s="3"/>
      <c r="M14" s="11"/>
      <c r="N14" s="11"/>
      <c r="O14" s="11"/>
      <c r="S14" s="99"/>
    </row>
    <row r="15" spans="1:20" ht="27.75" customHeight="1" x14ac:dyDescent="0.3">
      <c r="A15" s="11"/>
      <c r="B15" s="4"/>
      <c r="C15" s="105" t="s">
        <v>21</v>
      </c>
      <c r="D15" s="97" t="s">
        <v>22</v>
      </c>
      <c r="E15" s="97" t="s">
        <v>23</v>
      </c>
      <c r="F15" s="2"/>
      <c r="G15" s="36"/>
      <c r="H15" s="196" t="s">
        <v>36</v>
      </c>
      <c r="I15" s="196"/>
      <c r="J15" s="196"/>
      <c r="K15" s="101"/>
      <c r="M15" s="36"/>
      <c r="N15" s="36"/>
      <c r="O15" s="11"/>
      <c r="S15" s="99"/>
    </row>
    <row r="16" spans="1:20" ht="27.75" customHeight="1" x14ac:dyDescent="0.3">
      <c r="A16" s="11"/>
      <c r="B16" s="66" t="s">
        <v>24</v>
      </c>
      <c r="C16" s="169">
        <v>6</v>
      </c>
      <c r="D16" s="170"/>
      <c r="E16" s="171"/>
      <c r="F16" s="2"/>
      <c r="G16" s="36"/>
      <c r="H16" s="190" t="s">
        <v>37</v>
      </c>
      <c r="I16" s="190"/>
      <c r="J16" s="190"/>
      <c r="K16" s="101"/>
      <c r="M16" s="36"/>
      <c r="N16" s="36"/>
      <c r="O16" s="11"/>
    </row>
    <row r="17" spans="1:15" ht="27.75" customHeight="1" x14ac:dyDescent="0.3">
      <c r="A17" s="11"/>
      <c r="B17" s="67" t="s">
        <v>25</v>
      </c>
      <c r="C17" s="64">
        <v>4</v>
      </c>
      <c r="D17" s="65">
        <v>2</v>
      </c>
      <c r="E17" s="65">
        <v>0</v>
      </c>
      <c r="F17" s="2"/>
      <c r="G17" s="36"/>
      <c r="H17" s="190" t="s">
        <v>38</v>
      </c>
      <c r="I17" s="190"/>
      <c r="J17" s="190"/>
      <c r="K17" s="101"/>
      <c r="M17" s="36"/>
      <c r="N17" s="36"/>
      <c r="O17" s="11"/>
    </row>
    <row r="18" spans="1:15" ht="27.75" customHeight="1" x14ac:dyDescent="0.3">
      <c r="A18" s="11"/>
      <c r="B18" s="67" t="s">
        <v>26</v>
      </c>
      <c r="C18" s="5">
        <f>C17/C16</f>
        <v>0.66666666666666663</v>
      </c>
      <c r="D18" s="5">
        <f>D17/C16</f>
        <v>0.33333333333333331</v>
      </c>
      <c r="E18" s="5">
        <f>E17/C16</f>
        <v>0</v>
      </c>
      <c r="F18" s="11"/>
      <c r="G18" s="36"/>
      <c r="H18" s="190" t="s">
        <v>39</v>
      </c>
      <c r="I18" s="190"/>
      <c r="J18" s="190"/>
      <c r="K18" s="101"/>
      <c r="M18" s="36"/>
      <c r="N18" s="36"/>
      <c r="O18" s="11"/>
    </row>
    <row r="19" spans="1:15" ht="27.75" customHeight="1" x14ac:dyDescent="0.25">
      <c r="A19" s="11"/>
      <c r="B19" s="95"/>
      <c r="C19" s="13"/>
      <c r="D19" s="14" t="s">
        <v>27</v>
      </c>
      <c r="E19" s="15">
        <f>SUM(C18:E18)</f>
        <v>1</v>
      </c>
      <c r="F19" s="11"/>
      <c r="G19" s="11"/>
      <c r="H19" s="190" t="s">
        <v>40</v>
      </c>
      <c r="I19" s="190"/>
      <c r="J19" s="190"/>
      <c r="K19" s="101"/>
      <c r="M19" s="11"/>
      <c r="N19" s="11"/>
      <c r="O19" s="11"/>
    </row>
    <row r="20" spans="1:15" ht="27.75" customHeight="1" x14ac:dyDescent="0.25">
      <c r="A20" s="11"/>
      <c r="B20" s="17"/>
      <c r="C20" s="17"/>
      <c r="D20" s="12"/>
      <c r="E20" s="15"/>
      <c r="F20" s="11"/>
      <c r="G20" s="11"/>
      <c r="H20" s="190" t="s">
        <v>41</v>
      </c>
      <c r="I20" s="190"/>
      <c r="J20" s="190"/>
      <c r="M20" s="11"/>
      <c r="N20" s="11"/>
      <c r="O20" s="11"/>
    </row>
    <row r="21" spans="1:15" ht="21" customHeight="1" x14ac:dyDescent="0.3">
      <c r="A21" s="11"/>
      <c r="B21" s="53" t="s">
        <v>42</v>
      </c>
      <c r="C21" s="53"/>
      <c r="D21" s="54"/>
      <c r="E21" s="55"/>
      <c r="F21" s="56"/>
      <c r="G21" s="56"/>
      <c r="H21" s="11"/>
      <c r="I21" s="11"/>
      <c r="M21" s="11"/>
      <c r="N21" s="11"/>
      <c r="O21" s="11"/>
    </row>
    <row r="22" spans="1:15" ht="21.75" customHeight="1" x14ac:dyDescent="0.3">
      <c r="A22" s="11"/>
      <c r="B22" s="53" t="s">
        <v>47</v>
      </c>
      <c r="C22" s="53" t="s">
        <v>44</v>
      </c>
      <c r="D22" s="53"/>
      <c r="E22" s="55"/>
      <c r="F22" s="56"/>
      <c r="G22" s="56"/>
      <c r="H22" s="11"/>
      <c r="I22" s="11"/>
      <c r="J22" s="11"/>
      <c r="K22" s="11"/>
      <c r="L22" s="11"/>
      <c r="M22" s="11"/>
      <c r="N22" s="11"/>
      <c r="O22" s="11"/>
    </row>
    <row r="23" spans="1:15" ht="20.25" x14ac:dyDescent="0.3">
      <c r="A23" s="11"/>
      <c r="B23" s="56"/>
      <c r="C23" s="57"/>
      <c r="D23" s="58"/>
      <c r="E23" s="55"/>
      <c r="F23" s="56"/>
      <c r="G23" s="56"/>
      <c r="H23" s="11"/>
      <c r="I23" s="11"/>
      <c r="J23" s="11"/>
      <c r="K23" s="11"/>
      <c r="L23" s="11"/>
      <c r="M23" s="11"/>
      <c r="N23" s="11"/>
      <c r="O23" s="11"/>
    </row>
    <row r="24" spans="1:15" ht="18" customHeight="1" x14ac:dyDescent="0.3">
      <c r="A24" s="11"/>
      <c r="B24" s="53" t="s">
        <v>7</v>
      </c>
      <c r="C24" s="53"/>
      <c r="D24" s="54"/>
      <c r="E24" s="56"/>
      <c r="F24" s="56"/>
      <c r="G24" s="56"/>
      <c r="I24" s="6"/>
      <c r="J24" s="16"/>
      <c r="K24" s="16"/>
      <c r="L24" s="11"/>
      <c r="M24" s="11"/>
      <c r="N24" s="11"/>
      <c r="O24" s="11"/>
    </row>
    <row r="25" spans="1:15" ht="20.25" x14ac:dyDescent="0.3">
      <c r="A25" s="11"/>
      <c r="B25" s="53"/>
      <c r="C25" s="53"/>
      <c r="D25" s="54"/>
      <c r="E25" s="56"/>
      <c r="F25" s="56"/>
      <c r="G25" s="56"/>
      <c r="I25" s="11"/>
      <c r="J25" s="11"/>
      <c r="K25" s="11"/>
      <c r="L25" s="11"/>
      <c r="M25" s="11"/>
      <c r="N25" s="11"/>
      <c r="O25" s="11"/>
    </row>
    <row r="26" spans="1:15" ht="21.75" customHeight="1" x14ac:dyDescent="0.3">
      <c r="A26" s="11"/>
      <c r="B26" s="53" t="s">
        <v>47</v>
      </c>
      <c r="C26" s="59" t="s">
        <v>44</v>
      </c>
      <c r="D26" s="54"/>
      <c r="E26" s="56"/>
      <c r="F26" s="56"/>
      <c r="G26" s="56"/>
      <c r="H26" s="11"/>
      <c r="I26" s="11"/>
      <c r="J26" s="11"/>
      <c r="K26" s="11"/>
      <c r="L26" s="11"/>
      <c r="M26" s="11"/>
      <c r="N26" s="11"/>
      <c r="O26" s="11"/>
    </row>
    <row r="27" spans="1:15" ht="20.25" x14ac:dyDescent="0.3">
      <c r="A27" s="11"/>
      <c r="B27" s="60"/>
      <c r="C27" s="53"/>
      <c r="D27" s="54"/>
      <c r="E27" s="56"/>
      <c r="F27" s="56"/>
      <c r="G27" s="56"/>
      <c r="H27" s="17"/>
      <c r="I27" s="11"/>
      <c r="J27" s="11"/>
      <c r="K27" s="11"/>
      <c r="L27" s="11"/>
      <c r="M27" s="11"/>
      <c r="N27" s="11"/>
      <c r="O27" s="11"/>
    </row>
    <row r="28" spans="1:15" ht="21" customHeight="1" x14ac:dyDescent="0.25">
      <c r="A28" s="11"/>
      <c r="B28" s="59" t="s">
        <v>67</v>
      </c>
      <c r="C28" s="59" t="s">
        <v>44</v>
      </c>
      <c r="D28" s="59"/>
      <c r="E28" s="59"/>
      <c r="F28" s="59"/>
      <c r="G28" s="59"/>
      <c r="H28" s="11"/>
      <c r="I28" s="11"/>
      <c r="J28" s="11"/>
      <c r="K28" s="11"/>
      <c r="L28" s="11"/>
      <c r="M28" s="11"/>
      <c r="N28" s="11"/>
      <c r="O28" s="11"/>
    </row>
    <row r="29" spans="1:15" ht="20.25" x14ac:dyDescent="0.3">
      <c r="A29" s="11"/>
      <c r="B29" s="61"/>
      <c r="C29" s="61"/>
      <c r="D29" s="61"/>
      <c r="E29" s="61"/>
      <c r="F29" s="61"/>
      <c r="G29" s="61"/>
      <c r="H29" s="11"/>
      <c r="I29" s="11"/>
      <c r="J29" s="11"/>
      <c r="K29" s="11"/>
      <c r="L29" s="11"/>
      <c r="M29" s="11"/>
      <c r="N29" s="11"/>
      <c r="O29" s="11"/>
    </row>
    <row r="30" spans="1:15" ht="21" customHeight="1" x14ac:dyDescent="0.25">
      <c r="A30" s="11"/>
      <c r="B30" s="59" t="s">
        <v>43</v>
      </c>
      <c r="C30" s="59" t="s">
        <v>44</v>
      </c>
      <c r="D30" s="59"/>
      <c r="E30" s="191" t="s">
        <v>45</v>
      </c>
      <c r="F30" s="191"/>
      <c r="G30" s="59" t="s">
        <v>46</v>
      </c>
      <c r="H30" s="11"/>
      <c r="I30" s="11"/>
      <c r="J30" s="11"/>
      <c r="K30" s="11"/>
      <c r="L30" s="11"/>
      <c r="M30" s="11"/>
      <c r="N30" s="11"/>
      <c r="O30" s="11"/>
    </row>
    <row r="31" spans="1:15" ht="20.25" x14ac:dyDescent="0.3">
      <c r="B31" s="62"/>
      <c r="C31" s="62"/>
      <c r="D31" s="62"/>
      <c r="E31" s="62"/>
      <c r="F31" s="62"/>
      <c r="G31" s="62"/>
    </row>
  </sheetData>
  <mergeCells count="21">
    <mergeCell ref="H20:J20"/>
    <mergeCell ref="E30:F30"/>
    <mergeCell ref="C16:E16"/>
    <mergeCell ref="H16:J16"/>
    <mergeCell ref="H17:J17"/>
    <mergeCell ref="H18:J18"/>
    <mergeCell ref="H19:J19"/>
    <mergeCell ref="H15:J15"/>
    <mergeCell ref="A2:O2"/>
    <mergeCell ref="A3:B3"/>
    <mergeCell ref="C3:N3"/>
    <mergeCell ref="A4:A5"/>
    <mergeCell ref="B4:B5"/>
    <mergeCell ref="C4:F4"/>
    <mergeCell ref="H4:J4"/>
    <mergeCell ref="N4:N5"/>
    <mergeCell ref="O4:O5"/>
    <mergeCell ref="L5:M5"/>
    <mergeCell ref="H6:J11"/>
    <mergeCell ref="L6:M11"/>
    <mergeCell ref="B14:C14"/>
  </mergeCells>
  <conditionalFormatting sqref="N6:N11"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G11 K6:K11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1" right="0.2" top="0.25" bottom="0" header="0" footer="0"/>
  <pageSetup paperSize="9" scale="58" fitToHeight="0" orientation="landscape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1:T32"/>
  <sheetViews>
    <sheetView topLeftCell="A8" zoomScale="85" zoomScaleNormal="85" workbookViewId="0">
      <selection activeCell="A2" sqref="A2:O32"/>
    </sheetView>
  </sheetViews>
  <sheetFormatPr defaultColWidth="9.140625" defaultRowHeight="15" x14ac:dyDescent="0.25"/>
  <cols>
    <col min="1" max="1" width="4.42578125" style="1" customWidth="1"/>
    <col min="2" max="2" width="50.140625" style="10" customWidth="1"/>
    <col min="3" max="5" width="16.140625" style="10" customWidth="1"/>
    <col min="6" max="6" width="15.28515625" style="10" customWidth="1"/>
    <col min="7" max="7" width="8.7109375" style="10" customWidth="1"/>
    <col min="8" max="10" width="15.28515625" style="10" customWidth="1"/>
    <col min="11" max="11" width="8.7109375" style="10" customWidth="1"/>
    <col min="12" max="12" width="27.7109375" style="10" customWidth="1"/>
    <col min="13" max="13" width="11" style="10" customWidth="1"/>
    <col min="14" max="14" width="12.42578125" style="10" bestFit="1" customWidth="1"/>
    <col min="15" max="15" width="16.42578125" style="10" customWidth="1"/>
    <col min="16" max="16" width="20.85546875" style="10" customWidth="1"/>
    <col min="17" max="16384" width="9.140625" style="10"/>
  </cols>
  <sheetData>
    <row r="1" spans="1:20" s="11" customFormat="1" ht="15.75" thickBot="1" x14ac:dyDescent="0.3"/>
    <row r="2" spans="1:20" s="11" customFormat="1" ht="35.25" customHeight="1" x14ac:dyDescent="0.25">
      <c r="A2" s="172" t="s">
        <v>96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4"/>
    </row>
    <row r="3" spans="1:20" ht="29.25" customHeight="1" thickBot="1" x14ac:dyDescent="0.3">
      <c r="A3" s="175" t="s">
        <v>85</v>
      </c>
      <c r="B3" s="176"/>
      <c r="C3" s="176" t="s">
        <v>6</v>
      </c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21" t="s">
        <v>18</v>
      </c>
    </row>
    <row r="4" spans="1:20" ht="61.5" customHeight="1" x14ac:dyDescent="0.25">
      <c r="A4" s="177" t="s">
        <v>0</v>
      </c>
      <c r="B4" s="179" t="s">
        <v>1</v>
      </c>
      <c r="C4" s="181" t="s">
        <v>2</v>
      </c>
      <c r="D4" s="182"/>
      <c r="E4" s="182"/>
      <c r="F4" s="182"/>
      <c r="G4" s="113" t="s">
        <v>19</v>
      </c>
      <c r="H4" s="183" t="s">
        <v>3</v>
      </c>
      <c r="I4" s="184"/>
      <c r="J4" s="184"/>
      <c r="K4" s="109" t="s">
        <v>13</v>
      </c>
      <c r="L4" s="122" t="s">
        <v>8</v>
      </c>
      <c r="M4" s="113" t="s">
        <v>14</v>
      </c>
      <c r="N4" s="181" t="s">
        <v>4</v>
      </c>
      <c r="O4" s="186" t="s">
        <v>28</v>
      </c>
    </row>
    <row r="5" spans="1:20" ht="68.25" customHeight="1" x14ac:dyDescent="0.25">
      <c r="A5" s="178"/>
      <c r="B5" s="180"/>
      <c r="C5" s="114" t="s">
        <v>30</v>
      </c>
      <c r="D5" s="97" t="s">
        <v>29</v>
      </c>
      <c r="E5" s="96" t="s">
        <v>9</v>
      </c>
      <c r="F5" s="96" t="s">
        <v>88</v>
      </c>
      <c r="G5" s="98" t="s">
        <v>5</v>
      </c>
      <c r="H5" s="114" t="s">
        <v>30</v>
      </c>
      <c r="I5" s="96" t="s">
        <v>9</v>
      </c>
      <c r="J5" s="96" t="s">
        <v>88</v>
      </c>
      <c r="K5" s="98" t="s">
        <v>5</v>
      </c>
      <c r="L5" s="188" t="s">
        <v>87</v>
      </c>
      <c r="M5" s="189"/>
      <c r="N5" s="185"/>
      <c r="O5" s="187"/>
      <c r="Q5" s="100"/>
      <c r="R5" s="100"/>
      <c r="S5" s="100"/>
      <c r="T5" s="100"/>
    </row>
    <row r="6" spans="1:20" ht="29.25" customHeight="1" x14ac:dyDescent="0.25">
      <c r="A6" s="104">
        <v>1</v>
      </c>
      <c r="B6" s="142" t="s">
        <v>112</v>
      </c>
      <c r="C6" s="139">
        <v>10</v>
      </c>
      <c r="D6" s="68">
        <v>10</v>
      </c>
      <c r="E6" s="68">
        <v>5</v>
      </c>
      <c r="F6" s="128">
        <v>4</v>
      </c>
      <c r="G6" s="136">
        <f>C6+D6+F6+E6</f>
        <v>29</v>
      </c>
      <c r="H6" s="192" t="s">
        <v>89</v>
      </c>
      <c r="I6" s="193"/>
      <c r="J6" s="193"/>
      <c r="K6" s="98">
        <v>0</v>
      </c>
      <c r="L6" s="197">
        <v>17</v>
      </c>
      <c r="M6" s="198"/>
      <c r="N6" s="132">
        <f>G6+K6+$L$6</f>
        <v>46</v>
      </c>
      <c r="O6" s="71" t="str">
        <f>IF(SUM(G6,K6,$L$6)&gt;71,"Ýokary",IF(SUM(G6,K6,$L$6)&gt;=56,"I dereje",IF(SUM(G6,K6,$L$6)&gt;=45,"II dereje",IF(SUM(G6,K6,$L$6)&gt;=35,"III dereje",IF(SUM(G6,K6,$L$6)&lt;=34,"Duýduryş")))))</f>
        <v>II dereje</v>
      </c>
    </row>
    <row r="7" spans="1:20" ht="29.25" customHeight="1" x14ac:dyDescent="0.25">
      <c r="A7" s="104">
        <v>2</v>
      </c>
      <c r="B7" s="142" t="s">
        <v>113</v>
      </c>
      <c r="C7" s="139">
        <v>20</v>
      </c>
      <c r="D7" s="68">
        <v>10</v>
      </c>
      <c r="E7" s="68">
        <v>0</v>
      </c>
      <c r="F7" s="128">
        <v>5</v>
      </c>
      <c r="G7" s="136">
        <f>C7+D7+F7+E7</f>
        <v>35</v>
      </c>
      <c r="H7" s="192"/>
      <c r="I7" s="193"/>
      <c r="J7" s="193"/>
      <c r="K7" s="98">
        <f>H7+I7+J7</f>
        <v>0</v>
      </c>
      <c r="L7" s="197"/>
      <c r="M7" s="198"/>
      <c r="N7" s="132">
        <f t="shared" ref="N7:N12" si="0">G7+K7+$L$6</f>
        <v>52</v>
      </c>
      <c r="O7" s="71" t="str">
        <f t="shared" ref="O7:O12" si="1">IF(SUM(G7,K7,$L$6)&gt;71,"Ýokary",IF(SUM(G7,K7,$L$6)&gt;=56,"I dereje",IF(SUM(G7,K7,$L$6)&gt;=45,"II dereje",IF(SUM(G7,K7,$L$6)&gt;=35,"III dereje",IF(SUM(G7,K7,$L$6)&lt;=34,"Duýduryş")))))</f>
        <v>II dereje</v>
      </c>
    </row>
    <row r="8" spans="1:20" ht="29.25" customHeight="1" x14ac:dyDescent="0.25">
      <c r="A8" s="104">
        <v>3</v>
      </c>
      <c r="B8" s="142" t="s">
        <v>114</v>
      </c>
      <c r="C8" s="139">
        <v>20</v>
      </c>
      <c r="D8" s="68">
        <v>10</v>
      </c>
      <c r="E8" s="68">
        <v>10</v>
      </c>
      <c r="F8" s="128">
        <v>5</v>
      </c>
      <c r="G8" s="136">
        <f t="shared" ref="G8:G12" si="2">C8+D8+F8+E8</f>
        <v>45</v>
      </c>
      <c r="H8" s="192"/>
      <c r="I8" s="193"/>
      <c r="J8" s="193"/>
      <c r="K8" s="98">
        <f t="shared" ref="K8:K12" si="3">H8+I8+J8</f>
        <v>0</v>
      </c>
      <c r="L8" s="197"/>
      <c r="M8" s="198"/>
      <c r="N8" s="132">
        <f t="shared" si="0"/>
        <v>62</v>
      </c>
      <c r="O8" s="71" t="str">
        <f t="shared" si="1"/>
        <v>I dereje</v>
      </c>
    </row>
    <row r="9" spans="1:20" ht="29.25" customHeight="1" x14ac:dyDescent="0.25">
      <c r="A9" s="104">
        <v>4</v>
      </c>
      <c r="B9" s="142" t="s">
        <v>115</v>
      </c>
      <c r="C9" s="139">
        <v>30</v>
      </c>
      <c r="D9" s="68">
        <v>10</v>
      </c>
      <c r="E9" s="68">
        <v>5</v>
      </c>
      <c r="F9" s="128">
        <v>5</v>
      </c>
      <c r="G9" s="136">
        <f>C9+D9+F9+E9</f>
        <v>50</v>
      </c>
      <c r="H9" s="192"/>
      <c r="I9" s="193"/>
      <c r="J9" s="193"/>
      <c r="K9" s="98">
        <f t="shared" si="3"/>
        <v>0</v>
      </c>
      <c r="L9" s="197"/>
      <c r="M9" s="198"/>
      <c r="N9" s="132">
        <f t="shared" si="0"/>
        <v>67</v>
      </c>
      <c r="O9" s="71" t="str">
        <f t="shared" si="1"/>
        <v>I dereje</v>
      </c>
      <c r="P9" s="63"/>
    </row>
    <row r="10" spans="1:20" ht="29.25" customHeight="1" x14ac:dyDescent="0.25">
      <c r="A10" s="104">
        <v>5</v>
      </c>
      <c r="B10" s="143" t="s">
        <v>116</v>
      </c>
      <c r="C10" s="139">
        <v>20</v>
      </c>
      <c r="D10" s="68">
        <v>10</v>
      </c>
      <c r="E10" s="68">
        <v>5</v>
      </c>
      <c r="F10" s="128">
        <v>5</v>
      </c>
      <c r="G10" s="136">
        <f t="shared" si="2"/>
        <v>40</v>
      </c>
      <c r="H10" s="192"/>
      <c r="I10" s="193"/>
      <c r="J10" s="193"/>
      <c r="K10" s="98">
        <f t="shared" si="3"/>
        <v>0</v>
      </c>
      <c r="L10" s="197"/>
      <c r="M10" s="198"/>
      <c r="N10" s="132">
        <f t="shared" si="0"/>
        <v>57</v>
      </c>
      <c r="O10" s="71" t="str">
        <f t="shared" si="1"/>
        <v>I dereje</v>
      </c>
      <c r="P10" s="63"/>
    </row>
    <row r="11" spans="1:20" ht="29.25" customHeight="1" x14ac:dyDescent="0.25">
      <c r="A11" s="104">
        <v>6</v>
      </c>
      <c r="B11" s="142" t="s">
        <v>117</v>
      </c>
      <c r="C11" s="139">
        <v>20</v>
      </c>
      <c r="D11" s="68">
        <v>10</v>
      </c>
      <c r="E11" s="68">
        <v>5</v>
      </c>
      <c r="F11" s="128">
        <v>5</v>
      </c>
      <c r="G11" s="136">
        <f t="shared" si="2"/>
        <v>40</v>
      </c>
      <c r="H11" s="192"/>
      <c r="I11" s="193"/>
      <c r="J11" s="193"/>
      <c r="K11" s="98">
        <f t="shared" si="3"/>
        <v>0</v>
      </c>
      <c r="L11" s="197"/>
      <c r="M11" s="198"/>
      <c r="N11" s="132">
        <f t="shared" si="0"/>
        <v>57</v>
      </c>
      <c r="O11" s="71" t="str">
        <f t="shared" si="1"/>
        <v>I dereje</v>
      </c>
      <c r="P11" s="63"/>
    </row>
    <row r="12" spans="1:20" ht="29.25" customHeight="1" x14ac:dyDescent="0.25">
      <c r="A12" s="104">
        <v>7</v>
      </c>
      <c r="B12" s="142" t="s">
        <v>118</v>
      </c>
      <c r="C12" s="68">
        <v>20</v>
      </c>
      <c r="D12" s="68">
        <v>10</v>
      </c>
      <c r="E12" s="68">
        <v>5</v>
      </c>
      <c r="F12" s="128">
        <v>5</v>
      </c>
      <c r="G12" s="136">
        <f t="shared" si="2"/>
        <v>40</v>
      </c>
      <c r="H12" s="192"/>
      <c r="I12" s="193"/>
      <c r="J12" s="193"/>
      <c r="K12" s="98">
        <f t="shared" si="3"/>
        <v>0</v>
      </c>
      <c r="L12" s="197"/>
      <c r="M12" s="198"/>
      <c r="N12" s="132">
        <f t="shared" si="0"/>
        <v>57</v>
      </c>
      <c r="O12" s="71" t="str">
        <f t="shared" si="1"/>
        <v>I dereje</v>
      </c>
      <c r="P12" s="63"/>
    </row>
    <row r="13" spans="1:20" ht="28.5" customHeight="1" x14ac:dyDescent="0.25">
      <c r="A13" s="11"/>
      <c r="B13" s="11"/>
      <c r="C13" s="106" t="s">
        <v>15</v>
      </c>
      <c r="D13" s="106" t="s">
        <v>17</v>
      </c>
      <c r="E13" s="107" t="s">
        <v>16</v>
      </c>
      <c r="F13" s="108" t="s">
        <v>10</v>
      </c>
      <c r="G13" s="106"/>
      <c r="H13" s="106" t="s">
        <v>12</v>
      </c>
      <c r="I13" s="107" t="s">
        <v>11</v>
      </c>
      <c r="J13" s="106" t="s">
        <v>10</v>
      </c>
      <c r="K13" s="106"/>
      <c r="L13" s="107" t="s">
        <v>86</v>
      </c>
      <c r="M13" s="11"/>
      <c r="N13" s="11"/>
      <c r="O13" s="11"/>
      <c r="S13" s="99"/>
    </row>
    <row r="14" spans="1:20" ht="18.75" x14ac:dyDescent="0.3">
      <c r="A14" s="11"/>
      <c r="B14" s="11"/>
      <c r="C14" s="11"/>
      <c r="D14" s="11"/>
      <c r="E14" s="3"/>
      <c r="F14" s="2"/>
      <c r="G14" s="11"/>
      <c r="H14" s="100"/>
      <c r="I14" s="100"/>
      <c r="J14" s="100"/>
      <c r="K14" s="100"/>
      <c r="L14" s="3"/>
      <c r="M14" s="11"/>
      <c r="N14" s="11"/>
      <c r="O14" s="11"/>
      <c r="S14" s="99"/>
    </row>
    <row r="15" spans="1:20" ht="18.75" x14ac:dyDescent="0.3">
      <c r="A15" s="11"/>
      <c r="B15" s="168" t="s">
        <v>20</v>
      </c>
      <c r="C15" s="168"/>
      <c r="D15" s="11"/>
      <c r="E15" s="11"/>
      <c r="F15" s="2"/>
      <c r="G15" s="11"/>
      <c r="H15" s="100"/>
      <c r="I15" s="100"/>
      <c r="J15" s="100"/>
      <c r="K15" s="100"/>
      <c r="L15" s="3"/>
      <c r="M15" s="11"/>
      <c r="N15" s="11"/>
      <c r="O15" s="11"/>
      <c r="S15" s="99"/>
    </row>
    <row r="16" spans="1:20" ht="27.75" customHeight="1" x14ac:dyDescent="0.3">
      <c r="A16" s="11"/>
      <c r="B16" s="4"/>
      <c r="C16" s="105" t="s">
        <v>21</v>
      </c>
      <c r="D16" s="97" t="s">
        <v>22</v>
      </c>
      <c r="E16" s="97" t="s">
        <v>23</v>
      </c>
      <c r="F16" s="2"/>
      <c r="G16" s="36"/>
      <c r="H16" s="196" t="s">
        <v>36</v>
      </c>
      <c r="I16" s="196"/>
      <c r="J16" s="196"/>
      <c r="K16" s="101"/>
      <c r="M16" s="36"/>
      <c r="N16" s="36"/>
      <c r="O16" s="11"/>
      <c r="S16" s="99"/>
    </row>
    <row r="17" spans="1:15" ht="27.75" customHeight="1" x14ac:dyDescent="0.3">
      <c r="A17" s="11"/>
      <c r="B17" s="66" t="s">
        <v>24</v>
      </c>
      <c r="C17" s="169">
        <v>7</v>
      </c>
      <c r="D17" s="170"/>
      <c r="E17" s="171"/>
      <c r="F17" s="2"/>
      <c r="G17" s="36"/>
      <c r="H17" s="190" t="s">
        <v>37</v>
      </c>
      <c r="I17" s="190"/>
      <c r="J17" s="190"/>
      <c r="K17" s="101"/>
      <c r="M17" s="36"/>
      <c r="N17" s="36"/>
      <c r="O17" s="11"/>
    </row>
    <row r="18" spans="1:15" ht="27.75" customHeight="1" x14ac:dyDescent="0.3">
      <c r="A18" s="11"/>
      <c r="B18" s="67" t="s">
        <v>25</v>
      </c>
      <c r="C18" s="64">
        <v>5</v>
      </c>
      <c r="D18" s="65">
        <v>2</v>
      </c>
      <c r="E18" s="65">
        <v>0</v>
      </c>
      <c r="F18" s="2"/>
      <c r="G18" s="36"/>
      <c r="H18" s="190" t="s">
        <v>38</v>
      </c>
      <c r="I18" s="190"/>
      <c r="J18" s="190"/>
      <c r="K18" s="101"/>
      <c r="M18" s="36"/>
      <c r="N18" s="36"/>
      <c r="O18" s="11"/>
    </row>
    <row r="19" spans="1:15" ht="27.75" customHeight="1" x14ac:dyDescent="0.3">
      <c r="A19" s="11"/>
      <c r="B19" s="67" t="s">
        <v>26</v>
      </c>
      <c r="C19" s="5">
        <f>C18/C17</f>
        <v>0.7142857142857143</v>
      </c>
      <c r="D19" s="5">
        <f>D18/C17</f>
        <v>0.2857142857142857</v>
      </c>
      <c r="E19" s="5">
        <f>E18/C17</f>
        <v>0</v>
      </c>
      <c r="F19" s="11"/>
      <c r="G19" s="36"/>
      <c r="H19" s="190" t="s">
        <v>39</v>
      </c>
      <c r="I19" s="190"/>
      <c r="J19" s="190"/>
      <c r="K19" s="101"/>
      <c r="M19" s="36"/>
      <c r="N19" s="36"/>
      <c r="O19" s="11"/>
    </row>
    <row r="20" spans="1:15" ht="27.75" customHeight="1" x14ac:dyDescent="0.25">
      <c r="A20" s="11"/>
      <c r="B20" s="95"/>
      <c r="C20" s="13"/>
      <c r="D20" s="14" t="s">
        <v>27</v>
      </c>
      <c r="E20" s="15">
        <f>SUM(C19:E19)</f>
        <v>1</v>
      </c>
      <c r="F20" s="11"/>
      <c r="G20" s="11"/>
      <c r="H20" s="190" t="s">
        <v>40</v>
      </c>
      <c r="I20" s="190"/>
      <c r="J20" s="190"/>
      <c r="K20" s="101"/>
      <c r="M20" s="11"/>
      <c r="N20" s="11"/>
      <c r="O20" s="11"/>
    </row>
    <row r="21" spans="1:15" ht="27.75" customHeight="1" x14ac:dyDescent="0.25">
      <c r="A21" s="11"/>
      <c r="B21" s="17"/>
      <c r="C21" s="17"/>
      <c r="D21" s="12"/>
      <c r="E21" s="15"/>
      <c r="F21" s="11"/>
      <c r="G21" s="11"/>
      <c r="H21" s="190" t="s">
        <v>41</v>
      </c>
      <c r="I21" s="190"/>
      <c r="J21" s="190"/>
      <c r="M21" s="11"/>
      <c r="N21" s="11"/>
      <c r="O21" s="11"/>
    </row>
    <row r="22" spans="1:15" ht="21" customHeight="1" x14ac:dyDescent="0.3">
      <c r="A22" s="11"/>
      <c r="B22" s="53" t="s">
        <v>42</v>
      </c>
      <c r="C22" s="53"/>
      <c r="D22" s="54"/>
      <c r="E22" s="55"/>
      <c r="F22" s="56"/>
      <c r="G22" s="56"/>
      <c r="H22" s="11"/>
      <c r="I22" s="11"/>
      <c r="M22" s="11"/>
      <c r="N22" s="11"/>
      <c r="O22" s="11"/>
    </row>
    <row r="23" spans="1:15" ht="21.75" customHeight="1" x14ac:dyDescent="0.3">
      <c r="A23" s="11"/>
      <c r="B23" s="53" t="s">
        <v>47</v>
      </c>
      <c r="C23" s="53" t="s">
        <v>44</v>
      </c>
      <c r="D23" s="53"/>
      <c r="E23" s="55"/>
      <c r="F23" s="56"/>
      <c r="G23" s="56"/>
      <c r="H23" s="11"/>
      <c r="I23" s="11"/>
      <c r="J23" s="11"/>
      <c r="K23" s="11"/>
      <c r="L23" s="11"/>
      <c r="M23" s="11"/>
      <c r="N23" s="11"/>
      <c r="O23" s="11"/>
    </row>
    <row r="24" spans="1:15" ht="20.25" x14ac:dyDescent="0.3">
      <c r="A24" s="11"/>
      <c r="B24" s="56"/>
      <c r="C24" s="57"/>
      <c r="D24" s="58"/>
      <c r="E24" s="55"/>
      <c r="F24" s="56"/>
      <c r="G24" s="56"/>
      <c r="H24" s="11"/>
      <c r="I24" s="11"/>
      <c r="J24" s="11"/>
      <c r="K24" s="11"/>
      <c r="L24" s="11"/>
      <c r="M24" s="11"/>
      <c r="N24" s="11"/>
      <c r="O24" s="11"/>
    </row>
    <row r="25" spans="1:15" ht="18" customHeight="1" x14ac:dyDescent="0.3">
      <c r="A25" s="11"/>
      <c r="B25" s="53" t="s">
        <v>7</v>
      </c>
      <c r="C25" s="53"/>
      <c r="D25" s="54"/>
      <c r="E25" s="56"/>
      <c r="F25" s="56"/>
      <c r="G25" s="56"/>
      <c r="I25" s="6"/>
      <c r="J25" s="16"/>
      <c r="K25" s="16"/>
      <c r="L25" s="11"/>
      <c r="M25" s="11"/>
      <c r="N25" s="11"/>
      <c r="O25" s="11"/>
    </row>
    <row r="26" spans="1:15" ht="20.25" x14ac:dyDescent="0.3">
      <c r="A26" s="11"/>
      <c r="B26" s="53"/>
      <c r="C26" s="53"/>
      <c r="D26" s="54"/>
      <c r="E26" s="56"/>
      <c r="F26" s="56"/>
      <c r="G26" s="56"/>
      <c r="I26" s="11"/>
      <c r="J26" s="11"/>
      <c r="K26" s="11"/>
      <c r="L26" s="11"/>
      <c r="M26" s="11"/>
      <c r="N26" s="11"/>
      <c r="O26" s="11"/>
    </row>
    <row r="27" spans="1:15" ht="21.75" customHeight="1" x14ac:dyDescent="0.3">
      <c r="A27" s="11"/>
      <c r="B27" s="53" t="s">
        <v>47</v>
      </c>
      <c r="C27" s="59" t="s">
        <v>44</v>
      </c>
      <c r="D27" s="54"/>
      <c r="E27" s="56"/>
      <c r="F27" s="56"/>
      <c r="G27" s="56"/>
      <c r="H27" s="11"/>
      <c r="I27" s="11"/>
      <c r="J27" s="11"/>
      <c r="K27" s="11"/>
      <c r="L27" s="11"/>
      <c r="M27" s="11"/>
      <c r="N27" s="11"/>
      <c r="O27" s="11"/>
    </row>
    <row r="28" spans="1:15" ht="20.25" x14ac:dyDescent="0.3">
      <c r="A28" s="11"/>
      <c r="B28" s="60"/>
      <c r="C28" s="53"/>
      <c r="D28" s="54"/>
      <c r="E28" s="56"/>
      <c r="F28" s="56"/>
      <c r="G28" s="56"/>
      <c r="H28" s="17"/>
      <c r="I28" s="11"/>
      <c r="J28" s="11"/>
      <c r="K28" s="11"/>
      <c r="L28" s="11"/>
      <c r="M28" s="11"/>
      <c r="N28" s="11"/>
      <c r="O28" s="11"/>
    </row>
    <row r="29" spans="1:15" ht="21" customHeight="1" x14ac:dyDescent="0.25">
      <c r="A29" s="11"/>
      <c r="B29" s="59" t="s">
        <v>67</v>
      </c>
      <c r="C29" s="59" t="s">
        <v>44</v>
      </c>
      <c r="D29" s="59"/>
      <c r="E29" s="59"/>
      <c r="F29" s="59"/>
      <c r="G29" s="59"/>
      <c r="H29" s="11"/>
      <c r="I29" s="11"/>
      <c r="J29" s="11"/>
      <c r="K29" s="11"/>
      <c r="L29" s="11"/>
      <c r="M29" s="11"/>
      <c r="N29" s="11"/>
      <c r="O29" s="11"/>
    </row>
    <row r="30" spans="1:15" ht="20.25" x14ac:dyDescent="0.3">
      <c r="A30" s="11"/>
      <c r="B30" s="61"/>
      <c r="C30" s="61"/>
      <c r="D30" s="61"/>
      <c r="E30" s="61"/>
      <c r="F30" s="61"/>
      <c r="G30" s="61"/>
      <c r="H30" s="11"/>
      <c r="I30" s="11"/>
      <c r="J30" s="11"/>
      <c r="K30" s="11"/>
      <c r="L30" s="11"/>
      <c r="M30" s="11"/>
      <c r="N30" s="11"/>
      <c r="O30" s="11"/>
    </row>
    <row r="31" spans="1:15" ht="21" customHeight="1" x14ac:dyDescent="0.25">
      <c r="A31" s="11"/>
      <c r="B31" s="59" t="s">
        <v>43</v>
      </c>
      <c r="C31" s="59" t="s">
        <v>44</v>
      </c>
      <c r="D31" s="59"/>
      <c r="E31" s="191" t="s">
        <v>45</v>
      </c>
      <c r="F31" s="191"/>
      <c r="G31" s="59" t="s">
        <v>46</v>
      </c>
      <c r="H31" s="11"/>
      <c r="I31" s="11"/>
      <c r="J31" s="11"/>
      <c r="K31" s="11"/>
      <c r="L31" s="11"/>
      <c r="M31" s="11"/>
      <c r="N31" s="11"/>
      <c r="O31" s="11"/>
    </row>
    <row r="32" spans="1:15" ht="20.25" x14ac:dyDescent="0.3">
      <c r="B32" s="62"/>
      <c r="C32" s="62"/>
      <c r="D32" s="62"/>
      <c r="E32" s="62"/>
      <c r="F32" s="62"/>
      <c r="G32" s="62"/>
    </row>
  </sheetData>
  <mergeCells count="21">
    <mergeCell ref="E31:F31"/>
    <mergeCell ref="C4:F4"/>
    <mergeCell ref="H4:J4"/>
    <mergeCell ref="B15:C15"/>
    <mergeCell ref="H16:J16"/>
    <mergeCell ref="C17:E17"/>
    <mergeCell ref="H17:J17"/>
    <mergeCell ref="H18:J18"/>
    <mergeCell ref="H6:J12"/>
    <mergeCell ref="L6:M12"/>
    <mergeCell ref="H19:J19"/>
    <mergeCell ref="H20:J20"/>
    <mergeCell ref="H21:J21"/>
    <mergeCell ref="A2:O2"/>
    <mergeCell ref="A3:B3"/>
    <mergeCell ref="C3:N3"/>
    <mergeCell ref="A4:A5"/>
    <mergeCell ref="B4:B5"/>
    <mergeCell ref="N4:N5"/>
    <mergeCell ref="O4:O5"/>
    <mergeCell ref="L5:M5"/>
  </mergeCells>
  <conditionalFormatting sqref="N6:N12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G12 K6:K12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1" right="0.2" top="0.25" bottom="0" header="0" footer="0"/>
  <pageSetup paperSize="9" scale="58" fitToHeight="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1:T31"/>
  <sheetViews>
    <sheetView topLeftCell="A7" zoomScale="70" zoomScaleNormal="70" workbookViewId="0">
      <selection activeCell="L26" sqref="L26"/>
    </sheetView>
  </sheetViews>
  <sheetFormatPr defaultColWidth="9.140625" defaultRowHeight="15" x14ac:dyDescent="0.25"/>
  <cols>
    <col min="1" max="1" width="4.42578125" style="1" customWidth="1"/>
    <col min="2" max="2" width="50.140625" style="10" customWidth="1"/>
    <col min="3" max="5" width="16.140625" style="10" customWidth="1"/>
    <col min="6" max="6" width="15.28515625" style="10" customWidth="1"/>
    <col min="7" max="7" width="8.7109375" style="10" customWidth="1"/>
    <col min="8" max="10" width="15.28515625" style="10" customWidth="1"/>
    <col min="11" max="11" width="8.7109375" style="10" customWidth="1"/>
    <col min="12" max="12" width="27.7109375" style="10" customWidth="1"/>
    <col min="13" max="13" width="11" style="10" customWidth="1"/>
    <col min="14" max="14" width="12.42578125" style="10" bestFit="1" customWidth="1"/>
    <col min="15" max="15" width="16.42578125" style="10" customWidth="1"/>
    <col min="16" max="16" width="20.85546875" style="10" customWidth="1"/>
    <col min="17" max="16384" width="9.140625" style="10"/>
  </cols>
  <sheetData>
    <row r="1" spans="1:20" s="11" customFormat="1" x14ac:dyDescent="0.25"/>
    <row r="2" spans="1:20" s="11" customFormat="1" ht="35.25" customHeight="1" x14ac:dyDescent="0.25">
      <c r="A2" s="211" t="s">
        <v>97</v>
      </c>
      <c r="B2" s="211"/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  <c r="O2" s="211"/>
    </row>
    <row r="3" spans="1:20" ht="29.25" customHeight="1" x14ac:dyDescent="0.25">
      <c r="A3" s="212" t="s">
        <v>85</v>
      </c>
      <c r="B3" s="212"/>
      <c r="C3" s="212" t="s">
        <v>6</v>
      </c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149" t="s">
        <v>18</v>
      </c>
    </row>
    <row r="4" spans="1:20" ht="61.5" customHeight="1" x14ac:dyDescent="0.25">
      <c r="A4" s="213" t="s">
        <v>0</v>
      </c>
      <c r="B4" s="214" t="s">
        <v>1</v>
      </c>
      <c r="C4" s="215" t="s">
        <v>2</v>
      </c>
      <c r="D4" s="215"/>
      <c r="E4" s="215"/>
      <c r="F4" s="215"/>
      <c r="G4" s="151" t="s">
        <v>19</v>
      </c>
      <c r="H4" s="214" t="s">
        <v>3</v>
      </c>
      <c r="I4" s="214"/>
      <c r="J4" s="214"/>
      <c r="K4" s="152" t="s">
        <v>13</v>
      </c>
      <c r="L4" s="151" t="s">
        <v>8</v>
      </c>
      <c r="M4" s="151" t="s">
        <v>14</v>
      </c>
      <c r="N4" s="215" t="s">
        <v>4</v>
      </c>
      <c r="O4" s="216" t="s">
        <v>28</v>
      </c>
    </row>
    <row r="5" spans="1:20" ht="68.25" customHeight="1" x14ac:dyDescent="0.25">
      <c r="A5" s="213"/>
      <c r="B5" s="214"/>
      <c r="C5" s="97" t="s">
        <v>30</v>
      </c>
      <c r="D5" s="97" t="s">
        <v>29</v>
      </c>
      <c r="E5" s="96" t="s">
        <v>9</v>
      </c>
      <c r="F5" s="96" t="s">
        <v>88</v>
      </c>
      <c r="G5" s="97" t="s">
        <v>5</v>
      </c>
      <c r="H5" s="97" t="s">
        <v>30</v>
      </c>
      <c r="I5" s="96" t="s">
        <v>9</v>
      </c>
      <c r="J5" s="96" t="s">
        <v>88</v>
      </c>
      <c r="K5" s="97" t="s">
        <v>5</v>
      </c>
      <c r="L5" s="217" t="s">
        <v>87</v>
      </c>
      <c r="M5" s="217"/>
      <c r="N5" s="215"/>
      <c r="O5" s="216"/>
      <c r="Q5" s="100"/>
      <c r="R5" s="100"/>
      <c r="S5" s="100"/>
      <c r="T5" s="100"/>
    </row>
    <row r="6" spans="1:20" ht="30.75" customHeight="1" x14ac:dyDescent="0.25">
      <c r="A6" s="67">
        <v>1</v>
      </c>
      <c r="B6" s="142" t="s">
        <v>123</v>
      </c>
      <c r="C6" s="68">
        <v>20</v>
      </c>
      <c r="D6" s="68">
        <v>10</v>
      </c>
      <c r="E6" s="68">
        <v>10</v>
      </c>
      <c r="F6" s="128">
        <v>5</v>
      </c>
      <c r="G6" s="152">
        <f>C6+D6+F6+E6</f>
        <v>45</v>
      </c>
      <c r="H6" s="193" t="s">
        <v>89</v>
      </c>
      <c r="I6" s="193"/>
      <c r="J6" s="193"/>
      <c r="K6" s="152">
        <v>0</v>
      </c>
      <c r="L6" s="210">
        <v>17</v>
      </c>
      <c r="M6" s="210"/>
      <c r="N6" s="153">
        <f>G6+K6+$L$6</f>
        <v>62</v>
      </c>
      <c r="O6" s="67" t="str">
        <f>IF(SUM(G6,K6,$L$6)&gt;71,"Ýokary",IF(SUM(G6,K6,$L$6)&gt;=56,"I dereje",IF(SUM(G6,K6,$L$6)&gt;=45,"II dereje",IF(SUM(G6,K6,$L$6)&gt;=35,"III dereje",IF(SUM(G6,K6,$L$6)&lt;=34,"Duýduryş")))))</f>
        <v>I dereje</v>
      </c>
    </row>
    <row r="7" spans="1:20" ht="30.75" customHeight="1" x14ac:dyDescent="0.25">
      <c r="A7" s="67">
        <v>2</v>
      </c>
      <c r="B7" s="142" t="s">
        <v>124</v>
      </c>
      <c r="C7" s="68">
        <v>10</v>
      </c>
      <c r="D7" s="68">
        <v>10</v>
      </c>
      <c r="E7" s="68">
        <v>0</v>
      </c>
      <c r="F7" s="128">
        <v>4</v>
      </c>
      <c r="G7" s="152">
        <f>C7+D7+F7+E7</f>
        <v>24</v>
      </c>
      <c r="H7" s="193"/>
      <c r="I7" s="193"/>
      <c r="J7" s="193"/>
      <c r="K7" s="152">
        <f>H7+I7+J7</f>
        <v>0</v>
      </c>
      <c r="L7" s="210"/>
      <c r="M7" s="210"/>
      <c r="N7" s="153">
        <f t="shared" ref="N7:N11" si="0">G7+K7+$L$6</f>
        <v>41</v>
      </c>
      <c r="O7" s="67" t="str">
        <f t="shared" ref="O7:O11" si="1">IF(SUM(G7,K7,$L$6)&gt;71,"Ýokary",IF(SUM(G7,K7,$L$6)&gt;=56,"I dereje",IF(SUM(G7,K7,$L$6)&gt;=45,"II dereje",IF(SUM(G7,K7,$L$6)&gt;=35,"III dereje",IF(SUM(G7,K7,$L$6)&lt;=34,"Duýduryş")))))</f>
        <v>III dereje</v>
      </c>
    </row>
    <row r="8" spans="1:20" ht="30.75" customHeight="1" x14ac:dyDescent="0.25">
      <c r="A8" s="67">
        <v>3</v>
      </c>
      <c r="B8" s="142" t="s">
        <v>125</v>
      </c>
      <c r="C8" s="68">
        <v>20</v>
      </c>
      <c r="D8" s="68">
        <v>10</v>
      </c>
      <c r="E8" s="68">
        <v>10</v>
      </c>
      <c r="F8" s="128">
        <v>5</v>
      </c>
      <c r="G8" s="152">
        <f t="shared" ref="G8:G11" si="2">C8+D8+F8+E8</f>
        <v>45</v>
      </c>
      <c r="H8" s="193"/>
      <c r="I8" s="193"/>
      <c r="J8" s="193"/>
      <c r="K8" s="152">
        <f t="shared" ref="K8:K11" si="3">H8+I8+J8</f>
        <v>0</v>
      </c>
      <c r="L8" s="210"/>
      <c r="M8" s="210"/>
      <c r="N8" s="153">
        <f t="shared" si="0"/>
        <v>62</v>
      </c>
      <c r="O8" s="67" t="str">
        <f t="shared" si="1"/>
        <v>I dereje</v>
      </c>
    </row>
    <row r="9" spans="1:20" ht="30.75" customHeight="1" x14ac:dyDescent="0.25">
      <c r="A9" s="67">
        <v>4</v>
      </c>
      <c r="B9" s="142" t="s">
        <v>126</v>
      </c>
      <c r="C9" s="68">
        <v>10</v>
      </c>
      <c r="D9" s="68">
        <v>10</v>
      </c>
      <c r="E9" s="68">
        <v>0</v>
      </c>
      <c r="F9" s="128">
        <v>4</v>
      </c>
      <c r="G9" s="152">
        <f t="shared" si="2"/>
        <v>24</v>
      </c>
      <c r="H9" s="193"/>
      <c r="I9" s="193"/>
      <c r="J9" s="193"/>
      <c r="K9" s="152">
        <f t="shared" si="3"/>
        <v>0</v>
      </c>
      <c r="L9" s="210"/>
      <c r="M9" s="210"/>
      <c r="N9" s="153">
        <f t="shared" si="0"/>
        <v>41</v>
      </c>
      <c r="O9" s="67" t="str">
        <f t="shared" si="1"/>
        <v>III dereje</v>
      </c>
    </row>
    <row r="10" spans="1:20" ht="30.75" customHeight="1" x14ac:dyDescent="0.25">
      <c r="A10" s="150">
        <v>5</v>
      </c>
      <c r="B10" s="143" t="s">
        <v>127</v>
      </c>
      <c r="C10" s="68">
        <v>20</v>
      </c>
      <c r="D10" s="68">
        <v>10</v>
      </c>
      <c r="E10" s="68">
        <v>5</v>
      </c>
      <c r="F10" s="128">
        <v>5</v>
      </c>
      <c r="G10" s="152">
        <f t="shared" ref="G10" si="4">C10+D10+F10+E10</f>
        <v>40</v>
      </c>
      <c r="H10" s="193"/>
      <c r="I10" s="193"/>
      <c r="J10" s="193"/>
      <c r="K10" s="152">
        <f t="shared" si="3"/>
        <v>0</v>
      </c>
      <c r="L10" s="210"/>
      <c r="M10" s="210"/>
      <c r="N10" s="153">
        <f t="shared" ref="N10" si="5">G10+K10+$L$6</f>
        <v>57</v>
      </c>
      <c r="O10" s="150" t="str">
        <f t="shared" ref="O10" si="6">IF(SUM(G10,K10,$L$6)&gt;71,"Ýokary",IF(SUM(G10,K10,$L$6)&gt;=56,"I dereje",IF(SUM(G10,K10,$L$6)&gt;=45,"II dereje",IF(SUM(G10,K10,$L$6)&gt;=35,"III dereje",IF(SUM(G10,K10,$L$6)&lt;=34,"Duýduryş")))))</f>
        <v>I dereje</v>
      </c>
      <c r="P10" s="63"/>
    </row>
    <row r="11" spans="1:20" ht="30.75" customHeight="1" x14ac:dyDescent="0.25">
      <c r="A11" s="67">
        <v>6</v>
      </c>
      <c r="B11" s="236" t="s">
        <v>162</v>
      </c>
      <c r="C11" s="68">
        <v>20</v>
      </c>
      <c r="D11" s="68">
        <v>10</v>
      </c>
      <c r="E11" s="68">
        <v>5</v>
      </c>
      <c r="F11" s="128">
        <v>5</v>
      </c>
      <c r="G11" s="152">
        <f t="shared" si="2"/>
        <v>40</v>
      </c>
      <c r="H11" s="193"/>
      <c r="I11" s="193"/>
      <c r="J11" s="193"/>
      <c r="K11" s="152">
        <f t="shared" si="3"/>
        <v>0</v>
      </c>
      <c r="L11" s="210"/>
      <c r="M11" s="210"/>
      <c r="N11" s="153">
        <f t="shared" si="0"/>
        <v>57</v>
      </c>
      <c r="O11" s="67" t="str">
        <f t="shared" si="1"/>
        <v>I dereje</v>
      </c>
      <c r="P11" s="63"/>
    </row>
    <row r="12" spans="1:20" ht="28.5" customHeight="1" x14ac:dyDescent="0.25">
      <c r="A12" s="11"/>
      <c r="B12" s="11"/>
      <c r="C12" s="106" t="s">
        <v>15</v>
      </c>
      <c r="D12" s="106" t="s">
        <v>17</v>
      </c>
      <c r="E12" s="107" t="s">
        <v>16</v>
      </c>
      <c r="F12" s="108" t="s">
        <v>10</v>
      </c>
      <c r="G12" s="106"/>
      <c r="H12" s="106" t="s">
        <v>12</v>
      </c>
      <c r="I12" s="107" t="s">
        <v>11</v>
      </c>
      <c r="J12" s="106" t="s">
        <v>10</v>
      </c>
      <c r="K12" s="106"/>
      <c r="L12" s="107" t="s">
        <v>86</v>
      </c>
      <c r="M12" s="11"/>
      <c r="N12" s="11"/>
      <c r="O12" s="11"/>
      <c r="S12" s="99"/>
    </row>
    <row r="13" spans="1:20" ht="18.75" x14ac:dyDescent="0.3">
      <c r="A13" s="11"/>
      <c r="B13" s="11"/>
      <c r="C13" s="11"/>
      <c r="D13" s="11"/>
      <c r="E13" s="3"/>
      <c r="F13" s="2"/>
      <c r="G13" s="11"/>
      <c r="H13" s="100"/>
      <c r="I13" s="100"/>
      <c r="J13" s="100"/>
      <c r="K13" s="100"/>
      <c r="L13" s="3"/>
      <c r="M13" s="11"/>
      <c r="N13" s="11"/>
      <c r="O13" s="11"/>
      <c r="S13" s="99"/>
    </row>
    <row r="14" spans="1:20" ht="18.75" x14ac:dyDescent="0.3">
      <c r="A14" s="11"/>
      <c r="B14" s="168" t="s">
        <v>20</v>
      </c>
      <c r="C14" s="168"/>
      <c r="D14" s="11"/>
      <c r="E14" s="11"/>
      <c r="F14" s="2"/>
      <c r="G14" s="11"/>
      <c r="H14" s="100"/>
      <c r="I14" s="100"/>
      <c r="J14" s="100"/>
      <c r="K14" s="100"/>
      <c r="L14" s="3"/>
      <c r="M14" s="11"/>
      <c r="N14" s="11"/>
      <c r="O14" s="11"/>
      <c r="S14" s="99"/>
    </row>
    <row r="15" spans="1:20" ht="27.75" customHeight="1" x14ac:dyDescent="0.3">
      <c r="A15" s="11"/>
      <c r="B15" s="4"/>
      <c r="C15" s="105" t="s">
        <v>21</v>
      </c>
      <c r="D15" s="97" t="s">
        <v>22</v>
      </c>
      <c r="E15" s="97" t="s">
        <v>23</v>
      </c>
      <c r="F15" s="2"/>
      <c r="G15" s="36"/>
      <c r="H15" s="196" t="s">
        <v>36</v>
      </c>
      <c r="I15" s="196"/>
      <c r="J15" s="196"/>
      <c r="K15" s="101"/>
      <c r="M15" s="36"/>
      <c r="N15" s="36"/>
      <c r="O15" s="11"/>
      <c r="S15" s="99"/>
    </row>
    <row r="16" spans="1:20" ht="27.75" customHeight="1" x14ac:dyDescent="0.3">
      <c r="A16" s="11"/>
      <c r="B16" s="66" t="s">
        <v>24</v>
      </c>
      <c r="C16" s="169">
        <v>6</v>
      </c>
      <c r="D16" s="170"/>
      <c r="E16" s="171"/>
      <c r="F16" s="2"/>
      <c r="G16" s="36"/>
      <c r="H16" s="190" t="s">
        <v>37</v>
      </c>
      <c r="I16" s="190"/>
      <c r="J16" s="190"/>
      <c r="K16" s="101"/>
      <c r="M16" s="36"/>
      <c r="N16" s="36"/>
      <c r="O16" s="11"/>
    </row>
    <row r="17" spans="1:15" ht="27.75" customHeight="1" x14ac:dyDescent="0.3">
      <c r="A17" s="11"/>
      <c r="B17" s="67" t="s">
        <v>25</v>
      </c>
      <c r="C17" s="64">
        <v>4</v>
      </c>
      <c r="D17" s="65">
        <v>0</v>
      </c>
      <c r="E17" s="65">
        <v>2</v>
      </c>
      <c r="F17" s="2"/>
      <c r="G17" s="36"/>
      <c r="H17" s="190" t="s">
        <v>38</v>
      </c>
      <c r="I17" s="190"/>
      <c r="J17" s="190"/>
      <c r="K17" s="101"/>
      <c r="M17" s="36"/>
      <c r="N17" s="36"/>
      <c r="O17" s="11"/>
    </row>
    <row r="18" spans="1:15" ht="27.75" customHeight="1" x14ac:dyDescent="0.3">
      <c r="A18" s="11"/>
      <c r="B18" s="67" t="s">
        <v>26</v>
      </c>
      <c r="C18" s="5">
        <f>C17/C16</f>
        <v>0.66666666666666663</v>
      </c>
      <c r="D18" s="5">
        <f>D17/C16</f>
        <v>0</v>
      </c>
      <c r="E18" s="5">
        <f>E17/C16</f>
        <v>0.33333333333333331</v>
      </c>
      <c r="F18" s="11"/>
      <c r="G18" s="36"/>
      <c r="H18" s="190" t="s">
        <v>39</v>
      </c>
      <c r="I18" s="190"/>
      <c r="J18" s="190"/>
      <c r="K18" s="101"/>
      <c r="M18" s="36"/>
      <c r="N18" s="36"/>
      <c r="O18" s="11"/>
    </row>
    <row r="19" spans="1:15" ht="27.75" customHeight="1" x14ac:dyDescent="0.25">
      <c r="A19" s="11"/>
      <c r="B19" s="95"/>
      <c r="C19" s="13"/>
      <c r="D19" s="14" t="s">
        <v>27</v>
      </c>
      <c r="E19" s="15">
        <f>SUM(C18:E18)</f>
        <v>1</v>
      </c>
      <c r="F19" s="11"/>
      <c r="G19" s="11"/>
      <c r="H19" s="190" t="s">
        <v>40</v>
      </c>
      <c r="I19" s="190"/>
      <c r="J19" s="190"/>
      <c r="K19" s="101"/>
      <c r="M19" s="11"/>
      <c r="N19" s="11"/>
      <c r="O19" s="11"/>
    </row>
    <row r="20" spans="1:15" ht="27.75" customHeight="1" x14ac:dyDescent="0.25">
      <c r="A20" s="11"/>
      <c r="B20" s="17"/>
      <c r="C20" s="17"/>
      <c r="D20" s="12"/>
      <c r="E20" s="15"/>
      <c r="F20" s="11"/>
      <c r="G20" s="11"/>
      <c r="H20" s="190" t="s">
        <v>41</v>
      </c>
      <c r="I20" s="190"/>
      <c r="J20" s="190"/>
      <c r="M20" s="11"/>
      <c r="N20" s="11"/>
      <c r="O20" s="11"/>
    </row>
    <row r="21" spans="1:15" ht="21" customHeight="1" x14ac:dyDescent="0.3">
      <c r="A21" s="11"/>
      <c r="B21" s="53" t="s">
        <v>42</v>
      </c>
      <c r="C21" s="53"/>
      <c r="D21" s="54"/>
      <c r="E21" s="55"/>
      <c r="F21" s="56"/>
      <c r="G21" s="56"/>
      <c r="H21" s="11"/>
      <c r="I21" s="11"/>
      <c r="M21" s="11"/>
      <c r="N21" s="11"/>
      <c r="O21" s="11"/>
    </row>
    <row r="22" spans="1:15" ht="21.75" customHeight="1" x14ac:dyDescent="0.3">
      <c r="A22" s="11"/>
      <c r="B22" s="53" t="s">
        <v>47</v>
      </c>
      <c r="C22" s="53" t="s">
        <v>44</v>
      </c>
      <c r="D22" s="53"/>
      <c r="E22" s="55"/>
      <c r="F22" s="56"/>
      <c r="G22" s="56"/>
      <c r="H22" s="11"/>
      <c r="I22" s="11"/>
      <c r="J22" s="11"/>
      <c r="K22" s="11"/>
      <c r="L22" s="11"/>
      <c r="M22" s="11"/>
      <c r="N22" s="11"/>
      <c r="O22" s="11"/>
    </row>
    <row r="23" spans="1:15" ht="20.25" x14ac:dyDescent="0.3">
      <c r="A23" s="11"/>
      <c r="B23" s="56"/>
      <c r="C23" s="57"/>
      <c r="D23" s="58"/>
      <c r="E23" s="55"/>
      <c r="F23" s="56"/>
      <c r="G23" s="56"/>
      <c r="H23" s="11"/>
      <c r="I23" s="11"/>
      <c r="J23" s="11"/>
      <c r="K23" s="11"/>
      <c r="L23" s="11"/>
      <c r="M23" s="11"/>
      <c r="N23" s="11"/>
      <c r="O23" s="11"/>
    </row>
    <row r="24" spans="1:15" ht="18" customHeight="1" x14ac:dyDescent="0.3">
      <c r="A24" s="11"/>
      <c r="B24" s="53" t="s">
        <v>7</v>
      </c>
      <c r="C24" s="53"/>
      <c r="D24" s="54"/>
      <c r="E24" s="56"/>
      <c r="F24" s="56"/>
      <c r="G24" s="56"/>
      <c r="I24" s="6"/>
      <c r="J24" s="16"/>
      <c r="K24" s="16"/>
      <c r="L24" s="11"/>
      <c r="M24" s="11"/>
      <c r="N24" s="11"/>
      <c r="O24" s="11"/>
    </row>
    <row r="25" spans="1:15" ht="20.25" x14ac:dyDescent="0.3">
      <c r="A25" s="11"/>
      <c r="B25" s="53"/>
      <c r="C25" s="53"/>
      <c r="D25" s="54"/>
      <c r="E25" s="56"/>
      <c r="F25" s="56"/>
      <c r="G25" s="56"/>
      <c r="I25" s="11"/>
      <c r="J25" s="11"/>
      <c r="K25" s="11"/>
      <c r="L25" s="11"/>
      <c r="M25" s="11"/>
      <c r="N25" s="11"/>
      <c r="O25" s="11"/>
    </row>
    <row r="26" spans="1:15" ht="21.75" customHeight="1" x14ac:dyDescent="0.3">
      <c r="A26" s="11"/>
      <c r="B26" s="53" t="s">
        <v>47</v>
      </c>
      <c r="C26" s="59" t="s">
        <v>44</v>
      </c>
      <c r="D26" s="54"/>
      <c r="E26" s="56"/>
      <c r="F26" s="56"/>
      <c r="G26" s="56"/>
      <c r="H26" s="11"/>
      <c r="I26" s="11"/>
      <c r="J26" s="11"/>
      <c r="K26" s="11"/>
      <c r="L26" s="11"/>
      <c r="M26" s="11"/>
      <c r="N26" s="11"/>
      <c r="O26" s="11"/>
    </row>
    <row r="27" spans="1:15" ht="20.25" x14ac:dyDescent="0.3">
      <c r="A27" s="11"/>
      <c r="B27" s="60"/>
      <c r="C27" s="53"/>
      <c r="D27" s="54"/>
      <c r="E27" s="56"/>
      <c r="F27" s="56"/>
      <c r="G27" s="56"/>
      <c r="H27" s="17"/>
      <c r="I27" s="11"/>
      <c r="J27" s="11"/>
      <c r="K27" s="11"/>
      <c r="L27" s="11"/>
      <c r="M27" s="11"/>
      <c r="N27" s="11"/>
      <c r="O27" s="11"/>
    </row>
    <row r="28" spans="1:15" ht="21" customHeight="1" x14ac:dyDescent="0.25">
      <c r="A28" s="11"/>
      <c r="B28" s="59" t="s">
        <v>67</v>
      </c>
      <c r="C28" s="59" t="s">
        <v>44</v>
      </c>
      <c r="D28" s="59"/>
      <c r="E28" s="59"/>
      <c r="F28" s="59"/>
      <c r="G28" s="59"/>
      <c r="H28" s="11"/>
      <c r="I28" s="11"/>
      <c r="J28" s="11"/>
      <c r="K28" s="11"/>
      <c r="L28" s="11"/>
      <c r="M28" s="11"/>
      <c r="N28" s="11"/>
      <c r="O28" s="11"/>
    </row>
    <row r="29" spans="1:15" ht="20.25" x14ac:dyDescent="0.3">
      <c r="A29" s="11"/>
      <c r="B29" s="61"/>
      <c r="C29" s="61"/>
      <c r="D29" s="61"/>
      <c r="E29" s="61"/>
      <c r="F29" s="61"/>
      <c r="G29" s="61"/>
      <c r="H29" s="11"/>
      <c r="I29" s="11"/>
      <c r="J29" s="11"/>
      <c r="K29" s="11"/>
      <c r="L29" s="11"/>
      <c r="M29" s="11"/>
      <c r="N29" s="11"/>
      <c r="O29" s="11"/>
    </row>
    <row r="30" spans="1:15" ht="21" customHeight="1" x14ac:dyDescent="0.25">
      <c r="A30" s="11"/>
      <c r="B30" s="59" t="s">
        <v>43</v>
      </c>
      <c r="C30" s="59" t="s">
        <v>44</v>
      </c>
      <c r="D30" s="59"/>
      <c r="E30" s="191" t="s">
        <v>45</v>
      </c>
      <c r="F30" s="191"/>
      <c r="G30" s="59" t="s">
        <v>46</v>
      </c>
      <c r="H30" s="11"/>
      <c r="I30" s="11"/>
      <c r="J30" s="11"/>
      <c r="K30" s="11"/>
      <c r="L30" s="11"/>
      <c r="M30" s="11"/>
      <c r="N30" s="11"/>
      <c r="O30" s="11"/>
    </row>
    <row r="31" spans="1:15" ht="20.25" x14ac:dyDescent="0.3">
      <c r="B31" s="62"/>
      <c r="C31" s="62"/>
      <c r="D31" s="62"/>
      <c r="E31" s="62"/>
      <c r="F31" s="62"/>
      <c r="G31" s="62"/>
    </row>
  </sheetData>
  <mergeCells count="21">
    <mergeCell ref="H20:J20"/>
    <mergeCell ref="E30:F30"/>
    <mergeCell ref="C16:E16"/>
    <mergeCell ref="H16:J16"/>
    <mergeCell ref="H17:J17"/>
    <mergeCell ref="H18:J18"/>
    <mergeCell ref="H19:J19"/>
    <mergeCell ref="H6:J11"/>
    <mergeCell ref="L6:M11"/>
    <mergeCell ref="B14:C14"/>
    <mergeCell ref="H15:J15"/>
    <mergeCell ref="A2:O2"/>
    <mergeCell ref="A3:B3"/>
    <mergeCell ref="C3:N3"/>
    <mergeCell ref="A4:A5"/>
    <mergeCell ref="B4:B5"/>
    <mergeCell ref="C4:F4"/>
    <mergeCell ref="H4:J4"/>
    <mergeCell ref="N4:N5"/>
    <mergeCell ref="O4:O5"/>
    <mergeCell ref="L5:M5"/>
  </mergeCells>
  <conditionalFormatting sqref="G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:N11"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G9 G11 K6:K11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1" right="0.2" top="0.25" bottom="0" header="0" footer="0"/>
  <pageSetup paperSize="9" scale="53" fitToHeight="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  <pageSetUpPr fitToPage="1"/>
  </sheetPr>
  <dimension ref="A1:T29"/>
  <sheetViews>
    <sheetView zoomScale="70" zoomScaleNormal="70" workbookViewId="0">
      <selection activeCell="A2" sqref="A2:O29"/>
    </sheetView>
  </sheetViews>
  <sheetFormatPr defaultColWidth="9.140625" defaultRowHeight="15" x14ac:dyDescent="0.25"/>
  <cols>
    <col min="1" max="1" width="4.42578125" style="1" customWidth="1"/>
    <col min="2" max="2" width="50.140625" style="10" customWidth="1"/>
    <col min="3" max="5" width="16.140625" style="10" customWidth="1"/>
    <col min="6" max="6" width="15.28515625" style="10" customWidth="1"/>
    <col min="7" max="7" width="8.7109375" style="10" customWidth="1"/>
    <col min="8" max="10" width="15.28515625" style="10" customWidth="1"/>
    <col min="11" max="11" width="8.7109375" style="10" customWidth="1"/>
    <col min="12" max="12" width="27.7109375" style="10" customWidth="1"/>
    <col min="13" max="13" width="11" style="10" customWidth="1"/>
    <col min="14" max="14" width="12.42578125" style="10" bestFit="1" customWidth="1"/>
    <col min="15" max="15" width="16.42578125" style="10" customWidth="1"/>
    <col min="16" max="16" width="20.85546875" style="10" customWidth="1"/>
    <col min="17" max="16384" width="9.140625" style="10"/>
  </cols>
  <sheetData>
    <row r="1" spans="1:20" s="11" customFormat="1" ht="15.75" thickBot="1" x14ac:dyDescent="0.3"/>
    <row r="2" spans="1:20" s="11" customFormat="1" ht="35.25" customHeight="1" x14ac:dyDescent="0.25">
      <c r="A2" s="172" t="s">
        <v>98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4"/>
    </row>
    <row r="3" spans="1:20" ht="29.25" customHeight="1" thickBot="1" x14ac:dyDescent="0.3">
      <c r="A3" s="175" t="s">
        <v>85</v>
      </c>
      <c r="B3" s="176"/>
      <c r="C3" s="176" t="s">
        <v>6</v>
      </c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21" t="s">
        <v>18</v>
      </c>
    </row>
    <row r="4" spans="1:20" ht="61.5" customHeight="1" x14ac:dyDescent="0.25">
      <c r="A4" s="177" t="s">
        <v>0</v>
      </c>
      <c r="B4" s="179" t="s">
        <v>1</v>
      </c>
      <c r="C4" s="181" t="s">
        <v>2</v>
      </c>
      <c r="D4" s="182"/>
      <c r="E4" s="182"/>
      <c r="F4" s="182"/>
      <c r="G4" s="113" t="s">
        <v>19</v>
      </c>
      <c r="H4" s="183" t="s">
        <v>3</v>
      </c>
      <c r="I4" s="184"/>
      <c r="J4" s="184"/>
      <c r="K4" s="109" t="s">
        <v>13</v>
      </c>
      <c r="L4" s="122" t="s">
        <v>8</v>
      </c>
      <c r="M4" s="113" t="s">
        <v>14</v>
      </c>
      <c r="N4" s="181" t="s">
        <v>4</v>
      </c>
      <c r="O4" s="186" t="s">
        <v>28</v>
      </c>
    </row>
    <row r="5" spans="1:20" ht="68.25" customHeight="1" x14ac:dyDescent="0.25">
      <c r="A5" s="178"/>
      <c r="B5" s="180"/>
      <c r="C5" s="114" t="s">
        <v>30</v>
      </c>
      <c r="D5" s="97" t="s">
        <v>29</v>
      </c>
      <c r="E5" s="96" t="s">
        <v>9</v>
      </c>
      <c r="F5" s="96" t="s">
        <v>88</v>
      </c>
      <c r="G5" s="98" t="s">
        <v>5</v>
      </c>
      <c r="H5" s="114" t="s">
        <v>30</v>
      </c>
      <c r="I5" s="96" t="s">
        <v>9</v>
      </c>
      <c r="J5" s="96" t="s">
        <v>88</v>
      </c>
      <c r="K5" s="98" t="s">
        <v>5</v>
      </c>
      <c r="L5" s="188" t="s">
        <v>87</v>
      </c>
      <c r="M5" s="189"/>
      <c r="N5" s="185"/>
      <c r="O5" s="187"/>
      <c r="Q5" s="100"/>
      <c r="R5" s="100"/>
      <c r="S5" s="100"/>
      <c r="T5" s="100"/>
    </row>
    <row r="6" spans="1:20" ht="30.75" customHeight="1" x14ac:dyDescent="0.25">
      <c r="A6" s="135">
        <v>1</v>
      </c>
      <c r="B6" s="142" t="s">
        <v>119</v>
      </c>
      <c r="C6" s="139">
        <v>20</v>
      </c>
      <c r="D6" s="68">
        <v>10</v>
      </c>
      <c r="E6" s="68">
        <v>5</v>
      </c>
      <c r="F6" s="128">
        <v>5</v>
      </c>
      <c r="G6" s="136">
        <f>C6+D6+F6+E6</f>
        <v>40</v>
      </c>
      <c r="H6" s="192" t="s">
        <v>89</v>
      </c>
      <c r="I6" s="193"/>
      <c r="J6" s="193"/>
      <c r="K6" s="136">
        <v>0</v>
      </c>
      <c r="L6" s="197">
        <v>17</v>
      </c>
      <c r="M6" s="198"/>
      <c r="N6" s="132">
        <f>G6+K6+$L$6</f>
        <v>57</v>
      </c>
      <c r="O6" s="71" t="str">
        <f>IF(SUM(G6,K6,$L$6)&gt;71,"Ýokary",IF(SUM(G6,K6,$L$6)&gt;=56,"I dereje",IF(SUM(G6,K6,$L$6)&gt;=45,"II dereje",IF(SUM(G6,K6,$L$6)&gt;=35,"III dereje",IF(SUM(G6,K6,$L$6)&lt;=34,"Duýduryş")))))</f>
        <v>I dereje</v>
      </c>
    </row>
    <row r="7" spans="1:20" ht="30.75" customHeight="1" x14ac:dyDescent="0.25">
      <c r="A7" s="135">
        <v>2</v>
      </c>
      <c r="B7" s="142" t="s">
        <v>120</v>
      </c>
      <c r="C7" s="139">
        <v>20</v>
      </c>
      <c r="D7" s="68">
        <v>10</v>
      </c>
      <c r="E7" s="68">
        <v>5</v>
      </c>
      <c r="F7" s="128">
        <v>5</v>
      </c>
      <c r="G7" s="136">
        <f>C7+D7+F7+E7</f>
        <v>40</v>
      </c>
      <c r="H7" s="192"/>
      <c r="I7" s="193"/>
      <c r="J7" s="193"/>
      <c r="K7" s="136">
        <f>H7+I7+J7</f>
        <v>0</v>
      </c>
      <c r="L7" s="197"/>
      <c r="M7" s="198"/>
      <c r="N7" s="132">
        <f t="shared" ref="N7:N9" si="0">G7+K7+$L$6</f>
        <v>57</v>
      </c>
      <c r="O7" s="71" t="str">
        <f t="shared" ref="O7:O9" si="1">IF(SUM(G7,K7,$L$6)&gt;71,"Ýokary",IF(SUM(G7,K7,$L$6)&gt;=56,"I dereje",IF(SUM(G7,K7,$L$6)&gt;=45,"II dereje",IF(SUM(G7,K7,$L$6)&gt;=35,"III dereje",IF(SUM(G7,K7,$L$6)&lt;=34,"Duýduryş")))))</f>
        <v>I dereje</v>
      </c>
    </row>
    <row r="8" spans="1:20" ht="30.75" customHeight="1" x14ac:dyDescent="0.25">
      <c r="A8" s="135">
        <v>3</v>
      </c>
      <c r="B8" s="142" t="s">
        <v>121</v>
      </c>
      <c r="C8" s="139">
        <v>20</v>
      </c>
      <c r="D8" s="68">
        <v>10</v>
      </c>
      <c r="E8" s="68">
        <v>10</v>
      </c>
      <c r="F8" s="128">
        <v>5</v>
      </c>
      <c r="G8" s="136">
        <f t="shared" ref="G8:G9" si="2">C8+D8+F8+E8</f>
        <v>45</v>
      </c>
      <c r="H8" s="192"/>
      <c r="I8" s="193"/>
      <c r="J8" s="193"/>
      <c r="K8" s="136">
        <f t="shared" ref="K8:K9" si="3">H8+I8+J8</f>
        <v>0</v>
      </c>
      <c r="L8" s="197"/>
      <c r="M8" s="198"/>
      <c r="N8" s="132">
        <f t="shared" si="0"/>
        <v>62</v>
      </c>
      <c r="O8" s="71" t="str">
        <f t="shared" si="1"/>
        <v>I dereje</v>
      </c>
    </row>
    <row r="9" spans="1:20" ht="30.75" customHeight="1" x14ac:dyDescent="0.25">
      <c r="A9" s="135">
        <v>4</v>
      </c>
      <c r="B9" s="143" t="s">
        <v>122</v>
      </c>
      <c r="C9" s="139">
        <v>20</v>
      </c>
      <c r="D9" s="68">
        <v>10</v>
      </c>
      <c r="E9" s="68">
        <v>5</v>
      </c>
      <c r="F9" s="128">
        <v>5</v>
      </c>
      <c r="G9" s="136">
        <f t="shared" si="2"/>
        <v>40</v>
      </c>
      <c r="H9" s="192"/>
      <c r="I9" s="193"/>
      <c r="J9" s="193"/>
      <c r="K9" s="136">
        <f t="shared" si="3"/>
        <v>0</v>
      </c>
      <c r="L9" s="197"/>
      <c r="M9" s="198"/>
      <c r="N9" s="132">
        <f t="shared" si="0"/>
        <v>57</v>
      </c>
      <c r="O9" s="71" t="str">
        <f t="shared" si="1"/>
        <v>I dereje</v>
      </c>
      <c r="P9" s="63"/>
    </row>
    <row r="10" spans="1:20" ht="28.5" customHeight="1" x14ac:dyDescent="0.25">
      <c r="A10" s="11"/>
      <c r="B10" s="11"/>
      <c r="C10" s="106" t="s">
        <v>15</v>
      </c>
      <c r="D10" s="106" t="s">
        <v>17</v>
      </c>
      <c r="E10" s="107" t="s">
        <v>16</v>
      </c>
      <c r="F10" s="108" t="s">
        <v>10</v>
      </c>
      <c r="G10" s="106"/>
      <c r="H10" s="106" t="s">
        <v>12</v>
      </c>
      <c r="I10" s="107" t="s">
        <v>11</v>
      </c>
      <c r="J10" s="106" t="s">
        <v>10</v>
      </c>
      <c r="K10" s="106"/>
      <c r="L10" s="107" t="s">
        <v>86</v>
      </c>
      <c r="M10" s="11"/>
      <c r="N10" s="11"/>
      <c r="O10" s="11"/>
      <c r="S10" s="99"/>
    </row>
    <row r="11" spans="1:20" ht="18.75" x14ac:dyDescent="0.3">
      <c r="A11" s="11"/>
      <c r="B11" s="11"/>
      <c r="C11" s="11"/>
      <c r="D11" s="11"/>
      <c r="E11" s="3"/>
      <c r="F11" s="2"/>
      <c r="G11" s="11"/>
      <c r="H11" s="100"/>
      <c r="I11" s="100"/>
      <c r="J11" s="100"/>
      <c r="K11" s="100"/>
      <c r="L11" s="3"/>
      <c r="M11" s="11"/>
      <c r="N11" s="11"/>
      <c r="O11" s="11"/>
      <c r="S11" s="99"/>
    </row>
    <row r="12" spans="1:20" ht="18.75" x14ac:dyDescent="0.3">
      <c r="A12" s="11"/>
      <c r="B12" s="168" t="s">
        <v>20</v>
      </c>
      <c r="C12" s="168"/>
      <c r="D12" s="11"/>
      <c r="E12" s="11"/>
      <c r="F12" s="2"/>
      <c r="G12" s="11"/>
      <c r="H12" s="100"/>
      <c r="I12" s="100"/>
      <c r="J12" s="100"/>
      <c r="K12" s="100"/>
      <c r="L12" s="3"/>
      <c r="M12" s="11"/>
      <c r="N12" s="11"/>
      <c r="O12" s="11"/>
      <c r="S12" s="99"/>
    </row>
    <row r="13" spans="1:20" ht="27.75" customHeight="1" x14ac:dyDescent="0.3">
      <c r="A13" s="11"/>
      <c r="B13" s="4"/>
      <c r="C13" s="105" t="s">
        <v>21</v>
      </c>
      <c r="D13" s="97" t="s">
        <v>22</v>
      </c>
      <c r="E13" s="97" t="s">
        <v>23</v>
      </c>
      <c r="F13" s="2"/>
      <c r="G13" s="36"/>
      <c r="H13" s="196" t="s">
        <v>36</v>
      </c>
      <c r="I13" s="196"/>
      <c r="J13" s="196"/>
      <c r="K13" s="101"/>
      <c r="M13" s="36"/>
      <c r="N13" s="36"/>
      <c r="O13" s="11"/>
      <c r="S13" s="99"/>
    </row>
    <row r="14" spans="1:20" ht="27.75" customHeight="1" x14ac:dyDescent="0.3">
      <c r="A14" s="11"/>
      <c r="B14" s="66" t="s">
        <v>24</v>
      </c>
      <c r="C14" s="169">
        <v>4</v>
      </c>
      <c r="D14" s="170"/>
      <c r="E14" s="171"/>
      <c r="F14" s="2"/>
      <c r="G14" s="36"/>
      <c r="H14" s="190" t="s">
        <v>37</v>
      </c>
      <c r="I14" s="190"/>
      <c r="J14" s="190"/>
      <c r="K14" s="101"/>
      <c r="M14" s="36"/>
      <c r="N14" s="36"/>
      <c r="O14" s="11"/>
    </row>
    <row r="15" spans="1:20" ht="27.75" customHeight="1" x14ac:dyDescent="0.3">
      <c r="A15" s="11"/>
      <c r="B15" s="67" t="s">
        <v>25</v>
      </c>
      <c r="C15" s="64">
        <v>4</v>
      </c>
      <c r="D15" s="65">
        <v>0</v>
      </c>
      <c r="E15" s="65">
        <v>0</v>
      </c>
      <c r="F15" s="2"/>
      <c r="G15" s="36"/>
      <c r="H15" s="190" t="s">
        <v>38</v>
      </c>
      <c r="I15" s="190"/>
      <c r="J15" s="190"/>
      <c r="K15" s="101"/>
      <c r="M15" s="36"/>
      <c r="N15" s="36"/>
      <c r="O15" s="11"/>
    </row>
    <row r="16" spans="1:20" ht="27.75" customHeight="1" x14ac:dyDescent="0.3">
      <c r="A16" s="11"/>
      <c r="B16" s="67" t="s">
        <v>26</v>
      </c>
      <c r="C16" s="5">
        <f>C15/C14</f>
        <v>1</v>
      </c>
      <c r="D16" s="5">
        <f>D15/C14</f>
        <v>0</v>
      </c>
      <c r="E16" s="5">
        <f>E15/C14</f>
        <v>0</v>
      </c>
      <c r="F16" s="11"/>
      <c r="G16" s="36"/>
      <c r="H16" s="190" t="s">
        <v>39</v>
      </c>
      <c r="I16" s="190"/>
      <c r="J16" s="190"/>
      <c r="K16" s="101"/>
      <c r="M16" s="36"/>
      <c r="N16" s="36"/>
      <c r="O16" s="11"/>
    </row>
    <row r="17" spans="1:15" ht="27.75" customHeight="1" x14ac:dyDescent="0.25">
      <c r="A17" s="11"/>
      <c r="B17" s="95"/>
      <c r="C17" s="13"/>
      <c r="D17" s="14" t="s">
        <v>27</v>
      </c>
      <c r="E17" s="15">
        <f>SUM(C16:E16)</f>
        <v>1</v>
      </c>
      <c r="F17" s="11"/>
      <c r="G17" s="11"/>
      <c r="H17" s="190" t="s">
        <v>40</v>
      </c>
      <c r="I17" s="190"/>
      <c r="J17" s="190"/>
      <c r="K17" s="101"/>
      <c r="M17" s="11"/>
      <c r="N17" s="11"/>
      <c r="O17" s="11"/>
    </row>
    <row r="18" spans="1:15" ht="27.75" customHeight="1" x14ac:dyDescent="0.25">
      <c r="A18" s="11"/>
      <c r="B18" s="17"/>
      <c r="C18" s="17"/>
      <c r="D18" s="12"/>
      <c r="E18" s="15"/>
      <c r="F18" s="11"/>
      <c r="G18" s="11"/>
      <c r="H18" s="190" t="s">
        <v>41</v>
      </c>
      <c r="I18" s="190"/>
      <c r="J18" s="190"/>
      <c r="M18" s="11"/>
      <c r="N18" s="11"/>
      <c r="O18" s="11"/>
    </row>
    <row r="19" spans="1:15" ht="21" customHeight="1" x14ac:dyDescent="0.3">
      <c r="A19" s="11"/>
      <c r="B19" s="53" t="s">
        <v>42</v>
      </c>
      <c r="C19" s="53"/>
      <c r="D19" s="54"/>
      <c r="E19" s="55"/>
      <c r="F19" s="56"/>
      <c r="G19" s="56"/>
      <c r="H19" s="11"/>
      <c r="I19" s="11"/>
      <c r="M19" s="11"/>
      <c r="N19" s="11"/>
      <c r="O19" s="11"/>
    </row>
    <row r="20" spans="1:15" ht="21.75" customHeight="1" x14ac:dyDescent="0.3">
      <c r="A20" s="11"/>
      <c r="B20" s="53" t="s">
        <v>47</v>
      </c>
      <c r="C20" s="53" t="s">
        <v>44</v>
      </c>
      <c r="D20" s="53"/>
      <c r="E20" s="55"/>
      <c r="F20" s="56"/>
      <c r="G20" s="56"/>
      <c r="H20" s="11"/>
      <c r="I20" s="11"/>
      <c r="J20" s="11"/>
      <c r="K20" s="11"/>
      <c r="L20" s="11"/>
      <c r="M20" s="11"/>
      <c r="N20" s="11"/>
      <c r="O20" s="11"/>
    </row>
    <row r="21" spans="1:15" ht="20.25" x14ac:dyDescent="0.3">
      <c r="A21" s="11"/>
      <c r="B21" s="56"/>
      <c r="C21" s="57"/>
      <c r="D21" s="58"/>
      <c r="E21" s="55"/>
      <c r="F21" s="56"/>
      <c r="G21" s="56"/>
      <c r="H21" s="11"/>
      <c r="I21" s="11"/>
      <c r="J21" s="11"/>
      <c r="K21" s="11"/>
      <c r="L21" s="11"/>
      <c r="M21" s="11"/>
      <c r="N21" s="11"/>
      <c r="O21" s="11"/>
    </row>
    <row r="22" spans="1:15" ht="18" customHeight="1" x14ac:dyDescent="0.3">
      <c r="A22" s="11"/>
      <c r="B22" s="53" t="s">
        <v>7</v>
      </c>
      <c r="C22" s="53"/>
      <c r="D22" s="54"/>
      <c r="E22" s="56"/>
      <c r="F22" s="56"/>
      <c r="G22" s="56"/>
      <c r="I22" s="6"/>
      <c r="J22" s="16"/>
      <c r="K22" s="16"/>
      <c r="L22" s="11"/>
      <c r="M22" s="11"/>
      <c r="N22" s="11"/>
      <c r="O22" s="11"/>
    </row>
    <row r="23" spans="1:15" ht="20.25" x14ac:dyDescent="0.3">
      <c r="A23" s="11"/>
      <c r="B23" s="53"/>
      <c r="C23" s="53"/>
      <c r="D23" s="54"/>
      <c r="E23" s="56"/>
      <c r="F23" s="56"/>
      <c r="G23" s="56"/>
      <c r="I23" s="11"/>
      <c r="J23" s="11"/>
      <c r="K23" s="11"/>
      <c r="L23" s="11"/>
      <c r="M23" s="11"/>
      <c r="N23" s="11"/>
      <c r="O23" s="11"/>
    </row>
    <row r="24" spans="1:15" ht="21.75" customHeight="1" x14ac:dyDescent="0.3">
      <c r="A24" s="11"/>
      <c r="B24" s="53" t="s">
        <v>47</v>
      </c>
      <c r="C24" s="59" t="s">
        <v>44</v>
      </c>
      <c r="D24" s="54"/>
      <c r="E24" s="56"/>
      <c r="F24" s="56"/>
      <c r="G24" s="56"/>
      <c r="H24" s="11"/>
      <c r="I24" s="11"/>
      <c r="J24" s="11"/>
      <c r="K24" s="11"/>
      <c r="L24" s="11"/>
      <c r="M24" s="11"/>
      <c r="N24" s="11"/>
      <c r="O24" s="11"/>
    </row>
    <row r="25" spans="1:15" ht="20.25" x14ac:dyDescent="0.3">
      <c r="A25" s="11"/>
      <c r="B25" s="60"/>
      <c r="C25" s="53"/>
      <c r="D25" s="54"/>
      <c r="E25" s="56"/>
      <c r="F25" s="56"/>
      <c r="G25" s="56"/>
      <c r="H25" s="17"/>
      <c r="I25" s="11"/>
      <c r="J25" s="11"/>
      <c r="K25" s="11"/>
      <c r="L25" s="11"/>
      <c r="M25" s="11"/>
      <c r="N25" s="11"/>
      <c r="O25" s="11"/>
    </row>
    <row r="26" spans="1:15" ht="21" customHeight="1" x14ac:dyDescent="0.25">
      <c r="A26" s="11"/>
      <c r="B26" s="59" t="s">
        <v>67</v>
      </c>
      <c r="C26" s="59" t="s">
        <v>44</v>
      </c>
      <c r="D26" s="59"/>
      <c r="E26" s="59"/>
      <c r="F26" s="59"/>
      <c r="G26" s="59"/>
      <c r="H26" s="11"/>
      <c r="I26" s="11"/>
      <c r="J26" s="11"/>
      <c r="K26" s="11"/>
      <c r="L26" s="11"/>
      <c r="M26" s="11"/>
      <c r="N26" s="11"/>
      <c r="O26" s="11"/>
    </row>
    <row r="27" spans="1:15" ht="20.25" x14ac:dyDescent="0.3">
      <c r="A27" s="11"/>
      <c r="B27" s="61"/>
      <c r="C27" s="61"/>
      <c r="D27" s="61"/>
      <c r="E27" s="61"/>
      <c r="F27" s="61"/>
      <c r="G27" s="61"/>
      <c r="H27" s="11"/>
      <c r="I27" s="11"/>
      <c r="J27" s="11"/>
      <c r="K27" s="11"/>
      <c r="L27" s="11"/>
      <c r="M27" s="11"/>
      <c r="N27" s="11"/>
      <c r="O27" s="11"/>
    </row>
    <row r="28" spans="1:15" ht="21" customHeight="1" x14ac:dyDescent="0.25">
      <c r="A28" s="11"/>
      <c r="B28" s="59" t="s">
        <v>43</v>
      </c>
      <c r="C28" s="59" t="s">
        <v>44</v>
      </c>
      <c r="D28" s="59"/>
      <c r="E28" s="191" t="s">
        <v>45</v>
      </c>
      <c r="F28" s="191"/>
      <c r="G28" s="59" t="s">
        <v>46</v>
      </c>
      <c r="H28" s="11"/>
      <c r="I28" s="11"/>
      <c r="J28" s="11"/>
      <c r="K28" s="11"/>
      <c r="L28" s="11"/>
      <c r="M28" s="11"/>
      <c r="N28" s="11"/>
      <c r="O28" s="11"/>
    </row>
    <row r="29" spans="1:15" ht="20.25" x14ac:dyDescent="0.3">
      <c r="B29" s="62"/>
      <c r="C29" s="62"/>
      <c r="D29" s="62"/>
      <c r="E29" s="62"/>
      <c r="F29" s="62"/>
      <c r="G29" s="62"/>
    </row>
  </sheetData>
  <mergeCells count="21">
    <mergeCell ref="H15:J15"/>
    <mergeCell ref="H16:J16"/>
    <mergeCell ref="H17:J17"/>
    <mergeCell ref="H18:J18"/>
    <mergeCell ref="E28:F28"/>
    <mergeCell ref="B12:C12"/>
    <mergeCell ref="H13:J13"/>
    <mergeCell ref="C14:E14"/>
    <mergeCell ref="H14:J14"/>
    <mergeCell ref="A2:O2"/>
    <mergeCell ref="A3:B3"/>
    <mergeCell ref="C3:N3"/>
    <mergeCell ref="A4:A5"/>
    <mergeCell ref="B4:B5"/>
    <mergeCell ref="C4:F4"/>
    <mergeCell ref="H4:J4"/>
    <mergeCell ref="N4:N5"/>
    <mergeCell ref="O4:O5"/>
    <mergeCell ref="L5:M5"/>
    <mergeCell ref="H6:J9"/>
    <mergeCell ref="L6:M9"/>
  </mergeCells>
  <conditionalFormatting sqref="N6:N9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G9 K6:K9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1" right="0.2" top="0.25" bottom="0" header="0" footer="0"/>
  <pageSetup paperSize="9" scale="58" fitToHeight="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7DB1D-1B3B-4495-8D9C-4E800E4BA62A}">
  <sheetPr>
    <tabColor rgb="FF00B050"/>
    <pageSetUpPr fitToPage="1"/>
  </sheetPr>
  <dimension ref="A1:T27"/>
  <sheetViews>
    <sheetView tabSelected="1" zoomScale="70" zoomScaleNormal="70" workbookViewId="0">
      <selection activeCell="G15" sqref="F14:G15"/>
    </sheetView>
  </sheetViews>
  <sheetFormatPr defaultColWidth="9.140625" defaultRowHeight="15" x14ac:dyDescent="0.25"/>
  <cols>
    <col min="1" max="1" width="4.42578125" style="1" customWidth="1"/>
    <col min="2" max="2" width="50.140625" style="10" customWidth="1"/>
    <col min="3" max="5" width="16.140625" style="10" customWidth="1"/>
    <col min="6" max="6" width="15.28515625" style="10" customWidth="1"/>
    <col min="7" max="7" width="8.7109375" style="10" customWidth="1"/>
    <col min="8" max="10" width="15.28515625" style="10" customWidth="1"/>
    <col min="11" max="11" width="8.7109375" style="10" customWidth="1"/>
    <col min="12" max="12" width="27.7109375" style="10" customWidth="1"/>
    <col min="13" max="13" width="11" style="10" customWidth="1"/>
    <col min="14" max="14" width="12.42578125" style="10" bestFit="1" customWidth="1"/>
    <col min="15" max="15" width="16.42578125" style="10" customWidth="1"/>
    <col min="16" max="16" width="20.85546875" style="10" customWidth="1"/>
    <col min="17" max="16384" width="9.140625" style="10"/>
  </cols>
  <sheetData>
    <row r="1" spans="1:20" s="11" customFormat="1" ht="15.75" thickBot="1" x14ac:dyDescent="0.3"/>
    <row r="2" spans="1:20" s="11" customFormat="1" ht="35.25" customHeight="1" x14ac:dyDescent="0.25">
      <c r="A2" s="172" t="s">
        <v>164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4"/>
    </row>
    <row r="3" spans="1:20" ht="33.75" customHeight="1" thickBot="1" x14ac:dyDescent="0.3">
      <c r="A3" s="175" t="s">
        <v>85</v>
      </c>
      <c r="B3" s="176"/>
      <c r="C3" s="176" t="s">
        <v>6</v>
      </c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21" t="s">
        <v>18</v>
      </c>
    </row>
    <row r="4" spans="1:20" ht="61.5" customHeight="1" x14ac:dyDescent="0.25">
      <c r="A4" s="177" t="s">
        <v>0</v>
      </c>
      <c r="B4" s="184" t="s">
        <v>1</v>
      </c>
      <c r="C4" s="182" t="s">
        <v>2</v>
      </c>
      <c r="D4" s="182"/>
      <c r="E4" s="182"/>
      <c r="F4" s="182"/>
      <c r="G4" s="137" t="s">
        <v>19</v>
      </c>
      <c r="H4" s="184" t="s">
        <v>3</v>
      </c>
      <c r="I4" s="184"/>
      <c r="J4" s="184"/>
      <c r="K4" s="138" t="s">
        <v>13</v>
      </c>
      <c r="L4" s="137" t="s">
        <v>8</v>
      </c>
      <c r="M4" s="137" t="s">
        <v>14</v>
      </c>
      <c r="N4" s="182" t="s">
        <v>4</v>
      </c>
      <c r="O4" s="186" t="s">
        <v>28</v>
      </c>
    </row>
    <row r="5" spans="1:20" ht="68.25" customHeight="1" x14ac:dyDescent="0.25">
      <c r="A5" s="178"/>
      <c r="B5" s="214"/>
      <c r="C5" s="97" t="s">
        <v>30</v>
      </c>
      <c r="D5" s="97" t="s">
        <v>29</v>
      </c>
      <c r="E5" s="96" t="s">
        <v>9</v>
      </c>
      <c r="F5" s="96" t="s">
        <v>88</v>
      </c>
      <c r="G5" s="97" t="s">
        <v>5</v>
      </c>
      <c r="H5" s="97" t="s">
        <v>30</v>
      </c>
      <c r="I5" s="96" t="s">
        <v>9</v>
      </c>
      <c r="J5" s="96" t="s">
        <v>88</v>
      </c>
      <c r="K5" s="97" t="s">
        <v>5</v>
      </c>
      <c r="L5" s="217" t="s">
        <v>87</v>
      </c>
      <c r="M5" s="217"/>
      <c r="N5" s="215"/>
      <c r="O5" s="187"/>
      <c r="Q5" s="100"/>
      <c r="R5" s="100"/>
      <c r="S5" s="100"/>
      <c r="T5" s="100"/>
    </row>
    <row r="6" spans="1:20" ht="42.75" customHeight="1" x14ac:dyDescent="0.25">
      <c r="A6" s="154">
        <v>1</v>
      </c>
      <c r="B6" s="144" t="s">
        <v>128</v>
      </c>
      <c r="C6" s="146">
        <v>20</v>
      </c>
      <c r="D6" s="146">
        <v>10</v>
      </c>
      <c r="E6" s="146">
        <v>5</v>
      </c>
      <c r="F6" s="147">
        <v>5</v>
      </c>
      <c r="G6" s="156">
        <f>C6+D6+F6+E6</f>
        <v>40</v>
      </c>
      <c r="H6" s="193" t="s">
        <v>89</v>
      </c>
      <c r="I6" s="193"/>
      <c r="J6" s="193"/>
      <c r="K6" s="152">
        <v>0</v>
      </c>
      <c r="L6" s="210">
        <v>17</v>
      </c>
      <c r="M6" s="210"/>
      <c r="N6" s="153">
        <f>G6+K6+$L$6</f>
        <v>57</v>
      </c>
      <c r="O6" s="71" t="str">
        <f>IF(SUM(G6,K6,$L$6)&gt;71,"Ýokary",IF(SUM(G6,K6,$L$6)&gt;=56,"I dereje",IF(SUM(G6,K6,$L$6)&gt;=45,"II dereje",IF(SUM(G6,K6,$L$6)&gt;=35,"III dereje",IF(SUM(G6,K6,$L$6)&lt;=34,"Duýduryş")))))</f>
        <v>I dereje</v>
      </c>
    </row>
    <row r="7" spans="1:20" ht="42.75" customHeight="1" thickBot="1" x14ac:dyDescent="0.3">
      <c r="A7" s="157">
        <v>2</v>
      </c>
      <c r="B7" s="158" t="s">
        <v>129</v>
      </c>
      <c r="C7" s="159">
        <v>20</v>
      </c>
      <c r="D7" s="159">
        <v>10</v>
      </c>
      <c r="E7" s="159">
        <v>5</v>
      </c>
      <c r="F7" s="160">
        <v>5</v>
      </c>
      <c r="G7" s="161">
        <f>C7+D7+F7+E7</f>
        <v>40</v>
      </c>
      <c r="H7" s="195"/>
      <c r="I7" s="195"/>
      <c r="J7" s="195"/>
      <c r="K7" s="162">
        <f>H7+I7+J7</f>
        <v>0</v>
      </c>
      <c r="L7" s="218"/>
      <c r="M7" s="218"/>
      <c r="N7" s="163">
        <f t="shared" ref="N7" si="0">G7+K7+$L$6</f>
        <v>57</v>
      </c>
      <c r="O7" s="76" t="str">
        <f t="shared" ref="O7" si="1">IF(SUM(G7,K7,$L$6)&gt;71,"Ýokary",IF(SUM(G7,K7,$L$6)&gt;=56,"I dereje",IF(SUM(G7,K7,$L$6)&gt;=45,"II dereje",IF(SUM(G7,K7,$L$6)&gt;=35,"III dereje",IF(SUM(G7,K7,$L$6)&lt;=34,"Duýduryş")))))</f>
        <v>I dereje</v>
      </c>
    </row>
    <row r="8" spans="1:20" ht="28.5" customHeight="1" x14ac:dyDescent="0.25">
      <c r="A8" s="11"/>
      <c r="B8" s="11"/>
      <c r="C8" s="106" t="s">
        <v>15</v>
      </c>
      <c r="D8" s="106" t="s">
        <v>17</v>
      </c>
      <c r="E8" s="107" t="s">
        <v>16</v>
      </c>
      <c r="F8" s="108" t="s">
        <v>10</v>
      </c>
      <c r="G8" s="106"/>
      <c r="H8" s="106" t="s">
        <v>12</v>
      </c>
      <c r="I8" s="107" t="s">
        <v>11</v>
      </c>
      <c r="J8" s="106" t="s">
        <v>10</v>
      </c>
      <c r="K8" s="106"/>
      <c r="L8" s="107" t="s">
        <v>86</v>
      </c>
      <c r="M8" s="11"/>
      <c r="N8" s="11"/>
      <c r="O8" s="11"/>
      <c r="S8" s="99"/>
    </row>
    <row r="9" spans="1:20" ht="18.75" x14ac:dyDescent="0.3">
      <c r="A9" s="11"/>
      <c r="B9" s="11"/>
      <c r="C9" s="11"/>
      <c r="D9" s="11"/>
      <c r="E9" s="3"/>
      <c r="F9" s="2"/>
      <c r="G9" s="11"/>
      <c r="H9" s="100"/>
      <c r="I9" s="100"/>
      <c r="J9" s="100"/>
      <c r="K9" s="100"/>
      <c r="L9" s="3"/>
      <c r="M9" s="11"/>
      <c r="N9" s="11"/>
      <c r="O9" s="11"/>
      <c r="S9" s="99"/>
    </row>
    <row r="10" spans="1:20" ht="18.75" x14ac:dyDescent="0.3">
      <c r="A10" s="11"/>
      <c r="B10" s="168" t="s">
        <v>20</v>
      </c>
      <c r="C10" s="168"/>
      <c r="D10" s="11"/>
      <c r="E10" s="11"/>
      <c r="F10" s="2"/>
      <c r="G10" s="11"/>
      <c r="H10" s="100"/>
      <c r="I10" s="100"/>
      <c r="J10" s="100"/>
      <c r="K10" s="100"/>
      <c r="L10" s="3"/>
      <c r="M10" s="11"/>
      <c r="N10" s="11"/>
      <c r="O10" s="11"/>
      <c r="S10" s="99"/>
    </row>
    <row r="11" spans="1:20" ht="27.75" customHeight="1" x14ac:dyDescent="0.3">
      <c r="A11" s="11"/>
      <c r="B11" s="4"/>
      <c r="C11" s="105" t="s">
        <v>21</v>
      </c>
      <c r="D11" s="97" t="s">
        <v>22</v>
      </c>
      <c r="E11" s="97" t="s">
        <v>23</v>
      </c>
      <c r="F11" s="2"/>
      <c r="G11" s="36"/>
      <c r="H11" s="196" t="s">
        <v>36</v>
      </c>
      <c r="I11" s="196"/>
      <c r="J11" s="196"/>
      <c r="K11" s="101"/>
      <c r="M11" s="36"/>
      <c r="N11" s="36"/>
      <c r="O11" s="11"/>
      <c r="S11" s="99"/>
    </row>
    <row r="12" spans="1:20" ht="27.75" customHeight="1" x14ac:dyDescent="0.3">
      <c r="A12" s="11"/>
      <c r="B12" s="66" t="s">
        <v>24</v>
      </c>
      <c r="C12" s="169">
        <v>2</v>
      </c>
      <c r="D12" s="170"/>
      <c r="E12" s="171"/>
      <c r="F12" s="2"/>
      <c r="G12" s="36"/>
      <c r="H12" s="190" t="s">
        <v>37</v>
      </c>
      <c r="I12" s="190"/>
      <c r="J12" s="190"/>
      <c r="K12" s="101"/>
      <c r="M12" s="36"/>
      <c r="N12" s="36"/>
      <c r="O12" s="11"/>
    </row>
    <row r="13" spans="1:20" ht="27.75" customHeight="1" x14ac:dyDescent="0.3">
      <c r="A13" s="11"/>
      <c r="B13" s="67" t="s">
        <v>25</v>
      </c>
      <c r="C13" s="64">
        <v>2</v>
      </c>
      <c r="D13" s="65">
        <v>0</v>
      </c>
      <c r="E13" s="65">
        <v>0</v>
      </c>
      <c r="F13" s="2"/>
      <c r="G13" s="36"/>
      <c r="H13" s="190" t="s">
        <v>38</v>
      </c>
      <c r="I13" s="190"/>
      <c r="J13" s="190"/>
      <c r="K13" s="101"/>
      <c r="M13" s="36"/>
      <c r="N13" s="36"/>
      <c r="O13" s="11"/>
    </row>
    <row r="14" spans="1:20" ht="27.75" customHeight="1" x14ac:dyDescent="0.3">
      <c r="A14" s="11"/>
      <c r="B14" s="67" t="s">
        <v>26</v>
      </c>
      <c r="C14" s="5">
        <f>C13/C12</f>
        <v>1</v>
      </c>
      <c r="D14" s="5">
        <f>D13/C12</f>
        <v>0</v>
      </c>
      <c r="E14" s="5">
        <f>E13/C12</f>
        <v>0</v>
      </c>
      <c r="F14" s="11"/>
      <c r="G14" s="36"/>
      <c r="H14" s="190" t="s">
        <v>39</v>
      </c>
      <c r="I14" s="190"/>
      <c r="J14" s="190"/>
      <c r="K14" s="101"/>
      <c r="M14" s="36"/>
      <c r="N14" s="36"/>
      <c r="O14" s="11"/>
    </row>
    <row r="15" spans="1:20" ht="27.75" customHeight="1" x14ac:dyDescent="0.25">
      <c r="A15" s="11"/>
      <c r="B15" s="134"/>
      <c r="C15" s="13"/>
      <c r="D15" s="14" t="s">
        <v>27</v>
      </c>
      <c r="E15" s="15">
        <f>SUM(C14:E14)</f>
        <v>1</v>
      </c>
      <c r="F15" s="11"/>
      <c r="G15" s="11"/>
      <c r="H15" s="190" t="s">
        <v>40</v>
      </c>
      <c r="I15" s="190"/>
      <c r="J15" s="190"/>
      <c r="K15" s="101"/>
      <c r="M15" s="11"/>
      <c r="N15" s="11"/>
      <c r="O15" s="11"/>
    </row>
    <row r="16" spans="1:20" ht="27.75" customHeight="1" x14ac:dyDescent="0.25">
      <c r="A16" s="11"/>
      <c r="B16" s="17"/>
      <c r="C16" s="17"/>
      <c r="D16" s="12"/>
      <c r="E16" s="15"/>
      <c r="F16" s="11"/>
      <c r="G16" s="11"/>
      <c r="H16" s="190" t="s">
        <v>41</v>
      </c>
      <c r="I16" s="190"/>
      <c r="J16" s="190"/>
      <c r="M16" s="11"/>
      <c r="N16" s="11"/>
      <c r="O16" s="11"/>
    </row>
    <row r="17" spans="1:15" ht="21" customHeight="1" x14ac:dyDescent="0.3">
      <c r="A17" s="11"/>
      <c r="B17" s="53" t="s">
        <v>42</v>
      </c>
      <c r="C17" s="53"/>
      <c r="D17" s="54"/>
      <c r="E17" s="55"/>
      <c r="F17" s="56"/>
      <c r="G17" s="56"/>
      <c r="H17" s="11"/>
      <c r="I17" s="11"/>
      <c r="M17" s="11"/>
      <c r="N17" s="11"/>
      <c r="O17" s="11"/>
    </row>
    <row r="18" spans="1:15" ht="21.75" customHeight="1" x14ac:dyDescent="0.3">
      <c r="A18" s="11"/>
      <c r="B18" s="53" t="s">
        <v>47</v>
      </c>
      <c r="C18" s="53" t="s">
        <v>44</v>
      </c>
      <c r="D18" s="53"/>
      <c r="E18" s="55"/>
      <c r="F18" s="56"/>
      <c r="G18" s="56"/>
      <c r="H18" s="11"/>
      <c r="I18" s="11"/>
      <c r="J18" s="11"/>
      <c r="K18" s="11"/>
      <c r="L18" s="11"/>
      <c r="M18" s="11"/>
      <c r="N18" s="11"/>
      <c r="O18" s="11"/>
    </row>
    <row r="19" spans="1:15" ht="20.25" x14ac:dyDescent="0.3">
      <c r="A19" s="11"/>
      <c r="B19" s="56"/>
      <c r="C19" s="57"/>
      <c r="D19" s="58"/>
      <c r="E19" s="55"/>
      <c r="F19" s="56"/>
      <c r="G19" s="56"/>
      <c r="H19" s="11"/>
      <c r="I19" s="11"/>
      <c r="J19" s="11"/>
      <c r="K19" s="11"/>
      <c r="L19" s="11"/>
      <c r="M19" s="11"/>
      <c r="N19" s="11"/>
      <c r="O19" s="11"/>
    </row>
    <row r="20" spans="1:15" ht="18" customHeight="1" x14ac:dyDescent="0.3">
      <c r="A20" s="11"/>
      <c r="B20" s="53" t="s">
        <v>7</v>
      </c>
      <c r="C20" s="53"/>
      <c r="D20" s="54"/>
      <c r="E20" s="56"/>
      <c r="F20" s="56"/>
      <c r="G20" s="56"/>
      <c r="I20" s="6"/>
      <c r="J20" s="16"/>
      <c r="K20" s="16"/>
      <c r="L20" s="11"/>
      <c r="M20" s="11"/>
      <c r="N20" s="11"/>
      <c r="O20" s="11"/>
    </row>
    <row r="21" spans="1:15" ht="20.25" x14ac:dyDescent="0.3">
      <c r="A21" s="11"/>
      <c r="B21" s="53"/>
      <c r="C21" s="53"/>
      <c r="D21" s="54"/>
      <c r="E21" s="56"/>
      <c r="F21" s="56"/>
      <c r="G21" s="56"/>
      <c r="I21" s="11"/>
      <c r="J21" s="11"/>
      <c r="K21" s="11"/>
      <c r="L21" s="11"/>
      <c r="M21" s="11"/>
      <c r="N21" s="11"/>
      <c r="O21" s="11"/>
    </row>
    <row r="22" spans="1:15" ht="21.75" customHeight="1" x14ac:dyDescent="0.3">
      <c r="A22" s="11"/>
      <c r="B22" s="53" t="s">
        <v>47</v>
      </c>
      <c r="C22" s="59" t="s">
        <v>44</v>
      </c>
      <c r="D22" s="54"/>
      <c r="E22" s="56"/>
      <c r="F22" s="56"/>
      <c r="G22" s="56"/>
      <c r="H22" s="11"/>
      <c r="I22" s="11"/>
      <c r="J22" s="11"/>
      <c r="K22" s="11"/>
      <c r="L22" s="11"/>
      <c r="M22" s="11"/>
      <c r="N22" s="11"/>
      <c r="O22" s="11"/>
    </row>
    <row r="23" spans="1:15" ht="20.25" x14ac:dyDescent="0.3">
      <c r="A23" s="11"/>
      <c r="B23" s="60"/>
      <c r="C23" s="53"/>
      <c r="D23" s="54"/>
      <c r="E23" s="56"/>
      <c r="F23" s="56"/>
      <c r="G23" s="56"/>
      <c r="H23" s="17"/>
      <c r="I23" s="11"/>
      <c r="J23" s="11"/>
      <c r="K23" s="11"/>
      <c r="L23" s="11"/>
      <c r="M23" s="11"/>
      <c r="N23" s="11"/>
      <c r="O23" s="11"/>
    </row>
    <row r="24" spans="1:15" ht="21" customHeight="1" x14ac:dyDescent="0.25">
      <c r="A24" s="11"/>
      <c r="B24" s="59" t="s">
        <v>67</v>
      </c>
      <c r="C24" s="59" t="s">
        <v>44</v>
      </c>
      <c r="D24" s="59"/>
      <c r="E24" s="59"/>
      <c r="F24" s="59"/>
      <c r="G24" s="59"/>
      <c r="H24" s="11"/>
      <c r="I24" s="11"/>
      <c r="J24" s="11"/>
      <c r="K24" s="11"/>
      <c r="L24" s="11"/>
      <c r="M24" s="11"/>
      <c r="N24" s="11"/>
      <c r="O24" s="11"/>
    </row>
    <row r="25" spans="1:15" ht="20.25" x14ac:dyDescent="0.3">
      <c r="A25" s="11"/>
      <c r="B25" s="61"/>
      <c r="C25" s="61"/>
      <c r="D25" s="61"/>
      <c r="E25" s="61"/>
      <c r="F25" s="61"/>
      <c r="G25" s="61"/>
      <c r="H25" s="11"/>
      <c r="I25" s="11"/>
      <c r="J25" s="11"/>
      <c r="K25" s="11"/>
      <c r="L25" s="11"/>
      <c r="M25" s="11"/>
      <c r="N25" s="11"/>
      <c r="O25" s="11"/>
    </row>
    <row r="26" spans="1:15" ht="21" customHeight="1" x14ac:dyDescent="0.25">
      <c r="A26" s="11"/>
      <c r="B26" s="59" t="s">
        <v>43</v>
      </c>
      <c r="C26" s="59" t="s">
        <v>44</v>
      </c>
      <c r="D26" s="59"/>
      <c r="E26" s="191" t="s">
        <v>45</v>
      </c>
      <c r="F26" s="191"/>
      <c r="G26" s="59" t="s">
        <v>46</v>
      </c>
      <c r="H26" s="11"/>
      <c r="I26" s="11"/>
      <c r="J26" s="11"/>
      <c r="K26" s="11"/>
      <c r="L26" s="11"/>
      <c r="M26" s="11"/>
      <c r="N26" s="11"/>
      <c r="O26" s="11"/>
    </row>
    <row r="27" spans="1:15" ht="20.25" x14ac:dyDescent="0.3">
      <c r="B27" s="62"/>
      <c r="C27" s="62"/>
      <c r="D27" s="62"/>
      <c r="E27" s="62"/>
      <c r="F27" s="62"/>
      <c r="G27" s="62"/>
    </row>
  </sheetData>
  <mergeCells count="21">
    <mergeCell ref="A2:O2"/>
    <mergeCell ref="A3:B3"/>
    <mergeCell ref="C3:N3"/>
    <mergeCell ref="A4:A5"/>
    <mergeCell ref="B4:B5"/>
    <mergeCell ref="C4:F4"/>
    <mergeCell ref="H4:J4"/>
    <mergeCell ref="N4:N5"/>
    <mergeCell ref="O4:O5"/>
    <mergeCell ref="L5:M5"/>
    <mergeCell ref="H6:J7"/>
    <mergeCell ref="L6:M7"/>
    <mergeCell ref="B10:C10"/>
    <mergeCell ref="H11:J11"/>
    <mergeCell ref="C12:E12"/>
    <mergeCell ref="H12:J12"/>
    <mergeCell ref="H13:J13"/>
    <mergeCell ref="H14:J14"/>
    <mergeCell ref="H15:J15"/>
    <mergeCell ref="H16:J16"/>
    <mergeCell ref="E26:F26"/>
  </mergeCells>
  <conditionalFormatting sqref="N6:N7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:G7 K6:K7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14000000000000001" right="0.13" top="0.17" bottom="0" header="0.18" footer="0"/>
  <pageSetup paperSize="9" scale="58" fitToHeight="0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P33"/>
  <sheetViews>
    <sheetView workbookViewId="0">
      <selection activeCell="A3" sqref="A3"/>
    </sheetView>
  </sheetViews>
  <sheetFormatPr defaultRowHeight="15" x14ac:dyDescent="0.25"/>
  <cols>
    <col min="1" max="1" width="4.42578125" customWidth="1"/>
    <col min="2" max="2" width="20" customWidth="1"/>
    <col min="3" max="9" width="16.28515625" customWidth="1"/>
    <col min="10" max="11" width="15.140625" customWidth="1"/>
  </cols>
  <sheetData>
    <row r="1" spans="1:11" ht="15" customHeight="1" x14ac:dyDescent="0.25">
      <c r="A1" s="219" t="s">
        <v>163</v>
      </c>
      <c r="B1" s="220"/>
      <c r="C1" s="220"/>
      <c r="D1" s="220"/>
      <c r="E1" s="220"/>
      <c r="F1" s="220"/>
      <c r="G1" s="220"/>
      <c r="H1" s="220"/>
      <c r="I1" s="220"/>
      <c r="J1" s="220"/>
      <c r="K1" s="221"/>
    </row>
    <row r="2" spans="1:11" ht="15" customHeight="1" thickBot="1" x14ac:dyDescent="0.3">
      <c r="A2" s="222"/>
      <c r="B2" s="223"/>
      <c r="C2" s="223"/>
      <c r="D2" s="223"/>
      <c r="E2" s="223"/>
      <c r="F2" s="223"/>
      <c r="G2" s="223"/>
      <c r="H2" s="223"/>
      <c r="I2" s="223"/>
      <c r="J2" s="223"/>
      <c r="K2" s="224"/>
    </row>
    <row r="3" spans="1:11" s="9" customFormat="1" ht="42.75" x14ac:dyDescent="0.25">
      <c r="A3" s="82" t="s">
        <v>0</v>
      </c>
      <c r="B3" s="79" t="s">
        <v>31</v>
      </c>
      <c r="C3" s="228" t="s">
        <v>32</v>
      </c>
      <c r="D3" s="229"/>
      <c r="E3" s="230" t="s">
        <v>33</v>
      </c>
      <c r="F3" s="231"/>
      <c r="G3" s="232" t="s">
        <v>34</v>
      </c>
      <c r="H3" s="233"/>
      <c r="I3" s="80" t="s">
        <v>83</v>
      </c>
      <c r="J3" s="81" t="s">
        <v>78</v>
      </c>
      <c r="K3" s="83" t="s">
        <v>79</v>
      </c>
    </row>
    <row r="4" spans="1:11" ht="19.5" customHeight="1" x14ac:dyDescent="0.25">
      <c r="A4" s="84">
        <v>1</v>
      </c>
      <c r="B4" s="8" t="s">
        <v>68</v>
      </c>
      <c r="C4" s="33">
        <v>8</v>
      </c>
      <c r="D4" s="34">
        <f>C4/I4</f>
        <v>1</v>
      </c>
      <c r="E4" s="33">
        <v>0</v>
      </c>
      <c r="F4" s="34">
        <f>E4/I4</f>
        <v>0</v>
      </c>
      <c r="G4" s="33">
        <v>0</v>
      </c>
      <c r="H4" s="34">
        <f>G4/I4</f>
        <v>0</v>
      </c>
      <c r="I4" s="35">
        <f>C4+E4+G4</f>
        <v>8</v>
      </c>
      <c r="J4" s="78">
        <v>154616</v>
      </c>
      <c r="K4" s="85">
        <f>J4/I4</f>
        <v>19327</v>
      </c>
    </row>
    <row r="5" spans="1:11" ht="19.5" customHeight="1" x14ac:dyDescent="0.25">
      <c r="A5" s="84">
        <v>2</v>
      </c>
      <c r="B5" s="8" t="s">
        <v>69</v>
      </c>
      <c r="C5" s="33">
        <v>7</v>
      </c>
      <c r="D5" s="34">
        <f>C5/I5</f>
        <v>1</v>
      </c>
      <c r="E5" s="33">
        <v>0</v>
      </c>
      <c r="F5" s="34">
        <f>E5/I5</f>
        <v>0</v>
      </c>
      <c r="G5" s="33">
        <v>0</v>
      </c>
      <c r="H5" s="34">
        <f>G5/I5</f>
        <v>0</v>
      </c>
      <c r="I5" s="35">
        <f t="shared" ref="I5:I15" si="0">C5+E5+G5</f>
        <v>7</v>
      </c>
      <c r="J5" s="78">
        <v>102088</v>
      </c>
      <c r="K5" s="85">
        <f t="shared" ref="K5:K14" si="1">J5/I5</f>
        <v>14584</v>
      </c>
    </row>
    <row r="6" spans="1:11" ht="19.5" customHeight="1" x14ac:dyDescent="0.25">
      <c r="A6" s="84">
        <v>3</v>
      </c>
      <c r="B6" s="8" t="s">
        <v>80</v>
      </c>
      <c r="C6" s="33">
        <v>5</v>
      </c>
      <c r="D6" s="34">
        <f>C6/I6</f>
        <v>0.83333333333333337</v>
      </c>
      <c r="E6" s="33">
        <v>1</v>
      </c>
      <c r="F6" s="34">
        <f>E6/I6</f>
        <v>0.16666666666666666</v>
      </c>
      <c r="G6" s="33">
        <v>0</v>
      </c>
      <c r="H6" s="34">
        <f>G6/I6</f>
        <v>0</v>
      </c>
      <c r="I6" s="35">
        <f t="shared" ref="I6" si="2">C6+E6+G6</f>
        <v>6</v>
      </c>
      <c r="J6" s="78">
        <v>94080</v>
      </c>
      <c r="K6" s="85">
        <f t="shared" si="1"/>
        <v>15680</v>
      </c>
    </row>
    <row r="7" spans="1:11" ht="19.5" customHeight="1" x14ac:dyDescent="0.25">
      <c r="A7" s="84">
        <v>4</v>
      </c>
      <c r="B7" s="8" t="s">
        <v>70</v>
      </c>
      <c r="C7" s="33">
        <v>4</v>
      </c>
      <c r="D7" s="34">
        <f>C7/I7</f>
        <v>0.66666666666666663</v>
      </c>
      <c r="E7" s="33">
        <v>2</v>
      </c>
      <c r="F7" s="34">
        <f>E7/I7</f>
        <v>0.33333333333333331</v>
      </c>
      <c r="G7" s="33">
        <v>0</v>
      </c>
      <c r="H7" s="34">
        <f>G7/I7</f>
        <v>0</v>
      </c>
      <c r="I7" s="35">
        <f t="shared" si="0"/>
        <v>6</v>
      </c>
      <c r="J7" s="78">
        <v>94080</v>
      </c>
      <c r="K7" s="85">
        <f t="shared" si="1"/>
        <v>15680</v>
      </c>
    </row>
    <row r="8" spans="1:11" ht="19.5" customHeight="1" x14ac:dyDescent="0.25">
      <c r="A8" s="84">
        <v>5</v>
      </c>
      <c r="B8" s="8" t="s">
        <v>71</v>
      </c>
      <c r="C8" s="33">
        <v>5</v>
      </c>
      <c r="D8" s="34">
        <f>C8/I8</f>
        <v>0.7142857142857143</v>
      </c>
      <c r="E8" s="33">
        <v>2</v>
      </c>
      <c r="F8" s="34">
        <f>E8/I8</f>
        <v>0.2857142857142857</v>
      </c>
      <c r="G8" s="33">
        <v>0</v>
      </c>
      <c r="H8" s="34">
        <f>G8/I8</f>
        <v>0</v>
      </c>
      <c r="I8" s="35">
        <f t="shared" si="0"/>
        <v>7</v>
      </c>
      <c r="J8" s="78">
        <v>94080</v>
      </c>
      <c r="K8" s="85">
        <f t="shared" si="1"/>
        <v>13440</v>
      </c>
    </row>
    <row r="9" spans="1:11" ht="19.5" customHeight="1" x14ac:dyDescent="0.25">
      <c r="A9" s="84">
        <v>6</v>
      </c>
      <c r="B9" s="8" t="s">
        <v>72</v>
      </c>
      <c r="C9" s="33">
        <v>4</v>
      </c>
      <c r="D9" s="34">
        <f t="shared" ref="D9:D11" si="3">C9/I9</f>
        <v>0.66666666666666663</v>
      </c>
      <c r="E9" s="33">
        <v>0</v>
      </c>
      <c r="F9" s="34">
        <f t="shared" ref="F9:F11" si="4">E9/I9</f>
        <v>0</v>
      </c>
      <c r="G9" s="33">
        <v>2</v>
      </c>
      <c r="H9" s="34">
        <f t="shared" ref="H9:H11" si="5">G9/I9</f>
        <v>0.33333333333333331</v>
      </c>
      <c r="I9" s="35">
        <f t="shared" ref="I9:I11" si="6">C9+E9+G9</f>
        <v>6</v>
      </c>
      <c r="J9" s="78">
        <v>86240</v>
      </c>
      <c r="K9" s="85">
        <f t="shared" si="1"/>
        <v>14373.333333333334</v>
      </c>
    </row>
    <row r="10" spans="1:11" ht="19.5" customHeight="1" x14ac:dyDescent="0.25">
      <c r="A10" s="84">
        <v>7</v>
      </c>
      <c r="B10" s="8" t="s">
        <v>73</v>
      </c>
      <c r="C10" s="33">
        <v>4</v>
      </c>
      <c r="D10" s="34">
        <f t="shared" si="3"/>
        <v>1</v>
      </c>
      <c r="E10" s="33">
        <v>0</v>
      </c>
      <c r="F10" s="34">
        <f t="shared" si="4"/>
        <v>0</v>
      </c>
      <c r="G10" s="33">
        <v>0</v>
      </c>
      <c r="H10" s="34">
        <f t="shared" si="5"/>
        <v>0</v>
      </c>
      <c r="I10" s="35">
        <f t="shared" si="6"/>
        <v>4</v>
      </c>
      <c r="J10" s="78">
        <v>62272</v>
      </c>
      <c r="K10" s="85">
        <f t="shared" si="1"/>
        <v>15568</v>
      </c>
    </row>
    <row r="11" spans="1:11" ht="19.5" customHeight="1" x14ac:dyDescent="0.25">
      <c r="A11" s="84">
        <v>8</v>
      </c>
      <c r="B11" s="8" t="s">
        <v>74</v>
      </c>
      <c r="C11" s="33">
        <v>5</v>
      </c>
      <c r="D11" s="34">
        <f t="shared" si="3"/>
        <v>0.55555555555555558</v>
      </c>
      <c r="E11" s="33">
        <v>4</v>
      </c>
      <c r="F11" s="34">
        <f t="shared" si="4"/>
        <v>0.44444444444444442</v>
      </c>
      <c r="G11" s="33">
        <v>0</v>
      </c>
      <c r="H11" s="34">
        <f t="shared" si="5"/>
        <v>0</v>
      </c>
      <c r="I11" s="35">
        <f t="shared" si="6"/>
        <v>9</v>
      </c>
      <c r="J11" s="78">
        <v>151200</v>
      </c>
      <c r="K11" s="85">
        <f t="shared" si="1"/>
        <v>16800</v>
      </c>
    </row>
    <row r="12" spans="1:11" ht="19.5" customHeight="1" x14ac:dyDescent="0.25">
      <c r="A12" s="84">
        <v>9</v>
      </c>
      <c r="B12" s="8" t="s">
        <v>77</v>
      </c>
      <c r="C12" s="33">
        <v>7</v>
      </c>
      <c r="D12" s="34">
        <f t="shared" ref="D12:D14" si="7">C12/I12</f>
        <v>0.875</v>
      </c>
      <c r="E12" s="33">
        <v>1</v>
      </c>
      <c r="F12" s="34">
        <f t="shared" ref="F12:F14" si="8">E12/I12</f>
        <v>0.125</v>
      </c>
      <c r="G12" s="33">
        <v>0</v>
      </c>
      <c r="H12" s="34">
        <f t="shared" ref="H12:H14" si="9">G12/I12</f>
        <v>0</v>
      </c>
      <c r="I12" s="35">
        <f t="shared" ref="I12:I14" si="10">C12+E12+G12</f>
        <v>8</v>
      </c>
      <c r="J12" s="78">
        <v>133200</v>
      </c>
      <c r="K12" s="85">
        <f t="shared" si="1"/>
        <v>16650</v>
      </c>
    </row>
    <row r="13" spans="1:11" ht="19.5" customHeight="1" x14ac:dyDescent="0.25">
      <c r="A13" s="84">
        <v>10</v>
      </c>
      <c r="B13" s="8" t="s">
        <v>75</v>
      </c>
      <c r="C13" s="33">
        <v>5</v>
      </c>
      <c r="D13" s="34">
        <f t="shared" si="7"/>
        <v>0.7142857142857143</v>
      </c>
      <c r="E13" s="33">
        <v>2</v>
      </c>
      <c r="F13" s="34">
        <f t="shared" si="8"/>
        <v>0.2857142857142857</v>
      </c>
      <c r="G13" s="33">
        <v>0</v>
      </c>
      <c r="H13" s="34">
        <f t="shared" si="9"/>
        <v>0</v>
      </c>
      <c r="I13" s="35">
        <f t="shared" si="10"/>
        <v>7</v>
      </c>
      <c r="J13" s="78">
        <v>138600</v>
      </c>
      <c r="K13" s="85">
        <f t="shared" si="1"/>
        <v>19800</v>
      </c>
    </row>
    <row r="14" spans="1:11" ht="19.5" customHeight="1" x14ac:dyDescent="0.25">
      <c r="A14" s="84">
        <v>11</v>
      </c>
      <c r="B14" s="8" t="s">
        <v>76</v>
      </c>
      <c r="C14" s="33">
        <v>4</v>
      </c>
      <c r="D14" s="34">
        <f t="shared" si="7"/>
        <v>0.5</v>
      </c>
      <c r="E14" s="33">
        <v>4</v>
      </c>
      <c r="F14" s="34">
        <f t="shared" si="8"/>
        <v>0.5</v>
      </c>
      <c r="G14" s="33">
        <v>0</v>
      </c>
      <c r="H14" s="34">
        <f t="shared" si="9"/>
        <v>0</v>
      </c>
      <c r="I14" s="35">
        <f t="shared" si="10"/>
        <v>8</v>
      </c>
      <c r="J14" s="78">
        <v>122400</v>
      </c>
      <c r="K14" s="85">
        <f t="shared" si="1"/>
        <v>15300</v>
      </c>
    </row>
    <row r="15" spans="1:11" ht="19.5" customHeight="1" thickBot="1" x14ac:dyDescent="0.3">
      <c r="A15" s="234" t="s">
        <v>35</v>
      </c>
      <c r="B15" s="235"/>
      <c r="C15" s="86">
        <f>SUM(C4:C14)</f>
        <v>58</v>
      </c>
      <c r="D15" s="87">
        <f>C15/I15</f>
        <v>0.76315789473684215</v>
      </c>
      <c r="E15" s="86">
        <f>SUM(E4:E14)</f>
        <v>16</v>
      </c>
      <c r="F15" s="87">
        <f>E15/I15</f>
        <v>0.21052631578947367</v>
      </c>
      <c r="G15" s="86">
        <f>SUM(G4:G14)</f>
        <v>2</v>
      </c>
      <c r="H15" s="87">
        <f>G15/I15</f>
        <v>2.6315789473684209E-2</v>
      </c>
      <c r="I15" s="88">
        <f t="shared" si="0"/>
        <v>76</v>
      </c>
      <c r="J15" s="89">
        <f>J4+J5+J6+J7+J8+J9+J10+J11+J12+J13+J14</f>
        <v>1232856</v>
      </c>
      <c r="K15" s="90">
        <f>J15/I15</f>
        <v>16221.78947368421</v>
      </c>
    </row>
    <row r="16" spans="1:11" x14ac:dyDescent="0.25">
      <c r="K16" s="77"/>
    </row>
    <row r="18" spans="1:16" s="24" customFormat="1" ht="24.75" customHeight="1" x14ac:dyDescent="0.2">
      <c r="A18" s="21"/>
      <c r="B18" s="37"/>
      <c r="C18" s="38" t="s">
        <v>21</v>
      </c>
      <c r="D18" s="39" t="s">
        <v>22</v>
      </c>
      <c r="E18" s="39" t="s">
        <v>23</v>
      </c>
      <c r="F18" s="22"/>
      <c r="G18" s="21"/>
      <c r="H18" s="23"/>
      <c r="I18" s="23"/>
      <c r="J18" s="23"/>
      <c r="K18" s="23"/>
      <c r="L18" s="23"/>
      <c r="M18" s="23"/>
      <c r="N18" s="23"/>
      <c r="O18" s="23"/>
      <c r="P18" s="23"/>
    </row>
    <row r="19" spans="1:16" s="24" customFormat="1" ht="24.75" customHeight="1" x14ac:dyDescent="0.2">
      <c r="A19" s="21"/>
      <c r="B19" s="40" t="s">
        <v>24</v>
      </c>
      <c r="C19" s="225">
        <v>76</v>
      </c>
      <c r="D19" s="226"/>
      <c r="E19" s="227"/>
      <c r="F19" s="22"/>
      <c r="G19" s="21"/>
      <c r="H19" s="23"/>
      <c r="I19" s="23"/>
      <c r="J19" s="23"/>
      <c r="K19" s="23"/>
      <c r="L19" s="23"/>
      <c r="M19" s="23"/>
      <c r="N19" s="23"/>
      <c r="O19" s="23"/>
      <c r="P19" s="23"/>
    </row>
    <row r="20" spans="1:16" s="24" customFormat="1" ht="24.75" customHeight="1" x14ac:dyDescent="0.2">
      <c r="A20" s="21"/>
      <c r="B20" s="39" t="s">
        <v>25</v>
      </c>
      <c r="C20" s="41">
        <v>58</v>
      </c>
      <c r="D20" s="42">
        <v>16</v>
      </c>
      <c r="E20" s="42">
        <v>2</v>
      </c>
      <c r="F20" s="22"/>
      <c r="G20" s="21"/>
      <c r="H20" s="23"/>
      <c r="I20" s="23"/>
      <c r="J20" s="23"/>
      <c r="K20" s="23"/>
      <c r="L20" s="23"/>
      <c r="M20" s="23"/>
      <c r="N20" s="23"/>
      <c r="O20" s="23"/>
      <c r="P20" s="23"/>
    </row>
    <row r="21" spans="1:16" s="24" customFormat="1" ht="24.75" customHeight="1" x14ac:dyDescent="0.2">
      <c r="A21" s="21"/>
      <c r="B21" s="39" t="s">
        <v>26</v>
      </c>
      <c r="C21" s="43">
        <f>C20/C19</f>
        <v>0.76315789473684215</v>
      </c>
      <c r="D21" s="43">
        <f>D20/C19</f>
        <v>0.21052631578947367</v>
      </c>
      <c r="E21" s="43">
        <f>E20/C19</f>
        <v>2.6315789473684209E-2</v>
      </c>
      <c r="F21" s="21"/>
      <c r="G21" s="21"/>
      <c r="H21" s="23"/>
      <c r="I21" s="23"/>
      <c r="J21" s="23"/>
      <c r="K21" s="23"/>
      <c r="L21" s="23"/>
      <c r="M21" s="23"/>
      <c r="N21" s="23"/>
      <c r="O21" s="23"/>
      <c r="P21" s="23"/>
    </row>
    <row r="22" spans="1:16" s="24" customFormat="1" ht="18.75" customHeight="1" x14ac:dyDescent="0.2">
      <c r="A22" s="21"/>
      <c r="B22" s="25"/>
      <c r="C22" s="26"/>
      <c r="D22" s="27" t="s">
        <v>27</v>
      </c>
      <c r="E22" s="28">
        <f>SUM(C21:E21)</f>
        <v>1</v>
      </c>
      <c r="F22" s="21"/>
      <c r="G22" s="21"/>
      <c r="H22" s="23"/>
      <c r="I22" s="23"/>
      <c r="J22" s="23"/>
      <c r="K22" s="23"/>
      <c r="L22" s="23"/>
      <c r="M22" s="23"/>
      <c r="N22" s="23"/>
      <c r="O22" s="23"/>
      <c r="P22" s="23"/>
    </row>
    <row r="23" spans="1:16" s="24" customFormat="1" ht="12.75" x14ac:dyDescent="0.2">
      <c r="A23" s="21"/>
      <c r="B23" s="29"/>
      <c r="C23" s="29"/>
      <c r="D23" s="30"/>
      <c r="E23" s="28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s="24" customFormat="1" ht="21" customHeight="1" x14ac:dyDescent="0.25">
      <c r="A24" s="21"/>
      <c r="B24" s="44" t="s">
        <v>42</v>
      </c>
      <c r="C24" s="44"/>
      <c r="D24" s="45"/>
      <c r="E24" s="46"/>
      <c r="F24" s="47"/>
      <c r="G24" s="47"/>
      <c r="H24" s="21"/>
      <c r="I24" s="21"/>
      <c r="J24" s="21"/>
      <c r="K24" s="21"/>
      <c r="L24" s="21"/>
      <c r="M24" s="21"/>
      <c r="N24" s="21"/>
      <c r="O24" s="21"/>
      <c r="P24" s="21"/>
    </row>
    <row r="25" spans="1:16" s="24" customFormat="1" ht="21.75" customHeight="1" x14ac:dyDescent="0.25">
      <c r="A25" s="21"/>
      <c r="B25" s="44" t="s">
        <v>47</v>
      </c>
      <c r="C25" s="44" t="s">
        <v>44</v>
      </c>
      <c r="D25" s="44"/>
      <c r="E25" s="46"/>
      <c r="F25" s="47"/>
      <c r="G25" s="47"/>
      <c r="H25" s="21"/>
      <c r="I25" s="21"/>
      <c r="J25" s="21"/>
      <c r="K25" s="21"/>
      <c r="L25" s="21"/>
      <c r="M25" s="21"/>
      <c r="N25" s="21"/>
      <c r="O25" s="21"/>
      <c r="P25" s="21"/>
    </row>
    <row r="26" spans="1:16" s="24" customFormat="1" ht="11.25" customHeight="1" x14ac:dyDescent="0.25">
      <c r="A26" s="21"/>
      <c r="B26" s="47"/>
      <c r="C26" s="48"/>
      <c r="D26" s="49"/>
      <c r="E26" s="46"/>
      <c r="F26" s="47"/>
      <c r="G26" s="47"/>
      <c r="H26" s="21"/>
      <c r="I26" s="21"/>
      <c r="J26" s="21"/>
      <c r="K26" s="21"/>
      <c r="L26" s="21"/>
      <c r="M26" s="21"/>
      <c r="N26" s="21"/>
      <c r="O26" s="21"/>
      <c r="P26" s="21"/>
    </row>
    <row r="27" spans="1:16" s="24" customFormat="1" ht="18" customHeight="1" x14ac:dyDescent="0.25">
      <c r="A27" s="21"/>
      <c r="B27" s="44" t="s">
        <v>7</v>
      </c>
      <c r="C27" s="44"/>
      <c r="D27" s="45"/>
      <c r="E27" s="47"/>
      <c r="F27" s="47"/>
      <c r="G27" s="47"/>
      <c r="I27" s="31"/>
      <c r="J27" s="32"/>
      <c r="K27" s="32"/>
      <c r="L27" s="21"/>
      <c r="M27" s="21"/>
      <c r="N27" s="21"/>
      <c r="O27" s="21"/>
      <c r="P27" s="21"/>
    </row>
    <row r="28" spans="1:16" s="24" customFormat="1" ht="11.25" customHeight="1" x14ac:dyDescent="0.25">
      <c r="A28" s="21"/>
      <c r="B28" s="44"/>
      <c r="C28" s="44"/>
      <c r="D28" s="45"/>
      <c r="E28" s="47"/>
      <c r="F28" s="47"/>
      <c r="G28" s="47"/>
      <c r="I28" s="21"/>
      <c r="J28" s="21"/>
      <c r="K28" s="21"/>
      <c r="L28" s="21"/>
      <c r="M28" s="21"/>
      <c r="N28" s="21"/>
      <c r="O28" s="21"/>
      <c r="P28" s="21"/>
    </row>
    <row r="29" spans="1:16" s="24" customFormat="1" ht="21.75" customHeight="1" x14ac:dyDescent="0.25">
      <c r="A29" s="21"/>
      <c r="B29" s="44" t="s">
        <v>47</v>
      </c>
      <c r="C29" s="50" t="s">
        <v>44</v>
      </c>
      <c r="D29" s="45"/>
      <c r="E29" s="47"/>
      <c r="F29" s="47"/>
      <c r="G29" s="47"/>
      <c r="H29" s="21"/>
      <c r="I29" s="21"/>
      <c r="J29" s="21"/>
      <c r="K29" s="21"/>
      <c r="L29" s="21"/>
      <c r="M29" s="21"/>
      <c r="N29" s="21"/>
      <c r="O29" s="21"/>
      <c r="P29" s="21"/>
    </row>
    <row r="30" spans="1:16" s="24" customFormat="1" ht="11.25" customHeight="1" x14ac:dyDescent="0.25">
      <c r="A30" s="21"/>
      <c r="B30" s="51"/>
      <c r="C30" s="44"/>
      <c r="D30" s="45"/>
      <c r="E30" s="47"/>
      <c r="F30" s="47"/>
      <c r="G30" s="47"/>
      <c r="H30" s="29"/>
      <c r="I30" s="21"/>
      <c r="J30" s="21"/>
      <c r="K30" s="21"/>
      <c r="L30" s="21"/>
      <c r="M30" s="21"/>
      <c r="N30" s="21"/>
      <c r="O30" s="21"/>
      <c r="P30" s="21"/>
    </row>
    <row r="31" spans="1:16" s="24" customFormat="1" ht="21" customHeight="1" x14ac:dyDescent="0.2">
      <c r="A31" s="21"/>
      <c r="B31" s="50" t="s">
        <v>67</v>
      </c>
      <c r="C31" s="50" t="s">
        <v>44</v>
      </c>
      <c r="D31" s="50"/>
      <c r="E31" s="50"/>
      <c r="F31" s="50"/>
      <c r="G31" s="50"/>
      <c r="H31" s="21"/>
      <c r="I31" s="21"/>
      <c r="J31" s="21"/>
      <c r="K31" s="21"/>
      <c r="L31" s="21"/>
      <c r="M31" s="21"/>
      <c r="N31" s="21"/>
      <c r="O31" s="21"/>
      <c r="P31" s="21"/>
    </row>
    <row r="32" spans="1:16" ht="11.25" customHeight="1" x14ac:dyDescent="0.25">
      <c r="B32" s="52"/>
      <c r="C32" s="52"/>
      <c r="D32" s="52"/>
      <c r="E32" s="52"/>
      <c r="F32" s="52"/>
      <c r="G32" s="52"/>
    </row>
    <row r="33" spans="2:7" ht="15.75" x14ac:dyDescent="0.25">
      <c r="B33" s="50" t="s">
        <v>43</v>
      </c>
      <c r="C33" s="50" t="s">
        <v>44</v>
      </c>
      <c r="D33" s="50"/>
      <c r="E33" s="50" t="s">
        <v>45</v>
      </c>
      <c r="F33" s="50" t="s">
        <v>46</v>
      </c>
      <c r="G33" s="50"/>
    </row>
  </sheetData>
  <mergeCells count="6">
    <mergeCell ref="A1:K2"/>
    <mergeCell ref="C19:E19"/>
    <mergeCell ref="C3:D3"/>
    <mergeCell ref="E3:F3"/>
    <mergeCell ref="G3:H3"/>
    <mergeCell ref="A15:B15"/>
  </mergeCells>
  <phoneticPr fontId="22" type="noConversion"/>
  <conditionalFormatting sqref="H4:H15 F4:F15 D4:D15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6 J8:J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1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 F15 H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21" right="0.2" top="0.25" bottom="0" header="0" footer="0"/>
  <pageSetup paperSize="9" scale="85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Hilli Gaplama </vt:lpstr>
      <vt:lpstr>Hilli Tudana</vt:lpstr>
      <vt:lpstr>B-1</vt:lpstr>
      <vt:lpstr>B-2</vt:lpstr>
      <vt:lpstr>B-3</vt:lpstr>
      <vt:lpstr>B-4</vt:lpstr>
      <vt:lpstr>A-1</vt:lpstr>
      <vt:lpstr>A-2</vt:lpstr>
      <vt:lpstr>A-3</vt:lpstr>
      <vt:lpstr>A-5</vt:lpstr>
      <vt:lpstr>A-7</vt:lpstr>
      <vt:lpstr>A-8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Mekan</dc:creator>
  <cp:lastModifiedBy>User</cp:lastModifiedBy>
  <cp:lastPrinted>2026-04-02T12:52:07Z</cp:lastPrinted>
  <dcterms:created xsi:type="dcterms:W3CDTF">2015-06-05T18:19:34Z</dcterms:created>
  <dcterms:modified xsi:type="dcterms:W3CDTF">2026-04-02T12:53:00Z</dcterms:modified>
</cp:coreProperties>
</file>