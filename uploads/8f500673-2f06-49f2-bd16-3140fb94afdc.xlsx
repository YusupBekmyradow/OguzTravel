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5B379A22-A733-4F75-BCB1-B934BEBC5433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I17" i="2"/>
  <c r="I18" i="2"/>
  <c r="J18" i="2" s="1"/>
  <c r="I16" i="2"/>
  <c r="J16" i="2" s="1"/>
  <c r="H17" i="2"/>
  <c r="H18" i="2"/>
  <c r="H16" i="2"/>
  <c r="E17" i="2"/>
  <c r="F17" i="2" s="1"/>
  <c r="K17" i="2" s="1"/>
  <c r="E18" i="2"/>
  <c r="F18" i="2" s="1"/>
  <c r="K18" i="2" s="1"/>
  <c r="E16" i="2"/>
  <c r="F16" i="2" s="1"/>
  <c r="K16" i="2" s="1"/>
</calcChain>
</file>

<file path=xl/sharedStrings.xml><?xml version="1.0" encoding="utf-8"?>
<sst xmlns="http://schemas.openxmlformats.org/spreadsheetml/2006/main" count="42" uniqueCount="40">
  <si>
    <t xml:space="preserve">Ideg </t>
  </si>
  <si>
    <t>№</t>
  </si>
  <si>
    <t xml:space="preserve">Hilli Gaplama </t>
  </si>
  <si>
    <t xml:space="preserve">Teplissa ady </t>
  </si>
  <si>
    <t xml:space="preserve">Jemi tutýan meýdany </t>
  </si>
  <si>
    <t xml:space="preserve">Arka sany </t>
  </si>
  <si>
    <t xml:space="preserve">Jemi hatar sany </t>
  </si>
  <si>
    <t xml:space="preserve">1-arkadaky hatar san </t>
  </si>
  <si>
    <t xml:space="preserve">1-arkadaky garşok san </t>
  </si>
  <si>
    <t>jemi garşok sany</t>
  </si>
  <si>
    <t xml:space="preserve">1-garşokda şitil san </t>
  </si>
  <si>
    <t xml:space="preserve">jemi şitil san </t>
  </si>
  <si>
    <t xml:space="preserve">näme zatlar aýrylmalydygy karar berilýär </t>
  </si>
  <si>
    <t xml:space="preserve">näçe adam işlemelidigi karar berilýär </t>
  </si>
  <si>
    <t>Jogapkär</t>
  </si>
  <si>
    <t>Agronom</t>
  </si>
  <si>
    <t xml:space="preserve">ýerine ýetiriji </t>
  </si>
  <si>
    <t xml:space="preserve">Agronom kömekçi </t>
  </si>
  <si>
    <t xml:space="preserve">işi ýerine ýetiriji </t>
  </si>
  <si>
    <t xml:space="preserve">idegçi gözegçi </t>
  </si>
  <si>
    <t xml:space="preserve">Idege başlan wagty </t>
  </si>
  <si>
    <t xml:space="preserve">Ideg gutaran wagty bellenilýär </t>
  </si>
  <si>
    <t xml:space="preserve">dowamlylygy </t>
  </si>
  <si>
    <t xml:space="preserve">3 sag </t>
  </si>
  <si>
    <t xml:space="preserve">180 minut </t>
  </si>
  <si>
    <t xml:space="preserve">Ideg edilen hatar sanyny çykarylýar </t>
  </si>
  <si>
    <t xml:space="preserve">Aýna </t>
  </si>
  <si>
    <t xml:space="preserve">Başlan wagty </t>
  </si>
  <si>
    <t xml:space="preserve">gutaran wagty </t>
  </si>
  <si>
    <t xml:space="preserve">jemi işlän minudy </t>
  </si>
  <si>
    <t xml:space="preserve">Gülşat </t>
  </si>
  <si>
    <t xml:space="preserve">Bahar </t>
  </si>
  <si>
    <t xml:space="preserve">Hatar sany </t>
  </si>
  <si>
    <t xml:space="preserve">işlän stoýka sany </t>
  </si>
  <si>
    <t xml:space="preserve">Şitil sany </t>
  </si>
  <si>
    <t xml:space="preserve">1-adamyň 1-garşok işlän wagty </t>
  </si>
  <si>
    <t>sek</t>
  </si>
  <si>
    <t xml:space="preserve">1-garşok üçin norma </t>
  </si>
  <si>
    <t>sene ýazylýar</t>
  </si>
  <si>
    <t xml:space="preserve">Garşok sany / halta sany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</si>
</sst>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1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6"/>
  <sheetViews>
    <sheetView workbookViewId="0">
      <selection activeCell="B6" sqref="B6"/>
    </sheetView>
  </sheetViews>
  <sheetFormatPr defaultColWidth="9.109375" defaultRowHeight="14.4" x14ac:dyDescent="0.3"/>
  <cols>
    <col min="1" max="1" width="4.33203125" style="2" customWidth="1"/>
    <col min="2" max="2" width="24" style="2" customWidth="1"/>
    <col min="3" max="3" width="52.5546875" style="2" customWidth="1"/>
    <col min="4" max="16384" width="9.109375" style="2"/>
  </cols>
  <sheetData>
    <row r="2" spans="1:3" x14ac:dyDescent="0.3">
      <c r="A2" s="2" t="s">
        <v>1</v>
      </c>
      <c r="C2" s="2" t="s">
        <v>0</v>
      </c>
    </row>
    <row r="3" spans="1:3" ht="19.5" customHeight="1" x14ac:dyDescent="0.3">
      <c r="A3" s="2">
        <v>1</v>
      </c>
      <c r="B3" s="2" t="s">
        <v>3</v>
      </c>
      <c r="C3" s="2" t="s">
        <v>2</v>
      </c>
    </row>
    <row r="4" spans="1:3" ht="19.5" customHeight="1" x14ac:dyDescent="0.3">
      <c r="A4" s="2">
        <v>2</v>
      </c>
      <c r="B4" s="2" t="s">
        <v>4</v>
      </c>
      <c r="C4" s="2">
        <v>138324</v>
      </c>
    </row>
    <row r="5" spans="1:3" ht="19.5" customHeight="1" x14ac:dyDescent="0.3">
      <c r="A5" s="2">
        <v>3</v>
      </c>
      <c r="B5" s="2" t="s">
        <v>5</v>
      </c>
      <c r="C5" s="2">
        <v>18</v>
      </c>
    </row>
    <row r="6" spans="1:3" ht="19.5" customHeight="1" x14ac:dyDescent="0.3">
      <c r="A6" s="2">
        <v>4</v>
      </c>
      <c r="B6" s="2" t="s">
        <v>6</v>
      </c>
      <c r="C6" s="2">
        <v>251</v>
      </c>
    </row>
    <row r="7" spans="1:3" ht="19.5" customHeight="1" x14ac:dyDescent="0.3">
      <c r="A7" s="2">
        <v>5</v>
      </c>
      <c r="B7" s="2" t="s">
        <v>7</v>
      </c>
      <c r="C7" s="2">
        <v>14</v>
      </c>
    </row>
    <row r="8" spans="1:3" ht="19.5" customHeight="1" x14ac:dyDescent="0.3">
      <c r="A8" s="2">
        <v>6</v>
      </c>
      <c r="B8" s="2" t="s">
        <v>8</v>
      </c>
      <c r="C8" s="2">
        <v>1078</v>
      </c>
    </row>
    <row r="9" spans="1:3" ht="19.5" customHeight="1" x14ac:dyDescent="0.3">
      <c r="A9" s="2">
        <v>7</v>
      </c>
      <c r="B9" s="2" t="s">
        <v>9</v>
      </c>
      <c r="C9" s="2">
        <v>19327</v>
      </c>
    </row>
    <row r="10" spans="1:3" ht="19.5" customHeight="1" x14ac:dyDescent="0.3">
      <c r="A10" s="2">
        <v>8</v>
      </c>
      <c r="B10" s="2" t="s">
        <v>10</v>
      </c>
      <c r="C10" s="2">
        <v>10</v>
      </c>
    </row>
    <row r="11" spans="1:3" ht="19.5" customHeight="1" x14ac:dyDescent="0.3">
      <c r="A11" s="2">
        <v>9</v>
      </c>
      <c r="B11" s="2" t="s">
        <v>11</v>
      </c>
      <c r="C11" s="2">
        <v>193270</v>
      </c>
    </row>
    <row r="12" spans="1:3" ht="19.5" customHeight="1" x14ac:dyDescent="0.3"/>
    <row r="13" spans="1:3" ht="19.5" customHeight="1" x14ac:dyDescent="0.3"/>
    <row r="14" spans="1:3" ht="19.5" customHeight="1" x14ac:dyDescent="0.3"/>
    <row r="15" spans="1:3" ht="19.5" customHeight="1" x14ac:dyDescent="0.3"/>
    <row r="16" spans="1:3" ht="19.5" customHeight="1" x14ac:dyDescent="0.3"/>
    <row r="17" ht="19.5" customHeight="1" x14ac:dyDescent="0.3"/>
    <row r="18" ht="19.5" customHeight="1" x14ac:dyDescent="0.3"/>
    <row r="19" ht="19.5" customHeight="1" x14ac:dyDescent="0.3"/>
    <row r="20" ht="19.5" customHeight="1" x14ac:dyDescent="0.3"/>
    <row r="21" ht="19.5" customHeight="1" x14ac:dyDescent="0.3"/>
    <row r="22" ht="19.5" customHeight="1" x14ac:dyDescent="0.3"/>
    <row r="23" ht="19.5" customHeight="1" x14ac:dyDescent="0.3"/>
    <row r="24" ht="19.5" customHeight="1" x14ac:dyDescent="0.3"/>
    <row r="25" ht="19.5" customHeight="1" x14ac:dyDescent="0.3"/>
    <row r="26" ht="19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9"/>
  <sheetViews>
    <sheetView tabSelected="1" zoomScale="70" zoomScaleNormal="70" workbookViewId="0">
      <selection activeCell="J26" sqref="J26"/>
    </sheetView>
  </sheetViews>
  <sheetFormatPr defaultRowHeight="14.4" x14ac:dyDescent="0.3"/>
  <cols>
    <col min="1" max="1" width="15.21875" customWidth="1"/>
    <col min="2" max="2" width="47.6640625" customWidth="1"/>
    <col min="3" max="3" width="17.44140625" customWidth="1"/>
    <col min="4" max="4" width="20.44140625" customWidth="1"/>
    <col min="5" max="5" width="21.77734375" customWidth="1"/>
    <col min="6" max="6" width="17.44140625" customWidth="1"/>
    <col min="7" max="7" width="28.109375" customWidth="1"/>
    <col min="8" max="8" width="23.5546875" customWidth="1"/>
    <col min="9" max="9" width="25.33203125" customWidth="1"/>
    <col min="10" max="10" width="17.44140625" customWidth="1"/>
    <col min="11" max="11" width="20.77734375" customWidth="1"/>
    <col min="12" max="12" width="17.5546875" customWidth="1"/>
    <col min="13" max="15" width="12" customWidth="1"/>
  </cols>
  <sheetData>
    <row r="2" spans="1:12" x14ac:dyDescent="0.3">
      <c r="A2" s="2" t="s">
        <v>1</v>
      </c>
      <c r="B2" s="2" t="s">
        <v>0</v>
      </c>
      <c r="C2" s="2"/>
      <c r="D2" t="s">
        <v>14</v>
      </c>
      <c r="E2" t="s">
        <v>16</v>
      </c>
      <c r="G2" t="s">
        <v>18</v>
      </c>
    </row>
    <row r="3" spans="1:12" x14ac:dyDescent="0.3">
      <c r="A3" s="1">
        <v>1</v>
      </c>
      <c r="B3" s="1" t="s">
        <v>12</v>
      </c>
      <c r="C3" s="1"/>
      <c r="D3" t="s">
        <v>15</v>
      </c>
      <c r="E3" t="s">
        <v>17</v>
      </c>
      <c r="G3" t="s">
        <v>19</v>
      </c>
    </row>
    <row r="4" spans="1:12" x14ac:dyDescent="0.3">
      <c r="A4" s="1">
        <v>2</v>
      </c>
      <c r="B4" s="1" t="s">
        <v>13</v>
      </c>
      <c r="C4" s="1"/>
    </row>
    <row r="5" spans="1:12" x14ac:dyDescent="0.3">
      <c r="A5" s="1">
        <v>3</v>
      </c>
      <c r="B5" s="1" t="s">
        <v>20</v>
      </c>
      <c r="C5" s="3">
        <v>0.58333333333333337</v>
      </c>
    </row>
    <row r="6" spans="1:12" x14ac:dyDescent="0.3">
      <c r="B6" s="1" t="s">
        <v>21</v>
      </c>
      <c r="C6" s="3">
        <v>0.70833333333333337</v>
      </c>
    </row>
    <row r="7" spans="1:12" x14ac:dyDescent="0.3">
      <c r="B7" s="10" t="s">
        <v>22</v>
      </c>
      <c r="C7" s="1" t="s">
        <v>23</v>
      </c>
    </row>
    <row r="8" spans="1:12" x14ac:dyDescent="0.3">
      <c r="B8" s="10"/>
      <c r="C8" t="s">
        <v>24</v>
      </c>
    </row>
    <row r="9" spans="1:12" x14ac:dyDescent="0.3">
      <c r="B9" s="4" t="s">
        <v>25</v>
      </c>
    </row>
    <row r="15" spans="1:12" ht="32.25" customHeight="1" x14ac:dyDescent="0.3">
      <c r="A15" t="s">
        <v>38</v>
      </c>
      <c r="C15" t="s">
        <v>27</v>
      </c>
      <c r="D15" t="s">
        <v>28</v>
      </c>
      <c r="E15" t="s">
        <v>29</v>
      </c>
      <c r="F15" t="s">
        <v>36</v>
      </c>
      <c r="G15" t="s">
        <v>32</v>
      </c>
      <c r="H15" t="s">
        <v>33</v>
      </c>
      <c r="I15" t="s">
        <v>39</v>
      </c>
      <c r="J15" s="1" t="s">
        <v>34</v>
      </c>
      <c r="K15" s="7" t="s">
        <v>35</v>
      </c>
      <c r="L15" s="7" t="s">
        <v>37</v>
      </c>
    </row>
    <row r="16" spans="1:12" x14ac:dyDescent="0.3">
      <c r="A16">
        <v>1</v>
      </c>
      <c r="B16" t="s">
        <v>26</v>
      </c>
      <c r="C16" s="6">
        <v>0.58333333333333337</v>
      </c>
      <c r="D16" s="3">
        <v>0.70833333333333337</v>
      </c>
      <c r="E16" s="5">
        <f>(D16-C16)*1440</f>
        <v>180</v>
      </c>
      <c r="F16" s="5">
        <f>E16*60</f>
        <v>10800</v>
      </c>
      <c r="G16" s="1">
        <v>15</v>
      </c>
      <c r="H16" s="1">
        <f>G16*16</f>
        <v>240</v>
      </c>
      <c r="I16" s="1">
        <f>G16*77</f>
        <v>1155</v>
      </c>
      <c r="J16" s="1">
        <f>I16*10</f>
        <v>11550</v>
      </c>
      <c r="K16" s="8">
        <f>F16/I16</f>
        <v>9.3506493506493502</v>
      </c>
      <c r="L16" s="9">
        <v>1.1574074074074073E-4</v>
      </c>
    </row>
    <row r="17" spans="1:12" x14ac:dyDescent="0.3">
      <c r="A17">
        <v>2</v>
      </c>
      <c r="B17" t="s">
        <v>30</v>
      </c>
      <c r="C17" s="6">
        <v>0.625</v>
      </c>
      <c r="D17" s="3">
        <v>0.70833333333333337</v>
      </c>
      <c r="E17" s="5">
        <f t="shared" ref="E17:E18" si="0">(D17-C17)*1440</f>
        <v>120.00000000000006</v>
      </c>
      <c r="F17" s="5">
        <f t="shared" ref="F17:F18" si="1">E17*60</f>
        <v>7200.0000000000036</v>
      </c>
      <c r="G17" s="1">
        <v>10</v>
      </c>
      <c r="H17" s="1">
        <f t="shared" ref="H17:H18" si="2">G17*16</f>
        <v>160</v>
      </c>
      <c r="I17" s="1">
        <f t="shared" ref="I17:I18" si="3">G17*77</f>
        <v>770</v>
      </c>
      <c r="J17" s="1">
        <f t="shared" ref="J17:J18" si="4">I17*10</f>
        <v>7700</v>
      </c>
      <c r="K17" s="8">
        <f t="shared" ref="K17:K18" si="5">F17/I17</f>
        <v>9.3506493506493555</v>
      </c>
      <c r="L17" s="9">
        <v>1.1574074074074073E-4</v>
      </c>
    </row>
    <row r="18" spans="1:12" x14ac:dyDescent="0.3">
      <c r="A18">
        <v>3</v>
      </c>
      <c r="B18" t="s">
        <v>31</v>
      </c>
      <c r="C18" s="6">
        <v>0.5</v>
      </c>
      <c r="D18" s="3">
        <v>0.70833333333333337</v>
      </c>
      <c r="E18" s="5">
        <f t="shared" si="0"/>
        <v>300.00000000000006</v>
      </c>
      <c r="F18" s="5">
        <f t="shared" si="1"/>
        <v>18000.000000000004</v>
      </c>
      <c r="G18" s="1">
        <v>14</v>
      </c>
      <c r="H18" s="1">
        <f t="shared" si="2"/>
        <v>224</v>
      </c>
      <c r="I18" s="1">
        <f t="shared" si="3"/>
        <v>1078</v>
      </c>
      <c r="J18" s="1">
        <f t="shared" si="4"/>
        <v>10780</v>
      </c>
      <c r="K18" s="8">
        <f t="shared" si="5"/>
        <v>16.697588126159559</v>
      </c>
      <c r="L18" s="9">
        <v>1.1574074074074073E-4</v>
      </c>
    </row>
    <row r="19" spans="1:12" x14ac:dyDescent="0.3">
      <c r="G19" s="1"/>
    </row>
  </sheetData>
  <mergeCells count="1"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2026-03-16T10:47:00Z</dcterms:modified>
</cp:coreProperties>
</file>